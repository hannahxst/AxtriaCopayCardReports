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20700" windowHeight="11760"/>
  </bookViews>
  <sheets>
    <sheet name="Dashboard" sheetId="7" r:id="rId1"/>
    <sheet name="Physician Details" sheetId="5" r:id="rId2"/>
    <sheet name="DashboardData1" sheetId="9" r:id="rId3"/>
    <sheet name="DashboardData2" sheetId="10" r:id="rId4"/>
    <sheet name="Control Sheet" sheetId="11" r:id="rId5"/>
    <sheet name="PhysicianData" sheetId="12" r:id="rId6"/>
    <sheet name="DashboardPattern1" sheetId="13" state="veryHidden" r:id="rId7"/>
    <sheet name="DashboardPattern2" sheetId="14" state="veryHidden" r:id="rId8"/>
    <sheet name="PhysicianDataPattern" sheetId="15" state="veryHidden" r:id="rId9"/>
    <sheet name="Instructions_Business Rules" sheetId="17" r:id="rId10"/>
  </sheets>
  <externalReferences>
    <externalReference r:id="rId11"/>
    <externalReference r:id="rId12"/>
    <externalReference r:id="rId13"/>
    <externalReference r:id="rId14"/>
  </externalReferences>
  <definedNames>
    <definedName name="_xlnm._FilterDatabase" localSheetId="1" hidden="1">'Physician Details'!$B$10:$AF$10</definedName>
    <definedName name="_xlnm._FilterDatabase" localSheetId="5" hidden="1">PhysicianData!$B$2:$AO$2</definedName>
    <definedName name="_xlnm._FilterDatabase">Physician [1]Details!$B$10:$AC$10</definedName>
    <definedName name="Chk" localSheetId="9">[2]Datasheet!$B$4</definedName>
    <definedName name="Chk">[3]Datasheet!$B$4</definedName>
    <definedName name="_xlnm.Print_Area" localSheetId="0">Dashboard!$A$1:$O$151</definedName>
    <definedName name="_xlnm.Print_Area">Instructions_Business [4]Rules!$B$1:$N$41</definedName>
  </definedNames>
  <calcPr calcId="145621"/>
</workbook>
</file>

<file path=xl/calcChain.xml><?xml version="1.0" encoding="utf-8"?>
<calcChain xmlns="http://schemas.openxmlformats.org/spreadsheetml/2006/main">
  <c r="F13" i="11" l="1"/>
  <c r="F2" i="11" l="1"/>
  <c r="AA32" i="11" l="1"/>
  <c r="U32" i="11"/>
  <c r="AA31" i="11"/>
  <c r="U31" i="11"/>
  <c r="AA30" i="11"/>
  <c r="U30" i="11"/>
  <c r="AA29" i="11"/>
  <c r="U29" i="11"/>
  <c r="C9" i="11"/>
  <c r="C8" i="11"/>
  <c r="C7" i="11"/>
  <c r="C6" i="11"/>
</calcChain>
</file>

<file path=xl/sharedStrings.xml><?xml version="1.0" encoding="utf-8"?>
<sst xmlns="http://schemas.openxmlformats.org/spreadsheetml/2006/main" count="2026" uniqueCount="940">
  <si>
    <t>Activations</t>
  </si>
  <si>
    <t>Transactions</t>
  </si>
  <si>
    <t>Expirations</t>
  </si>
  <si>
    <t>Program Type</t>
  </si>
  <si>
    <t>Current Week</t>
  </si>
  <si>
    <t>Previous Week</t>
  </si>
  <si>
    <t>All</t>
  </si>
  <si>
    <t>Retail</t>
  </si>
  <si>
    <t>Debit</t>
  </si>
  <si>
    <t>DMR</t>
  </si>
  <si>
    <t>Prescriber Name</t>
  </si>
  <si>
    <t>NPI #</t>
  </si>
  <si>
    <t>Street</t>
  </si>
  <si>
    <t>City</t>
  </si>
  <si>
    <t>State</t>
  </si>
  <si>
    <t>Zip</t>
  </si>
  <si>
    <t>Rank 1</t>
  </si>
  <si>
    <t>Rank 2</t>
  </si>
  <si>
    <t>Rank 3</t>
  </si>
  <si>
    <t>BEITLER, ALLISON JATLOW</t>
  </si>
  <si>
    <t>1200 WATERS PL STE M104</t>
  </si>
  <si>
    <t>BRONX</t>
  </si>
  <si>
    <t>NY</t>
  </si>
  <si>
    <t>25 Days</t>
  </si>
  <si>
    <t>ACCREDO HEALTH GROUP INC</t>
  </si>
  <si>
    <t>CVS CAREMARK</t>
  </si>
  <si>
    <t xml:space="preserve">DWYER, EDWARD </t>
  </si>
  <si>
    <t xml:space="preserve">161 FORT WASHINGTON AVE </t>
  </si>
  <si>
    <t>NEW YORK</t>
  </si>
  <si>
    <t>11 Days</t>
  </si>
  <si>
    <t>CAREMARK LLC</t>
  </si>
  <si>
    <t>PRIME AID PHARMACY</t>
  </si>
  <si>
    <t>ICORE HEALTHCARE</t>
  </si>
  <si>
    <t>Top 30 highest YoY growth in transactions</t>
  </si>
  <si>
    <t>LEBWOHL, MARK GABRIEL</t>
  </si>
  <si>
    <t>5 E 98TH ST FL 5</t>
  </si>
  <si>
    <t>10 Days</t>
  </si>
  <si>
    <t>CAREMARK NEW JERSEY SPECIALTY PHARMACY DBA CVS CA</t>
  </si>
  <si>
    <t>Top 20 C4W highest increase in expiration growth</t>
  </si>
  <si>
    <t>AETNA SPECIALTY PHARMACY LLC</t>
  </si>
  <si>
    <t xml:space="preserve">MOON, JEONGHUN </t>
  </si>
  <si>
    <t>1959 NE PACIFIC ST # 356428</t>
  </si>
  <si>
    <t>SEATTLE</t>
  </si>
  <si>
    <t>WA</t>
  </si>
  <si>
    <t>16 Days</t>
  </si>
  <si>
    <t>Rheum A</t>
  </si>
  <si>
    <t>Rheum B</t>
  </si>
  <si>
    <t>Derm B</t>
  </si>
  <si>
    <t>RHEUM A</t>
  </si>
  <si>
    <t>Target</t>
  </si>
  <si>
    <t>Jan</t>
  </si>
  <si>
    <t>Feb</t>
  </si>
  <si>
    <t>Mar</t>
  </si>
  <si>
    <t>Apr</t>
  </si>
  <si>
    <t>May</t>
  </si>
  <si>
    <t>Jun</t>
  </si>
  <si>
    <t>Jul</t>
  </si>
  <si>
    <t>Aug</t>
  </si>
  <si>
    <t>Sep</t>
  </si>
  <si>
    <t>Oct</t>
  </si>
  <si>
    <t>Nov</t>
  </si>
  <si>
    <t>Dec</t>
  </si>
  <si>
    <t>2015 Activations</t>
  </si>
  <si>
    <t>2016 Activations</t>
  </si>
  <si>
    <t>2015 Transactions</t>
  </si>
  <si>
    <t>2016 Transactions</t>
  </si>
  <si>
    <t>Rheum A’s with Low Utilization – The 10 lowest CSTD</t>
  </si>
  <si>
    <t>C13W</t>
  </si>
  <si>
    <t>P13W</t>
  </si>
  <si>
    <t>C52W
Time to 1st Transaction</t>
  </si>
  <si>
    <t>CYTD</t>
  </si>
  <si>
    <t>PYTD</t>
  </si>
  <si>
    <t>CYTD vs. PYTD 
% Growth</t>
  </si>
  <si>
    <t>C13W vs. P13W 
% Growth</t>
  </si>
  <si>
    <t>Current
Week</t>
  </si>
  <si>
    <t>CW vs. PW 
% Growth</t>
  </si>
  <si>
    <t>C13W vs. P13W
% Growth 
Activations</t>
  </si>
  <si>
    <t>C13W vs. P13W
% Growth 
Transactions</t>
  </si>
  <si>
    <t>C52W Average Copay Payout</t>
  </si>
  <si>
    <t>Rank</t>
  </si>
  <si>
    <t>C13W Transactions 
per Pharmacy</t>
  </si>
  <si>
    <t>Sales Force</t>
  </si>
  <si>
    <t>Apex Alignment</t>
  </si>
  <si>
    <t>Pinnacle Alignment</t>
  </si>
  <si>
    <t>Summit Alignment</t>
  </si>
  <si>
    <t>Enbrel Copay Report</t>
  </si>
  <si>
    <t>C52W 
Time to 1st Transaction</t>
  </si>
  <si>
    <t>C26W</t>
  </si>
  <si>
    <t>Previous
Week</t>
  </si>
  <si>
    <t>C13W Top 10 Pharmacies 
(Based on Volume of Transactions)</t>
  </si>
  <si>
    <t>3xxxx</t>
  </si>
  <si>
    <t>Amgen Customer Master ID</t>
  </si>
  <si>
    <t>CW vs. PW
% Growth</t>
  </si>
  <si>
    <t>Geography</t>
  </si>
  <si>
    <t>C52W
Average Copay 
Payout</t>
  </si>
  <si>
    <t>Instructions &amp; Business Rules</t>
  </si>
  <si>
    <t>Instructions</t>
  </si>
  <si>
    <t>Business Rules</t>
  </si>
  <si>
    <t>Physician Details</t>
  </si>
  <si>
    <t>(C13W Transaction for Pharmacy 10)</t>
  </si>
  <si>
    <t>(C13W Top 10 Pharmacy 10)</t>
  </si>
  <si>
    <t>Rank 10</t>
  </si>
  <si>
    <t>(C13W Transaction for Pharmacy 9)</t>
  </si>
  <si>
    <t>(C13W Top 10 Pharmacy 9)</t>
  </si>
  <si>
    <t>Rank 9</t>
  </si>
  <si>
    <t>(C13W Transaction for Pharmacy 8)</t>
  </si>
  <si>
    <t>(C13W Top 10 Pharmacy 8)</t>
  </si>
  <si>
    <t>Rank 8</t>
  </si>
  <si>
    <t>(C13W Transaction for Pharmacy 7)</t>
  </si>
  <si>
    <t>(C13W Top 10 Pharmacy 7)</t>
  </si>
  <si>
    <t>Rank 7</t>
  </si>
  <si>
    <t>(C13W Transaction for Pharmacy 6)</t>
  </si>
  <si>
    <t>(C13W Top 10 Pharmacy 6)</t>
  </si>
  <si>
    <t>Rank 6</t>
  </si>
  <si>
    <t>(C13W Transaction for Pharmacy 5)</t>
  </si>
  <si>
    <t>(C13W Top 10 Pharmacy 5)</t>
  </si>
  <si>
    <t>Rank 5</t>
  </si>
  <si>
    <t>(C13W Transaction for Pharmacy 4)</t>
  </si>
  <si>
    <t>(C13W Top 10 Pharmacy 4)</t>
  </si>
  <si>
    <t>Rank 4</t>
  </si>
  <si>
    <t>(C13W Transaction for Pharmacy 3)</t>
  </si>
  <si>
    <t>(C13W Top 10 Pharmacy 3)</t>
  </si>
  <si>
    <t>(C13W Transaction for Pharmacy 2)</t>
  </si>
  <si>
    <t>(C13W Top 10 Pharmacy 2)</t>
  </si>
  <si>
    <t>(C13W Transaction for Pharmacy 1)</t>
  </si>
  <si>
    <t>(C13W Top 10 Pharmacy 1)</t>
  </si>
  <si>
    <t>Volume of Transactions</t>
  </si>
  <si>
    <t>Pharmacy Name</t>
  </si>
  <si>
    <t>Month</t>
  </si>
  <si>
    <t>PW</t>
  </si>
  <si>
    <t>CW</t>
  </si>
  <si>
    <t>(CYTD GROWTH NATIONAL RANK )</t>
  </si>
  <si>
    <t>(Week Ending Date)</t>
  </si>
  <si>
    <t>(Nation)</t>
  </si>
  <si>
    <t>(Region)</t>
  </si>
  <si>
    <t>(District)</t>
  </si>
  <si>
    <t>(D01)</t>
  </si>
  <si>
    <t>E</t>
  </si>
  <si>
    <t>D</t>
  </si>
  <si>
    <t>C</t>
  </si>
  <si>
    <t>B</t>
  </si>
  <si>
    <t>A</t>
  </si>
  <si>
    <t>F</t>
  </si>
  <si>
    <t>G</t>
  </si>
  <si>
    <t>H</t>
  </si>
  <si>
    <t>I</t>
  </si>
  <si>
    <t>J</t>
  </si>
  <si>
    <t>K</t>
  </si>
  <si>
    <t>L</t>
  </si>
  <si>
    <t>M</t>
  </si>
  <si>
    <t>N</t>
  </si>
  <si>
    <t>O</t>
  </si>
  <si>
    <t>Program_Type</t>
  </si>
  <si>
    <t>Sales_Force</t>
  </si>
  <si>
    <t>CYTD_vs_PYTD_Activations_Growth</t>
  </si>
  <si>
    <t>C13W_vs_P13W_Activations_Growth</t>
  </si>
  <si>
    <t>CW_vs_PW_Activations_Growth</t>
  </si>
  <si>
    <t>CYTD_vs_PYTD_Transactions_Growth</t>
  </si>
  <si>
    <t>C13W_vs_P13W_Transactions_Growth</t>
  </si>
  <si>
    <t>CW_vs_PW_Transactions_Growth</t>
  </si>
  <si>
    <t>C52W_Average_Copay_Payout</t>
  </si>
  <si>
    <t>C52W_Time_To_First_Transaction</t>
  </si>
  <si>
    <t>CYTD_Rank_Activations</t>
  </si>
  <si>
    <t>CYTD_Rank_Transactions</t>
  </si>
  <si>
    <t>(District No)</t>
  </si>
  <si>
    <t>(District Name)</t>
  </si>
  <si>
    <t>(CYTD Growth Act District)</t>
  </si>
  <si>
    <t>(C13W Growth Act District)</t>
  </si>
  <si>
    <t>(CW Growth Act District)</t>
  </si>
  <si>
    <t>(CYTD Growth Tran District)</t>
  </si>
  <si>
    <t>(C13W Growth Tran District)</t>
  </si>
  <si>
    <t>(CW Growth Tran District)</t>
  </si>
  <si>
    <t>(C52W Avg Copay Payout District)</t>
  </si>
  <si>
    <t>(C52W TFT District)</t>
  </si>
  <si>
    <t>(CYTD Rank Act District)</t>
  </si>
  <si>
    <t>(CYTD Rank Tran District)</t>
  </si>
  <si>
    <t>(Region No)</t>
  </si>
  <si>
    <t>(Region Name)</t>
  </si>
  <si>
    <t>(CYTD Growth Act Region)</t>
  </si>
  <si>
    <t>(C13W Growth Act Region)</t>
  </si>
  <si>
    <t>(CW Growth Act Region)</t>
  </si>
  <si>
    <t>(CYTD Growth Tran Region)</t>
  </si>
  <si>
    <t>(C13W Growth Tran Region)</t>
  </si>
  <si>
    <t>(CW Growth Tran Region)</t>
  </si>
  <si>
    <t>(C52W Avg Copay Payout Region)</t>
  </si>
  <si>
    <t>(C52W TFT Region)</t>
  </si>
  <si>
    <t>(CYTD Rank Act Region)</t>
  </si>
  <si>
    <t>(CYTD Rank Tran Region)</t>
  </si>
  <si>
    <t>(Nation No)</t>
  </si>
  <si>
    <t>(Nation Name)</t>
  </si>
  <si>
    <t>(CYTD Growth Act Nation)</t>
  </si>
  <si>
    <t>(C13W Growth Act Nation)</t>
  </si>
  <si>
    <t>(CW Growth Act Nation)</t>
  </si>
  <si>
    <t>(CYTD Growth Tran Nation)</t>
  </si>
  <si>
    <t>(C13W Growth Tran Nation)</t>
  </si>
  <si>
    <t>(CW Growth Tran Nation)</t>
  </si>
  <si>
    <t>(C52W Avg Copay Payout Nation)</t>
  </si>
  <si>
    <t>(C52W TFT Nation)</t>
  </si>
  <si>
    <t>(CYTD Rank Act Nation)</t>
  </si>
  <si>
    <t>(CYTD Rank Tran Nation)</t>
  </si>
  <si>
    <t>(Terr 1)</t>
  </si>
  <si>
    <t>(SF Name 1)</t>
  </si>
  <si>
    <t>(CYTD Growth Act 1)</t>
  </si>
  <si>
    <t>(C13W Growth Act 1)</t>
  </si>
  <si>
    <t>(CW Growth Act 1)</t>
  </si>
  <si>
    <t>(CYTD Growth Tran 1)</t>
  </si>
  <si>
    <t>(C13W Growth Tran 1)</t>
  </si>
  <si>
    <t>(CW Growth Tran 1)</t>
  </si>
  <si>
    <t>(Amount  1)</t>
  </si>
  <si>
    <t>(Time  1)</t>
  </si>
  <si>
    <t>(CYTD Rank Act    1)</t>
  </si>
  <si>
    <t>(CYTD Rank Trans    1)</t>
  </si>
  <si>
    <t>(Terr 2)</t>
  </si>
  <si>
    <t>(SF Name 2)</t>
  </si>
  <si>
    <t>(CYTD Growth Act 2)</t>
  </si>
  <si>
    <t>(C13W Growth Act 2)</t>
  </si>
  <si>
    <t>(CW Growth Act 2)</t>
  </si>
  <si>
    <t>(CYTD Growth Tran 2)</t>
  </si>
  <si>
    <t>(C13W Growth Tran 2)</t>
  </si>
  <si>
    <t>(CW Growth Tran 2)</t>
  </si>
  <si>
    <t>(Amount  2)</t>
  </si>
  <si>
    <t>(Time  2)</t>
  </si>
  <si>
    <t>(CYTD Rank Act    2)</t>
  </si>
  <si>
    <t>(CYTD Rank Trans    2)</t>
  </si>
  <si>
    <t>(Terr 3)</t>
  </si>
  <si>
    <t>(SF Name 3)</t>
  </si>
  <si>
    <t>(CYTD Growth Act 3)</t>
  </si>
  <si>
    <t>(C13W Growth Act 3)</t>
  </si>
  <si>
    <t>(CW Growth Act 3)</t>
  </si>
  <si>
    <t>(CYTD Growth Tran 3)</t>
  </si>
  <si>
    <t>(C13W Growth Tran 3)</t>
  </si>
  <si>
    <t>(CW Growth Tran 3)</t>
  </si>
  <si>
    <t>(Amount  3)</t>
  </si>
  <si>
    <t>(Time  3)</t>
  </si>
  <si>
    <t>(CYTD Rank Act    3)</t>
  </si>
  <si>
    <t>(CYTD Rank Trans    3)</t>
  </si>
  <si>
    <t>(Terr 4)</t>
  </si>
  <si>
    <t>(SF Name 4)</t>
  </si>
  <si>
    <t>(CYTD Growth Act 4)</t>
  </si>
  <si>
    <t>(C13W Growth Act 4)</t>
  </si>
  <si>
    <t>(CW Growth Act 4)</t>
  </si>
  <si>
    <t>(CYTD Growth Tran 4)</t>
  </si>
  <si>
    <t>(C13W Growth Tran 4)</t>
  </si>
  <si>
    <t>(CW Growth Tran 4)</t>
  </si>
  <si>
    <t>(Amount  4)</t>
  </si>
  <si>
    <t>(Time  4)</t>
  </si>
  <si>
    <t>(CYTD Rank Act    4)</t>
  </si>
  <si>
    <t>(CYTD Rank Trans    4)</t>
  </si>
  <si>
    <t>(Terr 5)</t>
  </si>
  <si>
    <t>(SF Name 5)</t>
  </si>
  <si>
    <t>(CYTD Growth Act 5)</t>
  </si>
  <si>
    <t>(C13W Growth Act 5)</t>
  </si>
  <si>
    <t>(CW Growth Act 5)</t>
  </si>
  <si>
    <t>(CYTD Growth Tran 5)</t>
  </si>
  <si>
    <t>(C13W Growth Tran 5)</t>
  </si>
  <si>
    <t>(CW Growth Tran 5)</t>
  </si>
  <si>
    <t>(Amount  5)</t>
  </si>
  <si>
    <t>(Time  5)</t>
  </si>
  <si>
    <t>(CYTD Rank Act    5)</t>
  </si>
  <si>
    <t>(CYTD Rank Trans    5)</t>
  </si>
  <si>
    <t>(Terr 6)</t>
  </si>
  <si>
    <t>(SF Name 6)</t>
  </si>
  <si>
    <t>(CYTD Growth Act 6)</t>
  </si>
  <si>
    <t>(C13W Growth Act 6)</t>
  </si>
  <si>
    <t>(CW Growth Act 6)</t>
  </si>
  <si>
    <t>(CYTD Growth Tran 6)</t>
  </si>
  <si>
    <t>(C13W Growth Tran 6)</t>
  </si>
  <si>
    <t>(CW Growth Tran 6)</t>
  </si>
  <si>
    <t>(Amount  6)</t>
  </si>
  <si>
    <t>(Time  6)</t>
  </si>
  <si>
    <t>(CYTD Rank Act    6)</t>
  </si>
  <si>
    <t>(CYTD Rank Trans    6)</t>
  </si>
  <si>
    <t>(Terr 7)</t>
  </si>
  <si>
    <t>(SF Name 7)</t>
  </si>
  <si>
    <t>(CYTD Growth Act 7)</t>
  </si>
  <si>
    <t>(C13W Growth Act 7)</t>
  </si>
  <si>
    <t>(CW Growth Act 7)</t>
  </si>
  <si>
    <t>(CYTD Growth Tran 7)</t>
  </si>
  <si>
    <t>(C13W Growth Tran 7)</t>
  </si>
  <si>
    <t>(CW Growth Tran 7)</t>
  </si>
  <si>
    <t>(Amount  7)</t>
  </si>
  <si>
    <t>(Time  7)</t>
  </si>
  <si>
    <t>(CYTD Rank Act    7)</t>
  </si>
  <si>
    <t>(CYTD Rank Trans    7)</t>
  </si>
  <si>
    <t>(Terr 8)</t>
  </si>
  <si>
    <t>(SF Name 8)</t>
  </si>
  <si>
    <t>(CYTD Growth Act 8)</t>
  </si>
  <si>
    <t>(C13W Growth Act 8)</t>
  </si>
  <si>
    <t>(CW Growth Act 8)</t>
  </si>
  <si>
    <t>(CYTD Growth Tran 8)</t>
  </si>
  <si>
    <t>(C13W Growth Tran 8)</t>
  </si>
  <si>
    <t>(CW Growth Tran 8)</t>
  </si>
  <si>
    <t>(Amount  8)</t>
  </si>
  <si>
    <t>(Time  8)</t>
  </si>
  <si>
    <t>(CYTD Rank Act    8)</t>
  </si>
  <si>
    <t>(CYTD Rank Trans    8)</t>
  </si>
  <si>
    <t>(CYTD Growth Act    9)</t>
  </si>
  <si>
    <t>(C13W Growth Act    9)</t>
  </si>
  <si>
    <t>(CW Growth Act    9)</t>
  </si>
  <si>
    <t>(CYTD Growth Tran    9)</t>
  </si>
  <si>
    <t>(C13W Growth Tran    9)</t>
  </si>
  <si>
    <t>(CW Growth Tran    9)</t>
  </si>
  <si>
    <t>(Amount    9)</t>
  </si>
  <si>
    <t>(Time    9)</t>
  </si>
  <si>
    <t>(CYTD Rank Act    9)</t>
  </si>
  <si>
    <t>(CYTD Rank Tran    9)</t>
  </si>
  <si>
    <t>(CYTD Growth Act    10)</t>
  </si>
  <si>
    <t>(C13W Growth Act    10)</t>
  </si>
  <si>
    <t>(CW Growth Act    10)</t>
  </si>
  <si>
    <t>(CYTD Growth Tran    10)</t>
  </si>
  <si>
    <t>(C13W Growth Tran    10)</t>
  </si>
  <si>
    <t>(CW Growth Tran    10)</t>
  </si>
  <si>
    <t>(Amount    10)</t>
  </si>
  <si>
    <t>(Time    10)</t>
  </si>
  <si>
    <t>(CYTD Rank Act    10)</t>
  </si>
  <si>
    <t>(CYTD Rank Tran    10)</t>
  </si>
  <si>
    <t>(CYTD Growth Act    11)</t>
  </si>
  <si>
    <t>(C13W Growth Act    11)</t>
  </si>
  <si>
    <t>(CW Growth Act    11)</t>
  </si>
  <si>
    <t>(CYTD Growth Tran    11)</t>
  </si>
  <si>
    <t>(C13W Growth Tran    11)</t>
  </si>
  <si>
    <t>(CW Growth Tran    11)</t>
  </si>
  <si>
    <t>(Amount    11)</t>
  </si>
  <si>
    <t>(Time    11)</t>
  </si>
  <si>
    <t>(CYTD Rank Act    11)</t>
  </si>
  <si>
    <t>(CYTD Rank Tran    11)</t>
  </si>
  <si>
    <t>(CYTD Growth Act    12)</t>
  </si>
  <si>
    <t>(C13W Growth Act    12)</t>
  </si>
  <si>
    <t>(CW Growth Act    12)</t>
  </si>
  <si>
    <t>(CYTD Growth Tran    12)</t>
  </si>
  <si>
    <t>(C13W Growth Tran    12)</t>
  </si>
  <si>
    <t>(CW Growth Tran    12)</t>
  </si>
  <si>
    <t>(Amount    12)</t>
  </si>
  <si>
    <t>(Time    12)</t>
  </si>
  <si>
    <t>(CYTD Rank Act    12)</t>
  </si>
  <si>
    <t>(CYTD Rank Tran    12)</t>
  </si>
  <si>
    <t>(CYTD Growth Act    13)</t>
  </si>
  <si>
    <t>(C13W Growth Act    13)</t>
  </si>
  <si>
    <t>(CW Growth Act    13)</t>
  </si>
  <si>
    <t>(CYTD Growth Tran    13)</t>
  </si>
  <si>
    <t>(C13W Growth Tran    13)</t>
  </si>
  <si>
    <t>(CW Growth Tran    13)</t>
  </si>
  <si>
    <t>(Amount    13)</t>
  </si>
  <si>
    <t>(Time    13)</t>
  </si>
  <si>
    <t>(CYTD Rank Act    13)</t>
  </si>
  <si>
    <t>(CYTD Rank Tran    13)</t>
  </si>
  <si>
    <t>(CYTD Growth Act    14)</t>
  </si>
  <si>
    <t>(C13W Growth Act    14)</t>
  </si>
  <si>
    <t>(CW Growth Act    14)</t>
  </si>
  <si>
    <t>(CYTD Growth Tran    14)</t>
  </si>
  <si>
    <t>(C13W Growth Tran    14)</t>
  </si>
  <si>
    <t>(CW Growth Tran    14)</t>
  </si>
  <si>
    <t>(Amount    14)</t>
  </si>
  <si>
    <t>(Time    14)</t>
  </si>
  <si>
    <t>(CYTD Rank Act    14)</t>
  </si>
  <si>
    <t>(CYTD Rank Tran    14)</t>
  </si>
  <si>
    <t>(CYTD Growth Act    15)</t>
  </si>
  <si>
    <t>(C13W Growth Act    15)</t>
  </si>
  <si>
    <t>(CW Growth Act    15)</t>
  </si>
  <si>
    <t>(CYTD Growth Tran    15)</t>
  </si>
  <si>
    <t>(C13W Growth Tran    15)</t>
  </si>
  <si>
    <t>(CW Growth Tran    15)</t>
  </si>
  <si>
    <t>(Amount    15)</t>
  </si>
  <si>
    <t>(Time    15)</t>
  </si>
  <si>
    <t>(CYTD Rank Act    15)</t>
  </si>
  <si>
    <t>(CYTD Rank Tran    15)</t>
  </si>
  <si>
    <t>(CYTD Growth Act    16)</t>
  </si>
  <si>
    <t>(C13W Growth Act    16)</t>
  </si>
  <si>
    <t>(CW Growth Act    16)</t>
  </si>
  <si>
    <t>(CYTD Growth Tran    16)</t>
  </si>
  <si>
    <t>(C13W Growth Tran    16)</t>
  </si>
  <si>
    <t>(CW Growth Tran    16)</t>
  </si>
  <si>
    <t>(Amount    16)</t>
  </si>
  <si>
    <t>(Time    16)</t>
  </si>
  <si>
    <t>(CYTD Rank Act    16)</t>
  </si>
  <si>
    <t>(CYTD Rank Tran    16)</t>
  </si>
  <si>
    <t>(CYTD Growth Act    17)</t>
  </si>
  <si>
    <t>(C13W Growth Act    17)</t>
  </si>
  <si>
    <t>(CW Growth Act    17)</t>
  </si>
  <si>
    <t>(CYTD Growth Tran    17)</t>
  </si>
  <si>
    <t>(C13W Growth Tran    17)</t>
  </si>
  <si>
    <t>(CW Growth Tran    17)</t>
  </si>
  <si>
    <t>(Amount    17)</t>
  </si>
  <si>
    <t>(Time    17)</t>
  </si>
  <si>
    <t>(CYTD Rank Act    17)</t>
  </si>
  <si>
    <t>(CYTD Rank Tran    17)</t>
  </si>
  <si>
    <t>(CYTD Growth Act    18)</t>
  </si>
  <si>
    <t>(C13W Growth Act    18)</t>
  </si>
  <si>
    <t>(CW Growth Act    18)</t>
  </si>
  <si>
    <t>(CYTD Growth Tran    18)</t>
  </si>
  <si>
    <t>(C13W Growth Tran    18)</t>
  </si>
  <si>
    <t>(CW Growth Tran    18)</t>
  </si>
  <si>
    <t>(Amount    18)</t>
  </si>
  <si>
    <t>(Time    18)</t>
  </si>
  <si>
    <t>(CYTD Rank Act    18)</t>
  </si>
  <si>
    <t>(CYTD Rank Tran    18)</t>
  </si>
  <si>
    <t>(CYTD Growth Act    19)</t>
  </si>
  <si>
    <t>(C13W Growth Act    19)</t>
  </si>
  <si>
    <t>(CW Growth Act    19)</t>
  </si>
  <si>
    <t>(CYTD Growth Tran    19)</t>
  </si>
  <si>
    <t>(C13W Growth Tran    19)</t>
  </si>
  <si>
    <t>(CW Growth Tran    19)</t>
  </si>
  <si>
    <t>(Amount    19)</t>
  </si>
  <si>
    <t>(Time    19)</t>
  </si>
  <si>
    <t>(CYTD Rank Act    19)</t>
  </si>
  <si>
    <t>(CYTD Rank Tran    19)</t>
  </si>
  <si>
    <t>(CYTD Growth Act    20)</t>
  </si>
  <si>
    <t>(C13W Growth Act    20)</t>
  </si>
  <si>
    <t>(CW Growth Act    20)</t>
  </si>
  <si>
    <t>(CYTD Growth Tran    20)</t>
  </si>
  <si>
    <t>(C13W Growth Tran    20)</t>
  </si>
  <si>
    <t>(CW Growth Tran    20)</t>
  </si>
  <si>
    <t>(Amount    20)</t>
  </si>
  <si>
    <t>(Time    20)</t>
  </si>
  <si>
    <t>(CYTD Rank Act    20)</t>
  </si>
  <si>
    <t>(CYTD Rank Tran    20)</t>
  </si>
  <si>
    <t>(CYTD Growth Act    21)</t>
  </si>
  <si>
    <t>(C13W Growth Act    21)</t>
  </si>
  <si>
    <t>(CW Growth Act    21)</t>
  </si>
  <si>
    <t>(CYTD Growth Tran    21)</t>
  </si>
  <si>
    <t>(C13W Growth Tran    21)</t>
  </si>
  <si>
    <t>(CW Growth Tran    21)</t>
  </si>
  <si>
    <t>(Amount    21)</t>
  </si>
  <si>
    <t>(Time    21)</t>
  </si>
  <si>
    <t>(CYTD Rank Act    21)</t>
  </si>
  <si>
    <t>(CYTD Rank Tran    21)</t>
  </si>
  <si>
    <t>(CYTD Growth Act    22)</t>
  </si>
  <si>
    <t>(C13W Growth Act    22)</t>
  </si>
  <si>
    <t>(CW Growth Act    22)</t>
  </si>
  <si>
    <t>(CYTD Growth Tran    22)</t>
  </si>
  <si>
    <t>(C13W Growth Tran    22)</t>
  </si>
  <si>
    <t>(CW Growth Tran    22)</t>
  </si>
  <si>
    <t>(Amount    22)</t>
  </si>
  <si>
    <t>(Time    22)</t>
  </si>
  <si>
    <t>(CYTD Rank Act    22)</t>
  </si>
  <si>
    <t>(CYTD Rank Tran    22)</t>
  </si>
  <si>
    <t>(CYTD Growth Act    23)</t>
  </si>
  <si>
    <t>(C13W Growth Act    23)</t>
  </si>
  <si>
    <t>(CW Growth Act    23)</t>
  </si>
  <si>
    <t>(CYTD Growth Tran    23)</t>
  </si>
  <si>
    <t>(C13W Growth Tran    23)</t>
  </si>
  <si>
    <t>(CW Growth Tran    23)</t>
  </si>
  <si>
    <t>(Amount    23)</t>
  </si>
  <si>
    <t>(Time    23)</t>
  </si>
  <si>
    <t>(CYTD Rank Act    23)</t>
  </si>
  <si>
    <t>(CYTD Rank Tran    23)</t>
  </si>
  <si>
    <t>(CYTD Growth Act    24)</t>
  </si>
  <si>
    <t>(C13W Growth Act    24)</t>
  </si>
  <si>
    <t>(CW Growth Act    24)</t>
  </si>
  <si>
    <t>(CYTD Growth Tran    24)</t>
  </si>
  <si>
    <t>(C13W Growth Tran    24)</t>
  </si>
  <si>
    <t>(CW Growth Tran    24)</t>
  </si>
  <si>
    <t>(Amount    24)</t>
  </si>
  <si>
    <t>(Time    24)</t>
  </si>
  <si>
    <t>(CYTD Rank Act    24)</t>
  </si>
  <si>
    <t>(CYTD Rank Tran    24)</t>
  </si>
  <si>
    <t>(CYTD Growth Act    25)</t>
  </si>
  <si>
    <t>(C13W Growth Act    25)</t>
  </si>
  <si>
    <t>(CW Growth Act    25)</t>
  </si>
  <si>
    <t>(CYTD Growth Tran    25)</t>
  </si>
  <si>
    <t>(C13W Growth Tran    25)</t>
  </si>
  <si>
    <t>(CW Growth Tran    25)</t>
  </si>
  <si>
    <t>(Amount    25)</t>
  </si>
  <si>
    <t>(Time    25)</t>
  </si>
  <si>
    <t>(CYTD Rank Act    25)</t>
  </si>
  <si>
    <t>(CYTD Rank Tran    25)</t>
  </si>
  <si>
    <t>(CYTD Growth Act    26)</t>
  </si>
  <si>
    <t>(C13W Growth Act    26)</t>
  </si>
  <si>
    <t>(CW Growth Act    26)</t>
  </si>
  <si>
    <t>(CYTD Growth Tran    26)</t>
  </si>
  <si>
    <t>(C13W Growth Tran    26)</t>
  </si>
  <si>
    <t>(CW Growth Tran    26)</t>
  </si>
  <si>
    <t>(Amount    26)</t>
  </si>
  <si>
    <t>(Time    26)</t>
  </si>
  <si>
    <t>(CYTD Rank Act    26)</t>
  </si>
  <si>
    <t>(CYTD Rank Tran    26)</t>
  </si>
  <si>
    <t>(CYTD Growth Act    27)</t>
  </si>
  <si>
    <t>(C13W Growth Act    27)</t>
  </si>
  <si>
    <t>(CW Growth Act    27)</t>
  </si>
  <si>
    <t>(CYTD Growth Tran    27)</t>
  </si>
  <si>
    <t>(C13W Growth Tran    27)</t>
  </si>
  <si>
    <t>(CW Growth Tran    27)</t>
  </si>
  <si>
    <t>(Amount    27)</t>
  </si>
  <si>
    <t>(Time    27)</t>
  </si>
  <si>
    <t>(CYTD Rank Act    27)</t>
  </si>
  <si>
    <t>(CYTD Rank Tran    27)</t>
  </si>
  <si>
    <t>(CYTD Growth Act    28)</t>
  </si>
  <si>
    <t>(C13W Growth Act    28)</t>
  </si>
  <si>
    <t>(CW Growth Act    28)</t>
  </si>
  <si>
    <t>(CYTD Growth Tran    28)</t>
  </si>
  <si>
    <t>(C13W Growth Tran    28)</t>
  </si>
  <si>
    <t>(CW Growth Tran    28)</t>
  </si>
  <si>
    <t>(Amount    28)</t>
  </si>
  <si>
    <t>(Time    28)</t>
  </si>
  <si>
    <t>(CYTD Rank Act    28)</t>
  </si>
  <si>
    <t>(CYTD Rank Tran    28)</t>
  </si>
  <si>
    <t>(CYTD Growth Act    29)</t>
  </si>
  <si>
    <t>(C13W Growth Act    29)</t>
  </si>
  <si>
    <t>(CW Growth Act    29)</t>
  </si>
  <si>
    <t>(CYTD Growth Tran    29)</t>
  </si>
  <si>
    <t>(C13W Growth Tran    29)</t>
  </si>
  <si>
    <t>(CW Growth Tran    29)</t>
  </si>
  <si>
    <t>(Amount    29)</t>
  </si>
  <si>
    <t>(Time    29)</t>
  </si>
  <si>
    <t>(CYTD Rank Act    29)</t>
  </si>
  <si>
    <t>(CYTD Rank Tran    29)</t>
  </si>
  <si>
    <t>(CYTD Growth Act    30)</t>
  </si>
  <si>
    <t>(C13W Growth Act    30)</t>
  </si>
  <si>
    <t>(CW Growth Act    30)</t>
  </si>
  <si>
    <t>(CYTD Growth Tran    30)</t>
  </si>
  <si>
    <t>(C13W Growth Tran    30)</t>
  </si>
  <si>
    <t>(CW Growth Tran    30)</t>
  </si>
  <si>
    <t>(Amount    30)</t>
  </si>
  <si>
    <t>(Time    30)</t>
  </si>
  <si>
    <t>(CYTD Rank Act    30)</t>
  </si>
  <si>
    <t>(CYTD Rank Tran    30)</t>
  </si>
  <si>
    <t>(CYTD Growth Act    31)</t>
  </si>
  <si>
    <t>(C13W Growth Act    31)</t>
  </si>
  <si>
    <t>(CW Growth Act    31)</t>
  </si>
  <si>
    <t>(CYTD Growth Tran    31)</t>
  </si>
  <si>
    <t>(C13W Growth Tran    31)</t>
  </si>
  <si>
    <t>(CW Growth Tran    31)</t>
  </si>
  <si>
    <t>(Amount    31)</t>
  </si>
  <si>
    <t>(Time    31)</t>
  </si>
  <si>
    <t>(CYTD Rank Act    31)</t>
  </si>
  <si>
    <t>(CYTD Rank Tran    31)</t>
  </si>
  <si>
    <t>(CYTD Growth Act    32)</t>
  </si>
  <si>
    <t>(C13W Growth Act    32)</t>
  </si>
  <si>
    <t>(CW Growth Act    32)</t>
  </si>
  <si>
    <t>(CYTD Growth Tran    32)</t>
  </si>
  <si>
    <t>(C13W Growth Tran    32)</t>
  </si>
  <si>
    <t>(CW Growth Tran    32)</t>
  </si>
  <si>
    <t>(Amount    32)</t>
  </si>
  <si>
    <t>(Time    32)</t>
  </si>
  <si>
    <t>(CYTD Rank Act    32)</t>
  </si>
  <si>
    <t>(CYTD Rank Tran    32)</t>
  </si>
  <si>
    <t>Selected Program Type:</t>
  </si>
  <si>
    <t>Pharmacy Details</t>
  </si>
  <si>
    <t>StartOffset</t>
  </si>
  <si>
    <t>EndOffset</t>
  </si>
  <si>
    <t>I want to See (Selected Category)</t>
  </si>
  <si>
    <t>last used row of Dashboard tab</t>
  </si>
  <si>
    <t>I want to See</t>
  </si>
  <si>
    <t>Formats</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</si>
  <si>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</si>
  <si>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</si>
  <si>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</si>
  <si>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</si>
  <si>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</si>
  <si>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</si>
  <si>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</si>
  <si>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</si>
  <si>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</si>
  <si>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</si>
  <si>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</si>
  <si>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</si>
  <si>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</si>
  <si>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</si>
  <si>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</si>
  <si>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</si>
  <si>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</si>
  <si>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</si>
  <si>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</si>
  <si>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</si>
  <si>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</si>
  <si>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</si>
  <si>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</si>
  <si>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</si>
  <si>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</si>
  <si>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</si>
  <si>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Physician_Name</t>
  </si>
  <si>
    <t>Apex_Alignment</t>
  </si>
  <si>
    <t>Pinnacle_Alignment</t>
  </si>
  <si>
    <t>Summit_Alignment</t>
  </si>
  <si>
    <t>Patients_Not_Using_Copay_Card_Percentage_Of_Total</t>
  </si>
  <si>
    <t>NPI</t>
  </si>
  <si>
    <t>Amgen_Customer_Master_ID</t>
  </si>
  <si>
    <t>C52W_Time_to_1st_Transaction</t>
  </si>
  <si>
    <t>CYTD_Transaction</t>
  </si>
  <si>
    <t>PYTD_Transaction</t>
  </si>
  <si>
    <t>C26W_Transactions</t>
  </si>
  <si>
    <t>C26W_vs_P26W_Transactions_Growth</t>
  </si>
  <si>
    <t>C13W_Transactions</t>
  </si>
  <si>
    <t>CW_transactions</t>
  </si>
  <si>
    <t>PW_transactions</t>
  </si>
  <si>
    <t>C13W_Expirations</t>
  </si>
  <si>
    <t>P13W_Expirations</t>
  </si>
  <si>
    <t>C13W_vs_P13W_Expirations_Growth</t>
  </si>
  <si>
    <t>CYTD_vs_PYTD_Expirations_Growth</t>
  </si>
  <si>
    <t>Pharmacy_Rank_1</t>
  </si>
  <si>
    <t>Pharmacy_Rank_2</t>
  </si>
  <si>
    <t>Pharmacy_Rank_3</t>
  </si>
  <si>
    <t>Cat1</t>
  </si>
  <si>
    <t>Cat2</t>
  </si>
  <si>
    <t>Cat3</t>
  </si>
  <si>
    <t>Cat4</t>
  </si>
  <si>
    <t>Cat5</t>
  </si>
  <si>
    <t>Cat6</t>
  </si>
  <si>
    <t>Cat7</t>
  </si>
  <si>
    <t>Cat8</t>
  </si>
  <si>
    <t>Cat9</t>
  </si>
  <si>
    <t>(Physician Name 1)</t>
  </si>
  <si>
    <t>(Target 1)</t>
  </si>
  <si>
    <t>(Terr Id       1)</t>
  </si>
  <si>
    <t>(N 1)</t>
  </si>
  <si>
    <t>(NPI 1)</t>
  </si>
  <si>
    <t>(ID 1)</t>
  </si>
  <si>
    <t>(S1)</t>
  </si>
  <si>
    <t>(C1)</t>
  </si>
  <si>
    <t>(St 1)</t>
  </si>
  <si>
    <t>(Z 1)</t>
  </si>
  <si>
    <t>(T  1)</t>
  </si>
  <si>
    <t>(Amount      1)</t>
  </si>
  <si>
    <t>(CYTD Transaction  1)</t>
  </si>
  <si>
    <t>(PYTD Transaction  1)</t>
  </si>
  <si>
    <t>(CYTD_vs_PYTD_Transactions_Growth      1)</t>
  </si>
  <si>
    <t>(C26W Transaction  1)</t>
  </si>
  <si>
    <t>(C26W_vs_P26W_Transactions_Growth      1)</t>
  </si>
  <si>
    <t>(C13W Transaction  1)</t>
  </si>
  <si>
    <t>(C13W_vs_P13W_Transactions_Growth      1)</t>
  </si>
  <si>
    <t>(CW Transaction   1)</t>
  </si>
  <si>
    <t>(PW Transaction   1)</t>
  </si>
  <si>
    <t>(CW_vs_PW_Transactions_Growth      1)</t>
  </si>
  <si>
    <t>(C13W Expirations    1)</t>
  </si>
  <si>
    <t>(P13W Expirations     1)</t>
  </si>
  <si>
    <t>(C13W_vs_P13W_Expirations_Growth      1)</t>
  </si>
  <si>
    <t>(CYTD_vs_PYTD_Expirations_Growth      1)</t>
  </si>
  <si>
    <t>(Pharmacy      1)</t>
  </si>
  <si>
    <t>(Pharmacy      11)</t>
  </si>
  <si>
    <t>(Pharmacy      21)</t>
  </si>
  <si>
    <t>(Physician Name 2)</t>
  </si>
  <si>
    <t>(Target 2)</t>
  </si>
  <si>
    <t>(Terr Id       2)</t>
  </si>
  <si>
    <t>(N 2)</t>
  </si>
  <si>
    <t>(NPI 2)</t>
  </si>
  <si>
    <t>(ID 2)</t>
  </si>
  <si>
    <t>(S2)</t>
  </si>
  <si>
    <t>(C2)</t>
  </si>
  <si>
    <t>(St 2)</t>
  </si>
  <si>
    <t>(Z 2)</t>
  </si>
  <si>
    <t>(T  2)</t>
  </si>
  <si>
    <t>(Amount      2)</t>
  </si>
  <si>
    <t>(CYTD Transaction  2)</t>
  </si>
  <si>
    <t>(PYTD Transaction  2)</t>
  </si>
  <si>
    <t>(CYTD_vs_PYTD_Transactions_Growth      2)</t>
  </si>
  <si>
    <t>(C26W Transaction  2)</t>
  </si>
  <si>
    <t>(C26W_vs_P26W_Transactions_Growth      2)</t>
  </si>
  <si>
    <t>(C13W Transaction  2)</t>
  </si>
  <si>
    <t>(C13W_vs_P13W_Transactions_Growth      2)</t>
  </si>
  <si>
    <t>(CW Transaction   2)</t>
  </si>
  <si>
    <t>(PW Transaction   2)</t>
  </si>
  <si>
    <t>(CW_vs_PW_Transactions_Growth      2)</t>
  </si>
  <si>
    <t>(C13W Expirations    2)</t>
  </si>
  <si>
    <t>(P13W Expirations     2)</t>
  </si>
  <si>
    <t>(C13W_vs_P13W_Expirations_Growth      2)</t>
  </si>
  <si>
    <t>(CYTD_vs_PYTD_Expirations_Growth      2)</t>
  </si>
  <si>
    <t>(Pharmacy      2)</t>
  </si>
  <si>
    <t>(Pharmacy      12)</t>
  </si>
  <si>
    <t>(Pharmacy      22)</t>
  </si>
  <si>
    <t>(Physician Name 3)</t>
  </si>
  <si>
    <t>(Target 3)</t>
  </si>
  <si>
    <t>(Terr Id       3)</t>
  </si>
  <si>
    <t>(N 3)</t>
  </si>
  <si>
    <t>(NPI 3)</t>
  </si>
  <si>
    <t>(ID 3)</t>
  </si>
  <si>
    <t>(S3)</t>
  </si>
  <si>
    <t>(C3)</t>
  </si>
  <si>
    <t>(St 3)</t>
  </si>
  <si>
    <t>(Z 3)</t>
  </si>
  <si>
    <t>(T  3)</t>
  </si>
  <si>
    <t>(Amount      3)</t>
  </si>
  <si>
    <t>(CYTD Transaction  3)</t>
  </si>
  <si>
    <t>(PYTD Transaction  3)</t>
  </si>
  <si>
    <t>(CYTD_vs_PYTD_Transactions_Growth      3)</t>
  </si>
  <si>
    <t>(C26W Transaction  3)</t>
  </si>
  <si>
    <t>(C26W_vs_P26W_Transactions_Growth      3)</t>
  </si>
  <si>
    <t>(C13W Transaction  3)</t>
  </si>
  <si>
    <t>(C13W_vs_P13W_Transactions_Growth      3)</t>
  </si>
  <si>
    <t>(CW Transaction   3)</t>
  </si>
  <si>
    <t>(PW Transaction   3)</t>
  </si>
  <si>
    <t>(CW_vs_PW_Transactions_Growth      3)</t>
  </si>
  <si>
    <t>(C13W Expirations    3)</t>
  </si>
  <si>
    <t>(P13W Expirations     3)</t>
  </si>
  <si>
    <t>(C13W_vs_P13W_Expirations_Growth      3)</t>
  </si>
  <si>
    <t>(CYTD_vs_PYTD_Expirations_Growth      3)</t>
  </si>
  <si>
    <t>(Pharmacy      3)</t>
  </si>
  <si>
    <t>(Pharmacy      13)</t>
  </si>
  <si>
    <t>(Pharmacy      23)</t>
  </si>
  <si>
    <t>(Physician Name 4)</t>
  </si>
  <si>
    <t>(Target 4)</t>
  </si>
  <si>
    <t>(Terr Id       4)</t>
  </si>
  <si>
    <t>(N 4)</t>
  </si>
  <si>
    <t>(NPI 4)</t>
  </si>
  <si>
    <t>(ID 4)</t>
  </si>
  <si>
    <t>(S4)</t>
  </si>
  <si>
    <t>(C4)</t>
  </si>
  <si>
    <t>(St 4)</t>
  </si>
  <si>
    <t>(Z 4)</t>
  </si>
  <si>
    <t>(T  4)</t>
  </si>
  <si>
    <t>(Amount      4)</t>
  </si>
  <si>
    <t>(CYTD Transaction  4)</t>
  </si>
  <si>
    <t>(PYTD Transaction  4)</t>
  </si>
  <si>
    <t>(CYTD_vs_PYTD_Transactions_Growth      4)</t>
  </si>
  <si>
    <t>(C26W Transaction  4)</t>
  </si>
  <si>
    <t>(C26W_vs_P26W_Transactions_Growth      4)</t>
  </si>
  <si>
    <t>(C13W Transaction  4)</t>
  </si>
  <si>
    <t>(C13W_vs_P13W_Transactions_Growth      4)</t>
  </si>
  <si>
    <t>(CW Transaction   4)</t>
  </si>
  <si>
    <t>(PW Transaction   4)</t>
  </si>
  <si>
    <t>(CW_vs_PW_Transactions_Growth      4)</t>
  </si>
  <si>
    <t>(C13W Expirations    4)</t>
  </si>
  <si>
    <t>(P13W Expirations     4)</t>
  </si>
  <si>
    <t>(C13W_vs_P13W_Expirations_Growth      4)</t>
  </si>
  <si>
    <t>(CYTD_vs_PYTD_Expirations_Growth      4)</t>
  </si>
  <si>
    <t>(Pharmacy      4)</t>
  </si>
  <si>
    <t>(Pharmacy      14)</t>
  </si>
  <si>
    <t>(Pharmacy      24)</t>
  </si>
  <si>
    <t>(Physician Name 5)</t>
  </si>
  <si>
    <t>(Target 5)</t>
  </si>
  <si>
    <t>(Terr Id       5)</t>
  </si>
  <si>
    <t>(N 5)</t>
  </si>
  <si>
    <t>(NPI 5)</t>
  </si>
  <si>
    <t>(ID 5)</t>
  </si>
  <si>
    <t>(S5)</t>
  </si>
  <si>
    <t>(C5)</t>
  </si>
  <si>
    <t>(St 5)</t>
  </si>
  <si>
    <t>(Z 5)</t>
  </si>
  <si>
    <t>(T  5)</t>
  </si>
  <si>
    <t>(Amount      5)</t>
  </si>
  <si>
    <t>(CYTD Transaction  5)</t>
  </si>
  <si>
    <t>(PYTD Transaction  5)</t>
  </si>
  <si>
    <t>(CYTD_vs_PYTD_Transactions_Growth      5)</t>
  </si>
  <si>
    <t>(C26W Transaction  5)</t>
  </si>
  <si>
    <t>(C26W_vs_P26W_Transactions_Growth      5)</t>
  </si>
  <si>
    <t>(C13W Transaction  5)</t>
  </si>
  <si>
    <t>(C13W_vs_P13W_Transactions_Growth      5)</t>
  </si>
  <si>
    <t>(CW Transaction   5)</t>
  </si>
  <si>
    <t>(PW Transaction   5)</t>
  </si>
  <si>
    <t>(CW_vs_PW_Transactions_Growth      5)</t>
  </si>
  <si>
    <t>(C13W Expirations    5)</t>
  </si>
  <si>
    <t>(P13W Expirations     5)</t>
  </si>
  <si>
    <t>(C13W_vs_P13W_Expirations_Growth      5)</t>
  </si>
  <si>
    <t>(CYTD_vs_PYTD_Expirations_Growth      5)</t>
  </si>
  <si>
    <t>(Pharmacy      5)</t>
  </si>
  <si>
    <t>(Pharmacy      15)</t>
  </si>
  <si>
    <t>(Pharmacy      25)</t>
  </si>
  <si>
    <t>(Physician Name 6)</t>
  </si>
  <si>
    <t>(Target 6)</t>
  </si>
  <si>
    <t>(Terr Id       6)</t>
  </si>
  <si>
    <t>(N 6)</t>
  </si>
  <si>
    <t>(NPI 6)</t>
  </si>
  <si>
    <t>(ID 6)</t>
  </si>
  <si>
    <t>(S6)</t>
  </si>
  <si>
    <t>(C6)</t>
  </si>
  <si>
    <t>(St 6)</t>
  </si>
  <si>
    <t>(Z 6)</t>
  </si>
  <si>
    <t>(T  6)</t>
  </si>
  <si>
    <t>(Amount      6)</t>
  </si>
  <si>
    <t>(CYTD Transaction  6)</t>
  </si>
  <si>
    <t>(PYTD Transaction  6)</t>
  </si>
  <si>
    <t>(CYTD_vs_PYTD_Transactions_Growth      6)</t>
  </si>
  <si>
    <t>(C26W Transaction  6)</t>
  </si>
  <si>
    <t>(C26W_vs_P26W_Transactions_Growth      6)</t>
  </si>
  <si>
    <t>(C13W Transaction  6)</t>
  </si>
  <si>
    <t>(C13W_vs_P13W_Transactions_Growth      6)</t>
  </si>
  <si>
    <t>(CW Transaction   6)</t>
  </si>
  <si>
    <t>(PW Transaction   6)</t>
  </si>
  <si>
    <t>(CW_vs_PW_Transactions_Growth      6)</t>
  </si>
  <si>
    <t>(C13W Expirations    6)</t>
  </si>
  <si>
    <t>(P13W Expirations     6)</t>
  </si>
  <si>
    <t>(C13W_vs_P13W_Expirations_Growth      6)</t>
  </si>
  <si>
    <t>(CYTD_vs_PYTD_Expirations_Growth      6)</t>
  </si>
  <si>
    <t>(Pharmacy      6)</t>
  </si>
  <si>
    <t>(Pharmacy      16)</t>
  </si>
  <si>
    <t>(Pharmacy      26)</t>
  </si>
  <si>
    <t>(Physician Name 7)</t>
  </si>
  <si>
    <t>(Target 7)</t>
  </si>
  <si>
    <t>(Terr Id       7)</t>
  </si>
  <si>
    <t>(N 7)</t>
  </si>
  <si>
    <t>(NPI 7)</t>
  </si>
  <si>
    <t>(ID 7)</t>
  </si>
  <si>
    <t>(S7)</t>
  </si>
  <si>
    <t>(C7)</t>
  </si>
  <si>
    <t>(St 7)</t>
  </si>
  <si>
    <t>(Z 7)</t>
  </si>
  <si>
    <t>(T  7)</t>
  </si>
  <si>
    <t>(Amount      7)</t>
  </si>
  <si>
    <t>(CYTD Transaction  7)</t>
  </si>
  <si>
    <t>(PYTD Transaction  7)</t>
  </si>
  <si>
    <t>(CYTD_vs_PYTD_Transactions_Growth      7)</t>
  </si>
  <si>
    <t>(C26W Transaction  7)</t>
  </si>
  <si>
    <t>(C26W_vs_P26W_Transactions_Growth      7)</t>
  </si>
  <si>
    <t>(C13W Transaction  7)</t>
  </si>
  <si>
    <t>(C13W_vs_P13W_Transactions_Growth      7)</t>
  </si>
  <si>
    <t>(CW Transaction   7)</t>
  </si>
  <si>
    <t>(PW Transaction   7)</t>
  </si>
  <si>
    <t>(CW_vs_PW_Transactions_Growth      7)</t>
  </si>
  <si>
    <t>(C13W Expirations    7)</t>
  </si>
  <si>
    <t>(P13W Expirations     7)</t>
  </si>
  <si>
    <t>(C13W_vs_P13W_Expirations_Growth      7)</t>
  </si>
  <si>
    <t>(CYTD_vs_PYTD_Expirations_Growth      7)</t>
  </si>
  <si>
    <t>(Pharmacy      7)</t>
  </si>
  <si>
    <t>(Pharmacy      17)</t>
  </si>
  <si>
    <t>(Pharmacy      27)</t>
  </si>
  <si>
    <t>(Physician Name 8)</t>
  </si>
  <si>
    <t>(Target 8)</t>
  </si>
  <si>
    <t>(Terr Id       8)</t>
  </si>
  <si>
    <t>(N 8)</t>
  </si>
  <si>
    <t>(NPI 8)</t>
  </si>
  <si>
    <t>(ID 8)</t>
  </si>
  <si>
    <t>(S8)</t>
  </si>
  <si>
    <t>(C8)</t>
  </si>
  <si>
    <t>(St 8)</t>
  </si>
  <si>
    <t>(Z 8)</t>
  </si>
  <si>
    <t>(T  8)</t>
  </si>
  <si>
    <t>(Amount      8)</t>
  </si>
  <si>
    <t>(CYTD Transaction  8)</t>
  </si>
  <si>
    <t>(PYTD Transaction  8)</t>
  </si>
  <si>
    <t>(CYTD_vs_PYTD_Transactions_Growth      8)</t>
  </si>
  <si>
    <t>(C26W Transaction  8)</t>
  </si>
  <si>
    <t>(C26W_vs_P26W_Transactions_Growth      8)</t>
  </si>
  <si>
    <t>(C13W Transaction  8)</t>
  </si>
  <si>
    <t>(C13W_vs_P13W_Transactions_Growth      8)</t>
  </si>
  <si>
    <t>(CW Transaction   8)</t>
  </si>
  <si>
    <t>(PW Transaction   8)</t>
  </si>
  <si>
    <t>(CW_vs_PW_Transactions_Growth      8)</t>
  </si>
  <si>
    <t>(C13W Expirations    8)</t>
  </si>
  <si>
    <t>(P13W Expirations     8)</t>
  </si>
  <si>
    <t>(C13W_vs_P13W_Expirations_Growth      8)</t>
  </si>
  <si>
    <t>(CYTD_vs_PYTD_Expirations_Growth      8)</t>
  </si>
  <si>
    <t>(Pharmacy      8)</t>
  </si>
  <si>
    <t>(Pharmacy      18)</t>
  </si>
  <si>
    <t>(Pharmacy      28)</t>
  </si>
  <si>
    <t>(Physician Name 9)</t>
  </si>
  <si>
    <t>(Target 9)</t>
  </si>
  <si>
    <t>(Terr Id       9)</t>
  </si>
  <si>
    <t>(N 9)</t>
  </si>
  <si>
    <t>(NPI 9)</t>
  </si>
  <si>
    <t>(ID 9)</t>
  </si>
  <si>
    <t>(S9)</t>
  </si>
  <si>
    <t>(C9)</t>
  </si>
  <si>
    <t>(St 9)</t>
  </si>
  <si>
    <t>(Z 9)</t>
  </si>
  <si>
    <t>(T  9)</t>
  </si>
  <si>
    <t>(Amount      9)</t>
  </si>
  <si>
    <t>(CYTD Transaction  9)</t>
  </si>
  <si>
    <t>(PYTD Transaction  9)</t>
  </si>
  <si>
    <t>(CYTD_vs_PYTD_Transactions_Growth      9)</t>
  </si>
  <si>
    <t>(C26W Transaction  9)</t>
  </si>
  <si>
    <t>(C26W_vs_P26W_Transactions_Growth      9)</t>
  </si>
  <si>
    <t>(C13W Transaction  9)</t>
  </si>
  <si>
    <t>(C13W_vs_P13W_Transactions_Growth      9)</t>
  </si>
  <si>
    <t>(CW Transaction   9)</t>
  </si>
  <si>
    <t>(PW Transaction   9)</t>
  </si>
  <si>
    <t>(CW_vs_PW_Transactions_Growth      9)</t>
  </si>
  <si>
    <t>(C13W Expirations    9)</t>
  </si>
  <si>
    <t>(P13W Expirations     9)</t>
  </si>
  <si>
    <t>(C13W_vs_P13W_Expirations_Growth      9)</t>
  </si>
  <si>
    <t>(CYTD_vs_PYTD_Expirations_Growth      9)</t>
  </si>
  <si>
    <t>(Pharmacy      9)</t>
  </si>
  <si>
    <t>(Pharmacy      19)</t>
  </si>
  <si>
    <t>(Pharmacy      29)</t>
  </si>
  <si>
    <t>(Physician Name 10)</t>
  </si>
  <si>
    <t>(Target 10)</t>
  </si>
  <si>
    <t>(Terr Id       10)</t>
  </si>
  <si>
    <t>(N 10)</t>
  </si>
  <si>
    <t>(NPI 10)</t>
  </si>
  <si>
    <t>(ID 10)</t>
  </si>
  <si>
    <t>(S10)</t>
  </si>
  <si>
    <t>(C10)</t>
  </si>
  <si>
    <t>(St 10)</t>
  </si>
  <si>
    <t>(Z 10)</t>
  </si>
  <si>
    <t>(T  10)</t>
  </si>
  <si>
    <t>(Amount      10)</t>
  </si>
  <si>
    <t>(CYTD Transaction  10)</t>
  </si>
  <si>
    <t>(PYTD Transaction  10)</t>
  </si>
  <si>
    <t>(CYTD_vs_PYTD_Transactions_Growth      10)</t>
  </si>
  <si>
    <t>(C26W Transaction  10)</t>
  </si>
  <si>
    <t>(C26W_vs_P26W_Transactions_Growth      10)</t>
  </si>
  <si>
    <t>(C13W Transaction  10)</t>
  </si>
  <si>
    <t>(C13W_vs_P13W_Transactions_Growth      10)</t>
  </si>
  <si>
    <t>(CW Transaction   10)</t>
  </si>
  <si>
    <t>(PW Transaction   10)</t>
  </si>
  <si>
    <t>(CW_vs_PW_Transactions_Growth      10)</t>
  </si>
  <si>
    <t>(C13W Expirations    10)</t>
  </si>
  <si>
    <t>(P13W Expirations     10)</t>
  </si>
  <si>
    <t>(C13W_vs_P13W_Expirations_Growth      10)</t>
  </si>
  <si>
    <t>(CYTD_vs_PYTD_Expirations_Growth      10)</t>
  </si>
  <si>
    <t>(Pharmacy      10)</t>
  </si>
  <si>
    <t>(Pharmacy      20)</t>
  </si>
  <si>
    <t>(Pharmacy      30)</t>
  </si>
  <si>
    <t>High Dropoff : 10 highest Rheum A patients not using copay card as a % of total</t>
  </si>
  <si>
    <t>Any Rheum A or Rheum B with 0 copay transactions C13W</t>
  </si>
  <si>
    <t>Any Derm A or Derm B with 0 copay transactions C13W</t>
  </si>
  <si>
    <t>Top 15 Rheum A/B highest decline in copay transaction growth from C26W vs. P26W</t>
  </si>
  <si>
    <t>Top 15 Derm A/B highest decline in copay transaction growth from C26W vs. P26W</t>
  </si>
  <si>
    <t>Top 15 physicians with highest CYTD vs. PYTD growth in #transactions</t>
  </si>
  <si>
    <t>Top 10 C13W vs P13W highest growth in % expirations</t>
  </si>
  <si>
    <t>(Activations)</t>
  </si>
  <si>
    <t>(Transactions)</t>
  </si>
  <si>
    <t>CYTD vs. PYTD
% Growth 
Activations</t>
  </si>
  <si>
    <t>CYTD vs. PYTD 
% Growth 
Transactions</t>
  </si>
  <si>
    <t>CYTD  Growth % 
Rank : Activations</t>
  </si>
  <si>
    <t>CYTD Growth %
 Rank : Transactions</t>
  </si>
  <si>
    <t>C52W Top Pharmacies
(Based on Volume of Transactions)</t>
  </si>
  <si>
    <t>Reset button resets the dropdown to "All" and resets column filters on the active sheet only</t>
  </si>
  <si>
    <t>To view additional details against a Physician press the  '+' button on top of the physician details header. This will allow you to expand/collapse the hidden columns</t>
  </si>
  <si>
    <t>Data Points</t>
  </si>
  <si>
    <t>Rankings are calculated on a basis of 1-1-1-4 ranking system i.e. Rank gets skipped in case of ties</t>
  </si>
  <si>
    <t>Patient to Physician mapping is done on the basis of first transaction irrespective of offer code</t>
  </si>
  <si>
    <t>National Rank for CYTD Growth Activations &amp; Transactions represents ranking of the district on a National level on the basis of CYTD vs PYTD Growth %</t>
  </si>
  <si>
    <t>Print button opens up the print dialog box</t>
  </si>
  <si>
    <t xml:space="preserve">"I want to see" dropdown on Physician Details sheet filters physicians from the provided 9 categories </t>
  </si>
  <si>
    <t>Data Values on Physician Sheet are shown for "ALL" program type</t>
  </si>
  <si>
    <t>Avg. Copay payout values show $0 if there is no transaction in the defined time period</t>
  </si>
  <si>
    <t>Week ending represents the end date till when the data has been taken into account</t>
  </si>
  <si>
    <t>Monthly Trend charts show data only for the completed calendar months</t>
  </si>
  <si>
    <t>Data Values on Dashboard Sheet are shown based on the selected program type in the dropdown</t>
  </si>
  <si>
    <t>Time to First Transaction KPI shows blank when there are no transactions / activations in the defined time period</t>
  </si>
  <si>
    <t>Data Values at Program type "All" represent Activity of patients across all program types and is not the actual sum of values of activity in each program type</t>
  </si>
  <si>
    <t>CW vs. PW
% Growth 
Transactions</t>
  </si>
  <si>
    <t>CW vs. PW
% Growth 
Activations</t>
  </si>
  <si>
    <t>C26W vs. P26W 
% Growth</t>
  </si>
  <si>
    <t xml:space="preserve">                    National Rank</t>
  </si>
  <si>
    <r>
      <t xml:space="preserve">Note: </t>
    </r>
    <r>
      <rPr>
        <sz val="11"/>
        <color indexed="10"/>
        <rFont val="宋体"/>
        <charset val="134"/>
      </rPr>
      <t>Graph data is loaded monthly. Scroll down to tables below to see most current weekly data.</t>
    </r>
  </si>
  <si>
    <t xml:space="preserve">Physician Details Tab: 'Reset' button will reset all filters on the page - even if you've filtered the data wihtout using the drop down </t>
  </si>
  <si>
    <t>Physician Details Tab: Sort order is always based on CYTD transactions(no matter what filter is selected from the 'I want to see' dropdown)</t>
  </si>
  <si>
    <t>Dashboards Tab: National Rank of copay activations and transactions is based on your sales force sleeve(eg. APEX, PINNACLE or SUMMIT)</t>
  </si>
  <si>
    <t xml:space="preserve">Time to 1st transaction: The time peroid of C52W works for all time periods scenarios where it can take that time for first transaction to happen. Also, this is an average value and taking long time periods affects the average drastically by even one consumer stats </t>
  </si>
  <si>
    <t>% of patients with active copay card with no transactions in C13W</t>
  </si>
  <si>
    <t>High Dropoff : 10 highest Derm A patients not using copay card as a % of total</t>
  </si>
  <si>
    <t>For Internal Use Only</t>
  </si>
  <si>
    <t>% Growth values are rounded off to 1 decimal place in all worksheets</t>
  </si>
  <si>
    <t>National Ranks are calculated on basis of % growth(taken upto 1 decimal place)</t>
  </si>
  <si>
    <t>Program Type filter allows to select a program type in  "All", "Retail","Debit","DMR"</t>
  </si>
  <si>
    <t>I want to see:</t>
  </si>
  <si>
    <r>
      <t>A</t>
    </r>
    <r>
      <rPr>
        <sz val="11"/>
        <color theme="1" tint="0.34998626667073579"/>
        <rFont val="宋体"/>
        <family val="3"/>
        <charset val="134"/>
        <scheme val="minor"/>
      </rPr>
      <t>ll</t>
    </r>
    <phoneticPr fontId="4" type="noConversion"/>
  </si>
  <si>
    <t>For mapping of data to respective Geography, following rules are applied
a)  Transactions | 1) If physician information is available for the claim, use customer to territory alignment first, then zip to territory. 2) If physician information is not available for the claim, use primary physician information for the patient, then use  customer to territory alignment first, then zip to territory. 3) If primary physician information for the patient is not available, use patient's zip code and zip to territory to align.
b)  Activations | 1) If the patient has claim, use physician information in 1st transaction to align (follow the rule for transactions). 2) If the paitent has no claim, use the primary physician information to align. 3) If primary physician information is not available, use patient's zip code and zip to territory to align.</t>
  </si>
  <si>
    <t>For physicians with NPI or Amgen customer ID, they are mapped to the geographical area of their primary address in the alignment table. If the physicians do not have NPI or Amgen customer ID, they will be grouped into all other physicians.</t>
  </si>
  <si>
    <t xml:space="preserve">Week Ending - </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</si>
</sst>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quot;$&quot;#,##0_);\(&quot;$&quot;#,##0\)"/>
    <numFmt numFmtId="177" formatCode="_(&quot;$&quot;* #,##0.00_);_(&quot;$&quot;* \(#,##0.00\);_(&quot;$&quot;* &quot;-&quot;??_);_(@_)"/>
    <numFmt numFmtId="178" formatCode="_(* #,##0.00_);_(* \(#,##0.00\);_(* &quot;-&quot;??_);_(@_)"/>
    <numFmt numFmtId="179" formatCode="&quot;$&quot;#,##0"/>
    <numFmt numFmtId="180" formatCode="00000"/>
    <numFmt numFmtId="181" formatCode="0.0%"/>
  </numFmts>
  <fonts count="45">
    <font>
      <sz val="11"/>
      <color theme="1"/>
      <name val="宋体"/>
      <charset val="134"/>
      <scheme val="minor"/>
    </font>
    <font>
      <sz val="11"/>
      <color theme="1"/>
      <name val="宋体"/>
      <family val="2"/>
      <scheme val="minor"/>
    </font>
    <font>
      <sz val="11"/>
      <color indexed="10"/>
      <name val="宋体"/>
      <charset val="134"/>
    </font>
    <font>
      <sz val="11"/>
      <name val="Calibri"/>
      <family val="2"/>
    </font>
    <font>
      <sz val="9"/>
      <name val="宋体"/>
      <charset val="134"/>
    </font>
    <font>
      <sz val="11"/>
      <color theme="1"/>
      <name val="宋体"/>
      <charset val="134"/>
      <scheme val="minor"/>
    </font>
    <font>
      <sz val="10"/>
      <color theme="1"/>
      <name val="宋体"/>
      <charset val="134"/>
      <scheme val="minor"/>
    </font>
    <font>
      <sz val="10"/>
      <color theme="0"/>
      <name val="宋体"/>
      <charset val="134"/>
      <scheme val="minor"/>
    </font>
    <font>
      <sz val="11"/>
      <name val="宋体"/>
      <charset val="134"/>
      <scheme val="minor"/>
    </font>
    <font>
      <sz val="10"/>
      <color rgb="FFFF0000"/>
      <name val="宋体"/>
      <charset val="134"/>
      <scheme val="minor"/>
    </font>
    <font>
      <sz val="12"/>
      <color theme="1" tint="0.34998626667073579"/>
      <name val="宋体"/>
      <charset val="134"/>
      <scheme val="minor"/>
    </font>
    <font>
      <sz val="11"/>
      <color theme="1" tint="0.34998626667073579"/>
      <name val="宋体"/>
      <charset val="134"/>
      <scheme val="minor"/>
    </font>
    <font>
      <b/>
      <sz val="11"/>
      <color theme="1"/>
      <name val="宋体"/>
      <charset val="134"/>
      <scheme val="minor"/>
    </font>
    <font>
      <b/>
      <sz val="11"/>
      <color theme="1" tint="0.34998626667073579"/>
      <name val="宋体"/>
      <charset val="134"/>
      <scheme val="minor"/>
    </font>
    <font>
      <sz val="10"/>
      <color rgb="FF0070C0"/>
      <name val="宋体"/>
      <charset val="134"/>
      <scheme val="minor"/>
    </font>
    <font>
      <sz val="12"/>
      <color theme="1"/>
      <name val="宋体"/>
      <charset val="134"/>
      <scheme val="minor"/>
    </font>
    <font>
      <sz val="10"/>
      <name val="宋体"/>
      <charset val="134"/>
      <scheme val="minor"/>
    </font>
    <font>
      <sz val="11"/>
      <color rgb="FF00B050"/>
      <name val="宋体"/>
      <charset val="134"/>
      <scheme val="minor"/>
    </font>
    <font>
      <sz val="11"/>
      <color rgb="FFFF0000"/>
      <name val="宋体"/>
      <charset val="134"/>
      <scheme val="minor"/>
    </font>
    <font>
      <b/>
      <sz val="10"/>
      <color rgb="FF0070C0"/>
      <name val="宋体"/>
      <charset val="134"/>
      <scheme val="minor"/>
    </font>
    <font>
      <sz val="9"/>
      <color theme="1"/>
      <name val="宋体"/>
      <charset val="134"/>
      <scheme val="minor"/>
    </font>
    <font>
      <sz val="10"/>
      <color theme="1" tint="0.34998626667073579"/>
      <name val="宋体"/>
      <charset val="134"/>
      <scheme val="minor"/>
    </font>
    <font>
      <sz val="18"/>
      <color theme="0"/>
      <name val="宋体"/>
      <charset val="134"/>
      <scheme val="minor"/>
    </font>
    <font>
      <b/>
      <sz val="10"/>
      <color theme="0"/>
      <name val="宋体"/>
      <charset val="134"/>
      <scheme val="minor"/>
    </font>
    <font>
      <b/>
      <sz val="18"/>
      <color theme="0"/>
      <name val="宋体"/>
      <charset val="134"/>
      <scheme val="minor"/>
    </font>
    <font>
      <sz val="8"/>
      <color theme="1"/>
      <name val="宋体"/>
      <charset val="134"/>
      <scheme val="minor"/>
    </font>
    <font>
      <b/>
      <sz val="11"/>
      <color theme="0"/>
      <name val="宋体"/>
      <charset val="134"/>
      <scheme val="minor"/>
    </font>
    <font>
      <b/>
      <sz val="11"/>
      <color rgb="FF00B050"/>
      <name val="宋体"/>
      <charset val="134"/>
      <scheme val="minor"/>
    </font>
    <font>
      <b/>
      <sz val="11"/>
      <color rgb="FFFF0000"/>
      <name val="宋体"/>
      <charset val="134"/>
      <scheme val="minor"/>
    </font>
    <font>
      <sz val="8"/>
      <color theme="1" tint="0.34998626667073579"/>
      <name val="宋体"/>
      <charset val="134"/>
      <scheme val="minor"/>
    </font>
    <font>
      <b/>
      <sz val="12"/>
      <color theme="1"/>
      <name val="宋体"/>
      <charset val="134"/>
      <scheme val="minor"/>
    </font>
    <font>
      <sz val="11"/>
      <color theme="1"/>
      <name val="Calibri"/>
      <family val="2"/>
    </font>
    <font>
      <sz val="11"/>
      <color rgb="FFFFFFFF"/>
      <name val="Calibri"/>
      <family val="2"/>
    </font>
    <font>
      <b/>
      <i/>
      <sz val="11"/>
      <color theme="1"/>
      <name val="宋体"/>
      <charset val="134"/>
      <scheme val="minor"/>
    </font>
    <font>
      <b/>
      <sz val="11"/>
      <color theme="6" tint="-0.499984740745262"/>
      <name val="宋体"/>
      <charset val="134"/>
      <scheme val="minor"/>
    </font>
    <font>
      <sz val="11"/>
      <color rgb="FF595959"/>
      <name val="宋体"/>
      <charset val="134"/>
      <scheme val="minor"/>
    </font>
    <font>
      <b/>
      <sz val="11"/>
      <color rgb="FF595959"/>
      <name val="Calibri"/>
      <family val="2"/>
    </font>
    <font>
      <b/>
      <sz val="12"/>
      <color theme="0"/>
      <name val="宋体"/>
      <charset val="134"/>
      <scheme val="minor"/>
    </font>
    <font>
      <sz val="11"/>
      <color rgb="FF000000"/>
      <name val="Calibri"/>
      <family val="2"/>
    </font>
    <font>
      <sz val="11"/>
      <color theme="1"/>
      <name val="宋体"/>
      <family val="3"/>
      <charset val="134"/>
      <scheme val="minor"/>
    </font>
    <font>
      <sz val="11"/>
      <color theme="0"/>
      <name val="宋体"/>
      <family val="3"/>
      <charset val="134"/>
      <scheme val="minor"/>
    </font>
    <font>
      <sz val="11"/>
      <color rgb="FF9C6500"/>
      <name val="宋体"/>
      <family val="3"/>
      <charset val="134"/>
      <scheme val="minor"/>
    </font>
    <font>
      <b/>
      <sz val="11"/>
      <color theme="1"/>
      <name val="宋体"/>
      <family val="3"/>
      <charset val="134"/>
      <scheme val="minor"/>
    </font>
    <font>
      <sz val="11"/>
      <color theme="1" tint="0.34998626667073579"/>
      <name val="宋体"/>
      <family val="3"/>
      <charset val="134"/>
      <scheme val="minor"/>
    </font>
    <font>
      <sz val="10"/>
      <color theme="1"/>
      <name val="宋体"/>
      <family val="3"/>
      <charset val="134"/>
      <scheme val="minor"/>
    </font>
  </fonts>
  <fills count="14">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002060"/>
        <bgColor indexed="64"/>
      </patternFill>
    </fill>
    <fill>
      <patternFill patternType="solid">
        <fgColor theme="7" tint="-0.24994659260841701"/>
        <bgColor indexed="64"/>
      </patternFill>
    </fill>
    <fill>
      <patternFill patternType="solid">
        <fgColor theme="4"/>
        <bgColor indexed="64"/>
      </patternFill>
    </fill>
    <fill>
      <patternFill patternType="solid">
        <fgColor rgb="FFFFFF00"/>
        <bgColor indexed="64"/>
      </patternFill>
    </fill>
    <fill>
      <patternFill patternType="solid">
        <fgColor rgb="FFF2F2F2"/>
        <bgColor rgb="FF000000"/>
      </patternFill>
    </fill>
    <fill>
      <patternFill patternType="solid">
        <fgColor theme="8" tint="0.39997558519241921"/>
        <bgColor indexed="64"/>
      </patternFill>
    </fill>
    <fill>
      <patternFill patternType="solid">
        <fgColor theme="6" tint="-0.249977111117893"/>
        <bgColor indexed="64"/>
      </patternFill>
    </fill>
    <fill>
      <patternFill patternType="solid">
        <fgColor rgb="FFFFEB9C"/>
      </patternFill>
    </fill>
    <fill>
      <patternFill patternType="solid">
        <fgColor theme="4"/>
      </patternFill>
    </fill>
  </fills>
  <borders count="66">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dotted">
        <color theme="0" tint="-0.14993743705557422"/>
      </bottom>
      <diagonal/>
    </border>
    <border>
      <left/>
      <right/>
      <top style="dotted">
        <color theme="0" tint="-0.14993743705557422"/>
      </top>
      <bottom style="dotted">
        <color theme="0" tint="-0.14993743705557422"/>
      </bottom>
      <diagonal/>
    </border>
    <border>
      <left/>
      <right/>
      <top style="thin">
        <color theme="0" tint="-0.14993743705557422"/>
      </top>
      <bottom style="dotted">
        <color theme="0" tint="-0.14993743705557422"/>
      </bottom>
      <diagonal/>
    </border>
    <border>
      <left/>
      <right/>
      <top style="medium">
        <color theme="0" tint="-0.14996795556505021"/>
      </top>
      <bottom/>
      <diagonal/>
    </border>
    <border>
      <left/>
      <right/>
      <top style="thin">
        <color theme="0" tint="-0.14990691854609822"/>
      </top>
      <bottom style="dotted">
        <color theme="0" tint="-0.14993743705557422"/>
      </bottom>
      <diagonal/>
    </border>
    <border>
      <left/>
      <right style="thin">
        <color theme="1" tint="0.34998626667073579"/>
      </right>
      <top/>
      <bottom/>
      <diagonal/>
    </border>
    <border>
      <left/>
      <right/>
      <top/>
      <bottom style="dotted">
        <color theme="0" tint="-0.14996795556505021"/>
      </bottom>
      <diagonal/>
    </border>
    <border>
      <left/>
      <right/>
      <top style="dotted">
        <color theme="0" tint="-0.14996795556505021"/>
      </top>
      <bottom style="dotted">
        <color theme="0" tint="-0.14996795556505021"/>
      </bottom>
      <diagonal/>
    </border>
    <border>
      <left/>
      <right/>
      <top style="medium">
        <color theme="0" tint="-0.14993743705557422"/>
      </top>
      <bottom style="thin">
        <color theme="0" tint="-0.14990691854609822"/>
      </bottom>
      <diagonal/>
    </border>
    <border>
      <left style="medium">
        <color theme="0" tint="-0.14990691854609822"/>
      </left>
      <right/>
      <top style="medium">
        <color theme="0" tint="-0.14993743705557422"/>
      </top>
      <bottom style="thin">
        <color theme="0" tint="-0.14990691854609822"/>
      </bottom>
      <diagonal/>
    </border>
    <border>
      <left/>
      <right/>
      <top style="medium">
        <color theme="0" tint="-0.14996795556505021"/>
      </top>
      <bottom style="thin">
        <color theme="0" tint="-0.14993743705557422"/>
      </bottom>
      <diagonal/>
    </border>
    <border>
      <left/>
      <right/>
      <top/>
      <bottom style="thin">
        <color theme="0" tint="-0.14990691854609822"/>
      </bottom>
      <diagonal/>
    </border>
    <border>
      <left/>
      <right/>
      <top style="dotted">
        <color theme="0" tint="-0.14993743705557422"/>
      </top>
      <bottom style="dotted">
        <color theme="0" tint="-0.14990691854609822"/>
      </bottom>
      <diagonal/>
    </border>
    <border>
      <left/>
      <right/>
      <top style="dotted">
        <color theme="0" tint="-0.14990691854609822"/>
      </top>
      <bottom style="dotted">
        <color theme="0" tint="-0.14990691854609822"/>
      </bottom>
      <diagonal/>
    </border>
    <border>
      <left/>
      <right/>
      <top style="dotted">
        <color theme="0" tint="-0.14990691854609822"/>
      </top>
      <bottom style="dotted">
        <color theme="0" tint="-0.14993743705557422"/>
      </bottom>
      <diagonal/>
    </border>
    <border>
      <left/>
      <right/>
      <top style="dotted">
        <color theme="0" tint="-0.14993743705557422"/>
      </top>
      <bottom/>
      <diagonal/>
    </border>
    <border>
      <left/>
      <right/>
      <top style="dotted">
        <color theme="0" tint="-0.14996795556505021"/>
      </top>
      <bottom/>
      <diagonal/>
    </border>
    <border>
      <left/>
      <right style="thin">
        <color theme="1" tint="0.34998626667073579"/>
      </right>
      <top/>
      <bottom style="thin">
        <color indexed="64"/>
      </bottom>
      <diagonal/>
    </border>
    <border>
      <left style="thin">
        <color indexed="64"/>
      </left>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medium">
        <color theme="0" tint="-0.14990691854609822"/>
      </left>
      <right/>
      <top style="medium">
        <color theme="0" tint="-0.14996795556505021"/>
      </top>
      <bottom/>
      <diagonal/>
    </border>
    <border>
      <left/>
      <right style="medium">
        <color theme="0" tint="-0.14990691854609822"/>
      </right>
      <top style="medium">
        <color theme="0" tint="-0.14996795556505021"/>
      </top>
      <bottom style="medium">
        <color theme="0" tint="-0.14993743705557422"/>
      </bottom>
      <diagonal/>
    </border>
    <border>
      <left/>
      <right style="medium">
        <color theme="0" tint="-0.14990691854609822"/>
      </right>
      <top style="medium">
        <color theme="0" tint="-0.14996795556505021"/>
      </top>
      <bottom/>
      <diagonal/>
    </border>
    <border>
      <left/>
      <right/>
      <top style="medium">
        <color theme="0" tint="-0.14996795556505021"/>
      </top>
      <bottom style="medium">
        <color theme="0" tint="-0.14993743705557422"/>
      </bottom>
      <diagonal/>
    </border>
    <border>
      <left/>
      <right style="thin">
        <color indexed="64"/>
      </right>
      <top style="medium">
        <color theme="0" tint="-0.14996795556505021"/>
      </top>
      <bottom style="medium">
        <color theme="0" tint="-0.14993743705557422"/>
      </bottom>
      <diagonal/>
    </border>
    <border>
      <left/>
      <right/>
      <top/>
      <bottom style="thin">
        <color theme="0" tint="-0.14993743705557422"/>
      </bottom>
      <diagonal/>
    </border>
    <border>
      <left/>
      <right/>
      <top/>
      <bottom style="dotted">
        <color rgb="FFD9D9D9"/>
      </bottom>
      <diagonal/>
    </border>
    <border>
      <left/>
      <right/>
      <top style="dotted">
        <color rgb="FFD9D9D9"/>
      </top>
      <bottom style="dotted">
        <color rgb="FFD9D9D9"/>
      </bottom>
      <diagonal/>
    </border>
    <border>
      <left/>
      <right/>
      <top style="dotted">
        <color rgb="FFD9D9D9"/>
      </top>
      <bottom style="medium">
        <color rgb="FFD9D9D9"/>
      </bottom>
      <diagonal/>
    </border>
    <border>
      <left style="medium">
        <color rgb="FFD9D9D9"/>
      </left>
      <right/>
      <top style="medium">
        <color rgb="FFD9D9D9"/>
      </top>
      <bottom style="dotted">
        <color rgb="FFD9D9D9"/>
      </bottom>
      <diagonal/>
    </border>
    <border>
      <left/>
      <right/>
      <top style="medium">
        <color rgb="FFD9D9D9"/>
      </top>
      <bottom style="dotted">
        <color rgb="FFD9D9D9"/>
      </bottom>
      <diagonal/>
    </border>
    <border>
      <left style="medium">
        <color rgb="FFD9D9D9"/>
      </left>
      <right/>
      <top style="dotted">
        <color rgb="FFD9D9D9"/>
      </top>
      <bottom style="dotted">
        <color rgb="FFD9D9D9"/>
      </bottom>
      <diagonal/>
    </border>
    <border>
      <left style="medium">
        <color rgb="FFD9D9D9"/>
      </left>
      <right/>
      <top style="dotted">
        <color rgb="FFD9D9D9"/>
      </top>
      <bottom style="medium">
        <color rgb="FFD9D9D9"/>
      </bottom>
      <diagonal/>
    </border>
    <border>
      <left/>
      <right/>
      <top style="medium">
        <color rgb="FFD9D9D9"/>
      </top>
      <bottom style="medium">
        <color rgb="FFD9D9D9"/>
      </bottom>
      <diagonal/>
    </border>
    <border>
      <left style="thin">
        <color indexed="64"/>
      </left>
      <right/>
      <top/>
      <bottom style="dotted">
        <color rgb="FFD9D9D9"/>
      </bottom>
      <diagonal/>
    </border>
    <border>
      <left style="thin">
        <color indexed="64"/>
      </left>
      <right/>
      <top style="dotted">
        <color rgb="FFD9D9D9"/>
      </top>
      <bottom style="dotted">
        <color rgb="FFD9D9D9"/>
      </bottom>
      <diagonal/>
    </border>
    <border>
      <left style="thin">
        <color indexed="64"/>
      </left>
      <right/>
      <top style="dotted">
        <color rgb="FFD9D9D9"/>
      </top>
      <bottom style="thin">
        <color indexed="64"/>
      </bottom>
      <diagonal/>
    </border>
    <border>
      <left/>
      <right/>
      <top style="dotted">
        <color rgb="FFD9D9D9"/>
      </top>
      <bottom style="thin">
        <color indexed="64"/>
      </bottom>
      <diagonal/>
    </border>
    <border>
      <left style="medium">
        <color rgb="FFD9D9D9"/>
      </left>
      <right/>
      <top style="dotted">
        <color rgb="FFD9D9D9"/>
      </top>
      <bottom style="thin">
        <color indexed="64"/>
      </bottom>
      <diagonal/>
    </border>
    <border>
      <left/>
      <right style="thin">
        <color indexed="64"/>
      </right>
      <top/>
      <bottom style="dotted">
        <color rgb="FFD9D9D9"/>
      </bottom>
      <diagonal/>
    </border>
    <border>
      <left/>
      <right style="thin">
        <color indexed="64"/>
      </right>
      <top style="dotted">
        <color rgb="FFD9D9D9"/>
      </top>
      <bottom style="thin">
        <color indexed="64"/>
      </bottom>
      <diagonal/>
    </border>
    <border>
      <left style="medium">
        <color theme="0" tint="-0.14990691854609822"/>
      </left>
      <right/>
      <top/>
      <bottom/>
      <diagonal/>
    </border>
    <border>
      <left/>
      <right style="medium">
        <color theme="0" tint="-0.14990691854609822"/>
      </right>
      <top/>
      <bottom/>
      <diagonal/>
    </border>
    <border>
      <left/>
      <right style="medium">
        <color rgb="FFD9D9D9"/>
      </right>
      <top style="medium">
        <color rgb="FFD9D9D9"/>
      </top>
      <bottom style="dotted">
        <color rgb="FFD9D9D9"/>
      </bottom>
      <diagonal/>
    </border>
    <border>
      <left/>
      <right style="medium">
        <color rgb="FFD9D9D9"/>
      </right>
      <top style="dotted">
        <color rgb="FFD9D9D9"/>
      </top>
      <bottom style="dotted">
        <color rgb="FFD9D9D9"/>
      </bottom>
      <diagonal/>
    </border>
    <border>
      <left/>
      <right style="medium">
        <color rgb="FFD9D9D9"/>
      </right>
      <top style="dotted">
        <color rgb="FFD9D9D9"/>
      </top>
      <bottom style="medium">
        <color rgb="FFD9D9D9"/>
      </bottom>
      <diagonal/>
    </border>
    <border>
      <left/>
      <right style="medium">
        <color rgb="FFD9D9D9"/>
      </right>
      <top style="dotted">
        <color rgb="FFD9D9D9"/>
      </top>
      <bottom style="thin">
        <color indexed="64"/>
      </bottom>
      <diagonal/>
    </border>
    <border>
      <left/>
      <right/>
      <top style="thin">
        <color theme="0" tint="-0.14990691854609822"/>
      </top>
      <bottom/>
      <diagonal/>
    </border>
    <border>
      <left style="medium">
        <color theme="0" tint="-0.14990691854609822"/>
      </left>
      <right/>
      <top style="dotted">
        <color theme="0" tint="-0.14993743705557422"/>
      </top>
      <bottom/>
      <diagonal/>
    </border>
    <border>
      <left style="medium">
        <color theme="0" tint="-0.14990691854609822"/>
      </left>
      <right/>
      <top style="dotted">
        <color theme="0" tint="-0.14996795556505021"/>
      </top>
      <bottom style="dotted">
        <color theme="0" tint="-0.14996795556505021"/>
      </bottom>
      <diagonal/>
    </border>
    <border>
      <left/>
      <right/>
      <top style="dotted">
        <color theme="0" tint="-0.14993743705557422"/>
      </top>
      <bottom style="thin">
        <color indexed="64"/>
      </bottom>
      <diagonal/>
    </border>
    <border>
      <left/>
      <right style="thin">
        <color indexed="64"/>
      </right>
      <top style="medium">
        <color theme="0" tint="-0.14996795556505021"/>
      </top>
      <bottom/>
      <diagonal/>
    </border>
    <border>
      <left/>
      <right/>
      <top/>
      <bottom style="medium">
        <color theme="0" tint="-0.14996795556505021"/>
      </bottom>
      <diagonal/>
    </border>
    <border>
      <left/>
      <right style="thin">
        <color indexed="64"/>
      </right>
      <top/>
      <bottom style="medium">
        <color theme="0" tint="-0.14996795556505021"/>
      </bottom>
      <diagonal/>
    </border>
    <border>
      <left style="medium">
        <color theme="0" tint="-0.14990691854609822"/>
      </left>
      <right/>
      <top style="medium">
        <color theme="0" tint="-0.14990691854609822"/>
      </top>
      <bottom style="medium">
        <color theme="0" tint="-0.14996795556505021"/>
      </bottom>
      <diagonal/>
    </border>
    <border>
      <left/>
      <right/>
      <top style="medium">
        <color theme="0" tint="-0.14990691854609822"/>
      </top>
      <bottom style="medium">
        <color theme="0" tint="-0.14996795556505021"/>
      </bottom>
      <diagonal/>
    </border>
    <border>
      <left/>
      <right style="medium">
        <color theme="0" tint="-0.14990691854609822"/>
      </right>
      <top style="medium">
        <color theme="0" tint="-0.14990691854609822"/>
      </top>
      <bottom style="medium">
        <color theme="0" tint="-0.14996795556505021"/>
      </bottom>
      <diagonal/>
    </border>
  </borders>
  <cellStyleXfs count="10">
    <xf numFmtId="0" fontId="0" fillId="0" borderId="0"/>
    <xf numFmtId="178" fontId="5" fillId="0" borderId="0" applyFont="0" applyFill="0" applyBorder="0" applyAlignment="0" applyProtection="0"/>
    <xf numFmtId="177" fontId="5" fillId="0" borderId="0" applyFont="0" applyFill="0" applyBorder="0" applyAlignment="0" applyProtection="0"/>
    <xf numFmtId="9" fontId="5" fillId="0" borderId="0" applyFont="0" applyFill="0" applyBorder="0" applyAlignment="0" applyProtection="0"/>
    <xf numFmtId="0" fontId="39" fillId="0" borderId="0"/>
    <xf numFmtId="0" fontId="40" fillId="13" borderId="0" applyNumberFormat="0" applyBorder="0" applyAlignment="0" applyProtection="0"/>
    <xf numFmtId="178" fontId="39" fillId="0" borderId="0" applyFont="0" applyFill="0" applyBorder="0" applyAlignment="0" applyProtection="0"/>
    <xf numFmtId="177" fontId="39" fillId="0" borderId="0" applyFont="0" applyFill="0" applyBorder="0" applyAlignment="0" applyProtection="0"/>
    <xf numFmtId="0" fontId="41" fillId="12" borderId="0" applyNumberFormat="0" applyBorder="0" applyAlignment="0" applyProtection="0"/>
    <xf numFmtId="9" fontId="39" fillId="0" borderId="0" applyFont="0" applyFill="0" applyBorder="0" applyAlignment="0" applyProtection="0"/>
  </cellStyleXfs>
  <cellXfs count="379">
    <xf numFmtId="0" fontId="0" fillId="0" borderId="0" xfId="0"/>
    <xf numFmtId="0" fontId="6" fillId="0" borderId="0" xfId="0" applyFont="1"/>
    <xf numFmtId="0" fontId="6" fillId="0" borderId="0" xfId="0" applyFont="1" applyAlignment="1">
      <alignment horizontal="center"/>
    </xf>
    <xf numFmtId="0" fontId="7" fillId="0" borderId="0" xfId="0" applyFont="1"/>
    <xf numFmtId="0" fontId="6" fillId="0" borderId="0" xfId="0" applyFont="1" applyBorder="1" applyAlignment="1">
      <alignment horizontal="center"/>
    </xf>
    <xf numFmtId="0" fontId="6" fillId="0" borderId="0" xfId="0" applyFont="1" applyBorder="1"/>
    <xf numFmtId="0" fontId="8" fillId="0" borderId="0" xfId="0" applyFont="1"/>
    <xf numFmtId="0" fontId="9" fillId="0" borderId="0" xfId="0" applyFont="1"/>
    <xf numFmtId="0" fontId="6" fillId="0" borderId="0" xfId="0" applyFont="1" applyFill="1" applyBorder="1"/>
    <xf numFmtId="0" fontId="10" fillId="0" borderId="0" xfId="0" applyFont="1" applyFill="1" applyBorder="1" applyAlignment="1">
      <alignment vertical="center"/>
    </xf>
    <xf numFmtId="0" fontId="0" fillId="0" borderId="0" xfId="0" applyFill="1" applyBorder="1"/>
    <xf numFmtId="0" fontId="11" fillId="0" borderId="9" xfId="0" applyFont="1" applyBorder="1"/>
    <xf numFmtId="0" fontId="11" fillId="2" borderId="10" xfId="0" applyFont="1" applyFill="1" applyBorder="1"/>
    <xf numFmtId="0" fontId="11" fillId="0" borderId="0" xfId="0" applyFont="1" applyBorder="1"/>
    <xf numFmtId="9" fontId="11" fillId="0" borderId="0" xfId="3" applyFont="1" applyBorder="1" applyAlignment="1">
      <alignment horizontal="center"/>
    </xf>
    <xf numFmtId="37" fontId="11" fillId="0" borderId="11" xfId="0" applyNumberFormat="1" applyFont="1" applyBorder="1" applyAlignment="1">
      <alignment horizontal="center" vertical="center"/>
    </xf>
    <xf numFmtId="179" fontId="11" fillId="0" borderId="9" xfId="0" applyNumberFormat="1" applyFont="1" applyBorder="1" applyAlignment="1">
      <alignment horizontal="center" vertical="center"/>
    </xf>
    <xf numFmtId="0" fontId="0" fillId="0" borderId="0" xfId="0" applyBorder="1"/>
    <xf numFmtId="0" fontId="12" fillId="0" borderId="0" xfId="0" applyFont="1" applyBorder="1" applyAlignment="1"/>
    <xf numFmtId="0" fontId="0" fillId="0" borderId="0" xfId="0" applyBorder="1" applyAlignment="1"/>
    <xf numFmtId="0" fontId="12" fillId="0" borderId="0" xfId="0" applyFont="1" applyBorder="1" applyAlignment="1">
      <alignment horizontal="center"/>
    </xf>
    <xf numFmtId="0" fontId="12" fillId="0" borderId="0" xfId="0" applyFont="1" applyBorder="1"/>
    <xf numFmtId="0" fontId="0" fillId="0" borderId="0" xfId="0" applyAlignment="1">
      <alignment horizontal="left" indent="1"/>
    </xf>
    <xf numFmtId="0" fontId="0" fillId="0" borderId="0" xfId="0" applyFill="1"/>
    <xf numFmtId="0" fontId="13" fillId="0" borderId="12" xfId="0" applyFont="1" applyBorder="1" applyAlignment="1"/>
    <xf numFmtId="0" fontId="0" fillId="0" borderId="0" xfId="0" applyFill="1" applyAlignment="1">
      <alignment horizontal="left"/>
    </xf>
    <xf numFmtId="0" fontId="6" fillId="0" borderId="0" xfId="0" applyFont="1" applyBorder="1" applyAlignment="1">
      <alignment vertical="top"/>
    </xf>
    <xf numFmtId="0" fontId="14" fillId="0" borderId="0" xfId="0" applyFont="1" applyBorder="1" applyAlignment="1">
      <alignment horizontal="center"/>
    </xf>
    <xf numFmtId="0" fontId="0" fillId="0" borderId="0" xfId="0" applyFont="1"/>
    <xf numFmtId="176" fontId="6" fillId="0" borderId="0" xfId="0" applyNumberFormat="1" applyFont="1" applyBorder="1" applyAlignment="1">
      <alignment horizontal="left" vertical="center"/>
    </xf>
    <xf numFmtId="0" fontId="6" fillId="0" borderId="0" xfId="0" applyFont="1" applyBorder="1" applyAlignment="1">
      <alignment vertical="center"/>
    </xf>
    <xf numFmtId="0" fontId="15" fillId="0" borderId="0" xfId="0" applyFont="1" applyBorder="1" applyAlignment="1"/>
    <xf numFmtId="0" fontId="16" fillId="0" borderId="0" xfId="0" applyFont="1"/>
    <xf numFmtId="0" fontId="13" fillId="0" borderId="0" xfId="0" applyFont="1" applyBorder="1"/>
    <xf numFmtId="9" fontId="13" fillId="0" borderId="0" xfId="3" applyNumberFormat="1" applyFont="1" applyBorder="1" applyAlignment="1">
      <alignment horizontal="right" indent="5"/>
    </xf>
    <xf numFmtId="9" fontId="17" fillId="0" borderId="9" xfId="3" applyFont="1" applyBorder="1" applyAlignment="1">
      <alignment horizontal="center"/>
    </xf>
    <xf numFmtId="0" fontId="12" fillId="0" borderId="0" xfId="0" applyFont="1" applyBorder="1" applyAlignment="1">
      <alignment horizontal="left"/>
    </xf>
    <xf numFmtId="0" fontId="0" fillId="0" borderId="0" xfId="0" applyBorder="1" applyAlignment="1">
      <alignment horizontal="left"/>
    </xf>
    <xf numFmtId="9" fontId="17" fillId="0" borderId="0" xfId="3" applyFont="1" applyBorder="1" applyAlignment="1">
      <alignment horizontal="center"/>
    </xf>
    <xf numFmtId="9" fontId="17" fillId="0" borderId="13" xfId="3" applyFont="1" applyBorder="1" applyAlignment="1"/>
    <xf numFmtId="9" fontId="18" fillId="2" borderId="10" xfId="3" applyFont="1" applyFill="1" applyBorder="1" applyAlignment="1"/>
    <xf numFmtId="9" fontId="17" fillId="3" borderId="0" xfId="3" applyFont="1" applyFill="1" applyBorder="1" applyAlignment="1">
      <alignment horizontal="center"/>
    </xf>
    <xf numFmtId="9" fontId="17" fillId="3" borderId="0" xfId="3" applyFont="1" applyFill="1" applyBorder="1" applyAlignment="1"/>
    <xf numFmtId="9" fontId="18" fillId="3" borderId="0" xfId="3" applyFont="1" applyFill="1" applyBorder="1" applyAlignment="1"/>
    <xf numFmtId="9" fontId="18" fillId="3" borderId="0" xfId="3" applyFont="1" applyFill="1" applyBorder="1" applyAlignment="1">
      <alignment horizontal="center"/>
    </xf>
    <xf numFmtId="16" fontId="19" fillId="0" borderId="0" xfId="0" applyNumberFormat="1" applyFont="1" applyBorder="1" applyAlignment="1">
      <alignment horizontal="left"/>
    </xf>
    <xf numFmtId="0" fontId="6" fillId="0" borderId="14" xfId="0" applyFont="1" applyBorder="1"/>
    <xf numFmtId="0" fontId="20" fillId="0" borderId="0" xfId="0" applyFont="1" applyBorder="1" applyAlignment="1">
      <alignment horizontal="left"/>
    </xf>
    <xf numFmtId="0" fontId="6" fillId="0" borderId="0" xfId="0" applyFont="1" applyBorder="1" applyAlignment="1">
      <alignment horizontal="left"/>
    </xf>
    <xf numFmtId="0" fontId="16" fillId="0" borderId="0" xfId="0" applyFont="1" applyBorder="1"/>
    <xf numFmtId="0" fontId="13" fillId="4" borderId="0" xfId="0" applyFont="1" applyFill="1" applyBorder="1"/>
    <xf numFmtId="9" fontId="13" fillId="4" borderId="0" xfId="3" applyNumberFormat="1" applyFont="1" applyFill="1" applyBorder="1" applyAlignment="1">
      <alignment horizontal="right" indent="5"/>
    </xf>
    <xf numFmtId="0" fontId="6" fillId="4" borderId="0" xfId="0" applyFont="1" applyFill="1" applyBorder="1" applyAlignment="1">
      <alignment horizontal="center"/>
    </xf>
    <xf numFmtId="0" fontId="6" fillId="4" borderId="0" xfId="0" applyFont="1" applyFill="1" applyBorder="1"/>
    <xf numFmtId="0" fontId="15" fillId="4" borderId="0" xfId="0" applyFont="1" applyFill="1" applyBorder="1" applyAlignment="1"/>
    <xf numFmtId="176" fontId="6" fillId="4" borderId="0" xfId="0" applyNumberFormat="1" applyFont="1" applyFill="1" applyBorder="1" applyAlignment="1">
      <alignment horizontal="left" vertical="center"/>
    </xf>
    <xf numFmtId="0" fontId="11" fillId="0" borderId="0" xfId="0" applyFont="1" applyBorder="1" applyAlignment="1">
      <alignment vertical="center" wrapText="1"/>
    </xf>
    <xf numFmtId="0" fontId="21" fillId="0" borderId="15" xfId="0" applyFont="1" applyBorder="1" applyAlignment="1">
      <alignment horizontal="left"/>
    </xf>
    <xf numFmtId="0" fontId="21" fillId="2" borderId="16" xfId="0" applyFont="1" applyFill="1" applyBorder="1" applyAlignment="1">
      <alignment horizontal="left"/>
    </xf>
    <xf numFmtId="0" fontId="21" fillId="0" borderId="16" xfId="0" applyFont="1" applyBorder="1" applyAlignment="1">
      <alignment horizontal="left"/>
    </xf>
    <xf numFmtId="0" fontId="22" fillId="5" borderId="0" xfId="0" applyFont="1" applyFill="1" applyBorder="1" applyAlignment="1">
      <alignment vertical="center"/>
    </xf>
    <xf numFmtId="0" fontId="23" fillId="5" borderId="1" xfId="0" applyFont="1" applyFill="1" applyBorder="1" applyAlignment="1">
      <alignment horizontal="right" vertical="center"/>
    </xf>
    <xf numFmtId="0" fontId="23" fillId="5" borderId="0" xfId="0" applyFont="1" applyFill="1" applyBorder="1" applyAlignment="1">
      <alignment horizontal="right" vertical="center"/>
    </xf>
    <xf numFmtId="37" fontId="7" fillId="0" borderId="0" xfId="1" applyNumberFormat="1" applyFont="1" applyBorder="1" applyAlignment="1">
      <alignment horizontal="center"/>
    </xf>
    <xf numFmtId="0" fontId="24" fillId="5" borderId="1" xfId="0" applyFont="1" applyFill="1" applyBorder="1" applyAlignment="1">
      <alignment vertical="top"/>
    </xf>
    <xf numFmtId="0" fontId="25" fillId="3" borderId="0" xfId="0" applyFont="1" applyFill="1" applyAlignment="1">
      <alignment horizontal="right"/>
    </xf>
    <xf numFmtId="0" fontId="6" fillId="0" borderId="0" xfId="0" applyFont="1" applyAlignment="1">
      <alignment vertical="top"/>
    </xf>
    <xf numFmtId="0" fontId="13" fillId="0" borderId="17" xfId="0" applyFont="1" applyBorder="1" applyAlignment="1">
      <alignment horizontal="center" vertical="top"/>
    </xf>
    <xf numFmtId="0" fontId="13" fillId="0" borderId="17" xfId="0" applyFont="1" applyBorder="1" applyAlignment="1">
      <alignment horizontal="center" vertical="top" wrapText="1"/>
    </xf>
    <xf numFmtId="0" fontId="13" fillId="0" borderId="17" xfId="0" applyFont="1" applyBorder="1" applyAlignment="1">
      <alignment vertical="top" wrapText="1"/>
    </xf>
    <xf numFmtId="0" fontId="13" fillId="3" borderId="0" xfId="0" applyFont="1" applyFill="1" applyBorder="1" applyAlignment="1">
      <alignment vertical="top" wrapText="1"/>
    </xf>
    <xf numFmtId="0" fontId="13" fillId="0" borderId="17" xfId="0" applyFont="1" applyBorder="1" applyAlignment="1">
      <alignment horizontal="left" vertical="top"/>
    </xf>
    <xf numFmtId="0" fontId="13" fillId="0" borderId="18" xfId="0" applyFont="1" applyBorder="1" applyAlignment="1">
      <alignment horizontal="center" vertical="top" wrapText="1"/>
    </xf>
    <xf numFmtId="0" fontId="13" fillId="0" borderId="19" xfId="0" applyFont="1" applyBorder="1" applyAlignment="1">
      <alignment horizontal="center" vertical="top" wrapText="1"/>
    </xf>
    <xf numFmtId="0" fontId="26" fillId="6" borderId="19" xfId="0" applyFont="1" applyFill="1" applyBorder="1" applyAlignment="1">
      <alignment horizontal="center" vertical="top" wrapText="1"/>
    </xf>
    <xf numFmtId="0" fontId="26" fillId="7" borderId="19" xfId="0" applyFont="1" applyFill="1" applyBorder="1" applyAlignment="1">
      <alignment horizontal="center" vertical="top" wrapText="1"/>
    </xf>
    <xf numFmtId="0" fontId="13" fillId="0" borderId="19" xfId="0" applyFont="1" applyBorder="1" applyAlignment="1">
      <alignment vertical="top" wrapText="1"/>
    </xf>
    <xf numFmtId="179" fontId="13" fillId="3" borderId="20" xfId="0" applyNumberFormat="1" applyFont="1" applyFill="1" applyBorder="1" applyAlignment="1">
      <alignment horizontal="center" vertical="center"/>
    </xf>
    <xf numFmtId="3" fontId="13" fillId="3" borderId="20" xfId="0" applyNumberFormat="1" applyFont="1" applyFill="1" applyBorder="1" applyAlignment="1">
      <alignment horizontal="center" vertical="center"/>
    </xf>
    <xf numFmtId="179" fontId="11" fillId="2" borderId="21" xfId="0" applyNumberFormat="1" applyFont="1" applyFill="1" applyBorder="1" applyAlignment="1">
      <alignment horizontal="center" vertical="center"/>
    </xf>
    <xf numFmtId="3" fontId="11" fillId="2" borderId="21" xfId="0" applyNumberFormat="1" applyFont="1" applyFill="1" applyBorder="1" applyAlignment="1">
      <alignment horizontal="center" vertical="center"/>
    </xf>
    <xf numFmtId="179" fontId="11" fillId="0" borderId="22" xfId="0" applyNumberFormat="1" applyFont="1" applyBorder="1" applyAlignment="1">
      <alignment horizontal="center" vertical="center"/>
    </xf>
    <xf numFmtId="37" fontId="11" fillId="0" borderId="22" xfId="0" applyNumberFormat="1" applyFont="1" applyBorder="1" applyAlignment="1">
      <alignment horizontal="center" vertical="center"/>
    </xf>
    <xf numFmtId="179" fontId="11" fillId="2" borderId="22" xfId="0" applyNumberFormat="1" applyFont="1" applyFill="1" applyBorder="1" applyAlignment="1">
      <alignment horizontal="center" vertical="center"/>
    </xf>
    <xf numFmtId="3" fontId="11" fillId="2" borderId="22" xfId="0" applyNumberFormat="1" applyFont="1" applyFill="1" applyBorder="1" applyAlignment="1">
      <alignment horizontal="center" vertical="center"/>
    </xf>
    <xf numFmtId="179" fontId="13" fillId="3" borderId="22" xfId="0" applyNumberFormat="1" applyFont="1" applyFill="1" applyBorder="1" applyAlignment="1">
      <alignment horizontal="center" vertical="center"/>
    </xf>
    <xf numFmtId="3" fontId="13" fillId="3" borderId="22" xfId="0" applyNumberFormat="1" applyFont="1" applyFill="1" applyBorder="1" applyAlignment="1">
      <alignment horizontal="center" vertical="center"/>
    </xf>
    <xf numFmtId="3" fontId="11" fillId="3" borderId="22" xfId="0" applyNumberFormat="1" applyFont="1" applyFill="1" applyBorder="1" applyAlignment="1">
      <alignment horizontal="center" vertical="center"/>
    </xf>
    <xf numFmtId="179" fontId="13" fillId="2" borderId="22" xfId="0" applyNumberFormat="1" applyFont="1" applyFill="1" applyBorder="1" applyAlignment="1">
      <alignment horizontal="center" vertical="center"/>
    </xf>
    <xf numFmtId="3" fontId="13" fillId="2" borderId="22" xfId="0" applyNumberFormat="1" applyFont="1" applyFill="1" applyBorder="1" applyAlignment="1">
      <alignment horizontal="center" vertical="center"/>
    </xf>
    <xf numFmtId="3" fontId="11" fillId="2" borderId="23" xfId="0" applyNumberFormat="1" applyFont="1" applyFill="1" applyBorder="1" applyAlignment="1">
      <alignment horizontal="center" vertical="center"/>
    </xf>
    <xf numFmtId="9" fontId="18" fillId="2" borderId="24" xfId="3" applyFont="1" applyFill="1" applyBorder="1" applyAlignment="1">
      <alignment horizontal="center"/>
    </xf>
    <xf numFmtId="9" fontId="17" fillId="0" borderId="16" xfId="3" applyFont="1" applyBorder="1" applyAlignment="1">
      <alignment horizontal="center"/>
    </xf>
    <xf numFmtId="9" fontId="18" fillId="2" borderId="16" xfId="3" applyFont="1" applyFill="1" applyBorder="1" applyAlignment="1">
      <alignment horizontal="center"/>
    </xf>
    <xf numFmtId="9" fontId="27" fillId="0" borderId="16" xfId="3" applyFont="1" applyBorder="1" applyAlignment="1">
      <alignment horizontal="center"/>
    </xf>
    <xf numFmtId="9" fontId="28" fillId="2" borderId="16" xfId="3" applyFont="1" applyFill="1" applyBorder="1" applyAlignment="1">
      <alignment horizontal="center"/>
    </xf>
    <xf numFmtId="0" fontId="0" fillId="0" borderId="0" xfId="0" applyAlignment="1">
      <alignment vertical="top"/>
    </xf>
    <xf numFmtId="0" fontId="8" fillId="0" borderId="0" xfId="0" applyFont="1" applyAlignment="1">
      <alignment vertical="top"/>
    </xf>
    <xf numFmtId="0" fontId="26" fillId="5" borderId="1" xfId="0" applyFont="1" applyFill="1" applyBorder="1" applyAlignment="1">
      <alignment vertical="center"/>
    </xf>
    <xf numFmtId="0" fontId="22" fillId="5" borderId="1" xfId="0" applyFont="1" applyFill="1" applyBorder="1" applyAlignment="1">
      <alignment vertical="center"/>
    </xf>
    <xf numFmtId="0" fontId="22" fillId="5" borderId="2" xfId="0" applyFont="1" applyFill="1" applyBorder="1" applyAlignment="1">
      <alignment horizontal="center" vertical="center"/>
    </xf>
    <xf numFmtId="0" fontId="22" fillId="5" borderId="0" xfId="0" applyFont="1" applyFill="1" applyBorder="1" applyAlignment="1">
      <alignment horizontal="centerContinuous" vertical="center"/>
    </xf>
    <xf numFmtId="0" fontId="22" fillId="5" borderId="3" xfId="0" applyFont="1" applyFill="1" applyBorder="1" applyAlignment="1">
      <alignment horizontal="centerContinuous" vertical="center"/>
    </xf>
    <xf numFmtId="0" fontId="22" fillId="5" borderId="4" xfId="0" applyFont="1" applyFill="1" applyBorder="1" applyAlignment="1">
      <alignment vertical="center"/>
    </xf>
    <xf numFmtId="0" fontId="22" fillId="5" borderId="3" xfId="0" applyFont="1" applyFill="1" applyBorder="1" applyAlignment="1">
      <alignment horizontal="center" vertical="center"/>
    </xf>
    <xf numFmtId="0" fontId="22" fillId="5" borderId="5" xfId="0" applyFont="1" applyFill="1" applyBorder="1" applyAlignment="1">
      <alignment vertical="center"/>
    </xf>
    <xf numFmtId="0" fontId="22" fillId="5" borderId="6" xfId="0" applyFont="1" applyFill="1" applyBorder="1" applyAlignment="1">
      <alignment horizontal="center" vertical="center"/>
    </xf>
    <xf numFmtId="0" fontId="20" fillId="0" borderId="0" xfId="0" applyFont="1" applyAlignment="1">
      <alignment horizontal="right"/>
    </xf>
    <xf numFmtId="37" fontId="6" fillId="0" borderId="0" xfId="1" applyNumberFormat="1" applyFont="1" applyBorder="1" applyAlignment="1">
      <alignment horizontal="center"/>
    </xf>
    <xf numFmtId="176" fontId="6" fillId="0" borderId="0" xfId="2" applyNumberFormat="1" applyFont="1" applyBorder="1" applyAlignment="1">
      <alignment horizontal="center"/>
    </xf>
    <xf numFmtId="0" fontId="19" fillId="0" borderId="0" xfId="0" applyFont="1" applyBorder="1" applyAlignment="1">
      <alignment horizontal="left" vertical="center"/>
    </xf>
    <xf numFmtId="0" fontId="14" fillId="0" borderId="0" xfId="0" applyFont="1" applyBorder="1"/>
    <xf numFmtId="0" fontId="29" fillId="0" borderId="0" xfId="0" applyFont="1" applyBorder="1" applyAlignment="1"/>
    <xf numFmtId="0" fontId="0" fillId="8" borderId="0" xfId="0" applyFill="1"/>
    <xf numFmtId="17" fontId="0" fillId="0" borderId="0" xfId="0" quotePrefix="1" applyNumberFormat="1"/>
    <xf numFmtId="0" fontId="30" fillId="0" borderId="0" xfId="0" applyFont="1"/>
    <xf numFmtId="0" fontId="11" fillId="0" borderId="0" xfId="0" applyFont="1" applyAlignment="1">
      <alignment horizontal="left" vertical="top"/>
    </xf>
    <xf numFmtId="0" fontId="11" fillId="0" borderId="0" xfId="0" applyFont="1" applyAlignment="1">
      <alignment horizontal="left" vertical="center"/>
    </xf>
    <xf numFmtId="0" fontId="31" fillId="0" borderId="0" xfId="0" applyFont="1" applyFill="1" applyBorder="1"/>
    <xf numFmtId="0" fontId="3" fillId="0" borderId="0" xfId="0" applyFont="1" applyFill="1" applyBorder="1"/>
    <xf numFmtId="0" fontId="32" fillId="0" borderId="0" xfId="0" applyFont="1" applyFill="1" applyBorder="1" applyAlignment="1">
      <alignment vertical="center"/>
    </xf>
    <xf numFmtId="0" fontId="32" fillId="0" borderId="0" xfId="0" applyFont="1" applyFill="1" applyBorder="1" applyAlignment="1">
      <alignment horizontal="left" vertical="center"/>
    </xf>
    <xf numFmtId="0" fontId="32" fillId="0" borderId="0" xfId="0" applyFont="1" applyFill="1" applyBorder="1"/>
    <xf numFmtId="0" fontId="6" fillId="0" borderId="4" xfId="0" applyFont="1" applyBorder="1"/>
    <xf numFmtId="0" fontId="6" fillId="0" borderId="4" xfId="0" applyFont="1" applyBorder="1" applyAlignment="1">
      <alignment vertical="top"/>
    </xf>
    <xf numFmtId="0" fontId="22" fillId="5" borderId="7" xfId="0" applyFont="1" applyFill="1" applyBorder="1" applyAlignment="1">
      <alignment vertical="center"/>
    </xf>
    <xf numFmtId="0" fontId="6" fillId="0" borderId="8" xfId="0" applyFont="1" applyBorder="1"/>
    <xf numFmtId="0" fontId="6" fillId="0" borderId="5" xfId="0" applyFont="1" applyBorder="1"/>
    <xf numFmtId="0" fontId="11" fillId="0" borderId="5" xfId="0" applyFont="1" applyBorder="1" applyAlignment="1">
      <alignment vertical="center"/>
    </xf>
    <xf numFmtId="0" fontId="6" fillId="0" borderId="3" xfId="0" applyFont="1" applyBorder="1"/>
    <xf numFmtId="0" fontId="13" fillId="3" borderId="3" xfId="0" applyFont="1" applyFill="1" applyBorder="1" applyAlignment="1">
      <alignment vertical="top" wrapText="1"/>
    </xf>
    <xf numFmtId="9" fontId="17" fillId="3" borderId="3" xfId="3" applyFont="1" applyFill="1" applyBorder="1" applyAlignment="1"/>
    <xf numFmtId="9" fontId="18" fillId="3" borderId="3" xfId="3" applyFont="1" applyFill="1" applyBorder="1" applyAlignment="1"/>
    <xf numFmtId="9" fontId="17" fillId="3" borderId="3" xfId="3" applyFont="1" applyFill="1" applyBorder="1" applyAlignment="1">
      <alignment horizontal="center"/>
    </xf>
    <xf numFmtId="9" fontId="18" fillId="3" borderId="3" xfId="3" applyFont="1" applyFill="1" applyBorder="1" applyAlignment="1">
      <alignment horizontal="center"/>
    </xf>
    <xf numFmtId="176" fontId="6" fillId="3" borderId="3" xfId="0" applyNumberFormat="1" applyFont="1" applyFill="1" applyBorder="1" applyAlignment="1">
      <alignment horizontal="left" vertical="center"/>
    </xf>
    <xf numFmtId="176" fontId="6" fillId="0" borderId="3" xfId="0" applyNumberFormat="1" applyFont="1" applyBorder="1" applyAlignment="1">
      <alignment horizontal="left" vertical="center"/>
    </xf>
    <xf numFmtId="0" fontId="13" fillId="3" borderId="3" xfId="0" applyFont="1" applyFill="1" applyBorder="1" applyAlignment="1">
      <alignment horizontal="center" vertical="top" wrapText="1"/>
    </xf>
    <xf numFmtId="37" fontId="11" fillId="3" borderId="3" xfId="0" applyNumberFormat="1" applyFont="1" applyFill="1" applyBorder="1" applyAlignment="1">
      <alignment horizontal="center" vertical="center"/>
    </xf>
    <xf numFmtId="3" fontId="11" fillId="3" borderId="3" xfId="0" applyNumberFormat="1" applyFont="1" applyFill="1" applyBorder="1" applyAlignment="1">
      <alignment horizontal="center" vertical="center"/>
    </xf>
    <xf numFmtId="3" fontId="13" fillId="3" borderId="3" xfId="0" applyNumberFormat="1" applyFont="1" applyFill="1" applyBorder="1" applyAlignment="1">
      <alignment horizontal="center" vertical="center"/>
    </xf>
    <xf numFmtId="0" fontId="6" fillId="3" borderId="3" xfId="0" applyFont="1" applyFill="1" applyBorder="1"/>
    <xf numFmtId="0" fontId="6" fillId="3" borderId="6" xfId="0" applyFont="1" applyFill="1" applyBorder="1"/>
    <xf numFmtId="0" fontId="0" fillId="0" borderId="0" xfId="0" applyBorder="1" applyAlignment="1">
      <alignment horizontal="left" indent="1"/>
    </xf>
    <xf numFmtId="0" fontId="12" fillId="0" borderId="0" xfId="0" applyFont="1" applyFill="1" applyBorder="1" applyAlignment="1">
      <alignment horizontal="left"/>
    </xf>
    <xf numFmtId="0" fontId="14" fillId="0" borderId="0" xfId="0" applyFont="1" applyBorder="1" applyAlignment="1">
      <alignment horizontal="right"/>
    </xf>
    <xf numFmtId="0" fontId="12" fillId="0" borderId="0" xfId="0" applyFont="1" applyFill="1" applyBorder="1" applyAlignment="1"/>
    <xf numFmtId="0" fontId="12" fillId="0" borderId="0" xfId="0" applyFont="1" applyFill="1" applyBorder="1" applyAlignment="1">
      <alignment horizontal="left" vertical="center"/>
    </xf>
    <xf numFmtId="0" fontId="23" fillId="5" borderId="7" xfId="0" applyFont="1" applyFill="1" applyBorder="1" applyAlignment="1">
      <alignment horizontal="left" vertical="center"/>
    </xf>
    <xf numFmtId="0" fontId="23" fillId="5" borderId="4" xfId="0" applyFont="1" applyFill="1" applyBorder="1" applyAlignment="1">
      <alignment horizontal="left" vertical="center"/>
    </xf>
    <xf numFmtId="0" fontId="0" fillId="0" borderId="4" xfId="0" applyBorder="1"/>
    <xf numFmtId="0" fontId="12" fillId="0" borderId="4" xfId="0" applyFont="1" applyFill="1" applyBorder="1" applyAlignment="1">
      <alignment vertical="center"/>
    </xf>
    <xf numFmtId="0" fontId="22" fillId="5" borderId="2" xfId="0" applyFont="1" applyFill="1" applyBorder="1" applyAlignment="1">
      <alignment vertical="center"/>
    </xf>
    <xf numFmtId="0" fontId="22" fillId="5" borderId="3" xfId="0" applyFont="1" applyFill="1" applyBorder="1" applyAlignment="1">
      <alignment vertical="center"/>
    </xf>
    <xf numFmtId="0" fontId="0" fillId="0" borderId="3" xfId="0" applyBorder="1" applyAlignment="1">
      <alignment horizontal="left" indent="1"/>
    </xf>
    <xf numFmtId="0" fontId="0" fillId="0" borderId="0" xfId="0"/>
    <xf numFmtId="0" fontId="0" fillId="0" borderId="0" xfId="0"/>
    <xf numFmtId="0" fontId="11" fillId="0" borderId="11" xfId="0" applyNumberFormat="1" applyFont="1" applyBorder="1" applyAlignment="1">
      <alignment horizontal="center" vertical="center"/>
    </xf>
    <xf numFmtId="0" fontId="11" fillId="2" borderId="21" xfId="0" applyNumberFormat="1" applyFont="1" applyFill="1" applyBorder="1" applyAlignment="1">
      <alignment horizontal="center" vertical="center"/>
    </xf>
    <xf numFmtId="0" fontId="11" fillId="0" borderId="22" xfId="0" applyNumberFormat="1" applyFont="1" applyBorder="1" applyAlignment="1">
      <alignment horizontal="center" vertical="center"/>
    </xf>
    <xf numFmtId="0" fontId="11" fillId="2" borderId="22" xfId="0" applyNumberFormat="1" applyFont="1" applyFill="1" applyBorder="1" applyAlignment="1">
      <alignment horizontal="center" vertical="center"/>
    </xf>
    <xf numFmtId="0" fontId="13" fillId="3" borderId="22" xfId="0" applyNumberFormat="1" applyFont="1" applyFill="1" applyBorder="1" applyAlignment="1">
      <alignment horizontal="center" vertical="center"/>
    </xf>
    <xf numFmtId="0" fontId="13" fillId="2" borderId="22" xfId="0" applyNumberFormat="1" applyFont="1" applyFill="1" applyBorder="1" applyAlignment="1">
      <alignment horizontal="center" vertical="center"/>
    </xf>
    <xf numFmtId="0" fontId="13" fillId="3" borderId="20" xfId="0" applyNumberFormat="1" applyFont="1" applyFill="1" applyBorder="1" applyAlignment="1">
      <alignment horizontal="center" vertical="center"/>
    </xf>
    <xf numFmtId="0" fontId="6" fillId="0" borderId="0" xfId="0" applyNumberFormat="1" applyFont="1" applyBorder="1" applyAlignment="1">
      <alignment horizontal="center"/>
    </xf>
    <xf numFmtId="3" fontId="11" fillId="0" borderId="9" xfId="0" applyNumberFormat="1" applyFont="1" applyBorder="1" applyAlignment="1">
      <alignment horizontal="center" vertical="center"/>
    </xf>
    <xf numFmtId="3" fontId="11" fillId="0" borderId="22" xfId="0" applyNumberFormat="1" applyFont="1" applyBorder="1" applyAlignment="1">
      <alignment horizontal="center" vertical="center"/>
    </xf>
    <xf numFmtId="3" fontId="6" fillId="0" borderId="0" xfId="0" applyNumberFormat="1" applyFont="1" applyBorder="1" applyAlignment="1">
      <alignment horizontal="center"/>
    </xf>
    <xf numFmtId="3" fontId="11" fillId="0" borderId="5" xfId="0" applyNumberFormat="1" applyFont="1" applyBorder="1" applyAlignment="1">
      <alignment vertical="center"/>
    </xf>
    <xf numFmtId="3" fontId="11" fillId="2" borderId="10" xfId="0" applyNumberFormat="1" applyFont="1" applyFill="1" applyBorder="1" applyAlignment="1">
      <alignment horizontal="center" vertical="center"/>
    </xf>
    <xf numFmtId="0" fontId="11" fillId="2" borderId="25" xfId="0" applyFont="1" applyFill="1" applyBorder="1" applyAlignment="1">
      <alignment horizontal="left" vertical="center"/>
    </xf>
    <xf numFmtId="0" fontId="11" fillId="0" borderId="16" xfId="0" applyFont="1" applyBorder="1" applyAlignment="1">
      <alignment horizontal="left" vertical="center"/>
    </xf>
    <xf numFmtId="0" fontId="11" fillId="2" borderId="16" xfId="0" applyFont="1" applyFill="1" applyBorder="1" applyAlignment="1">
      <alignment horizontal="left" vertical="center"/>
    </xf>
    <xf numFmtId="0" fontId="13" fillId="0" borderId="16" xfId="0" applyFont="1" applyBorder="1" applyAlignment="1">
      <alignment horizontal="left" vertical="center"/>
    </xf>
    <xf numFmtId="0" fontId="13" fillId="2" borderId="16" xfId="0" applyFont="1" applyFill="1" applyBorder="1" applyAlignment="1">
      <alignment horizontal="left" vertical="center"/>
    </xf>
    <xf numFmtId="0" fontId="0" fillId="0" borderId="0" xfId="0" applyAlignment="1">
      <alignment vertical="center"/>
    </xf>
    <xf numFmtId="0" fontId="0" fillId="0" borderId="0" xfId="0" applyAlignment="1">
      <alignment horizontal="left" vertical="center"/>
    </xf>
    <xf numFmtId="0" fontId="0" fillId="0" borderId="0" xfId="0" applyAlignment="1">
      <alignment horizontal="center" vertical="center"/>
    </xf>
    <xf numFmtId="0" fontId="0" fillId="0" borderId="0" xfId="0" applyFont="1" applyBorder="1" applyAlignment="1">
      <alignment vertical="top"/>
    </xf>
    <xf numFmtId="180" fontId="0" fillId="0" borderId="0" xfId="0" applyNumberFormat="1" applyAlignment="1">
      <alignment vertical="center"/>
    </xf>
    <xf numFmtId="0" fontId="6" fillId="3" borderId="0" xfId="0" applyFont="1" applyFill="1" applyBorder="1"/>
    <xf numFmtId="0" fontId="6" fillId="3" borderId="4" xfId="0" applyFont="1" applyFill="1" applyBorder="1"/>
    <xf numFmtId="0" fontId="12" fillId="3" borderId="4" xfId="0" applyFont="1" applyFill="1" applyBorder="1" applyAlignment="1"/>
    <xf numFmtId="0" fontId="6" fillId="3" borderId="8" xfId="0" applyFont="1" applyFill="1" applyBorder="1"/>
    <xf numFmtId="0" fontId="6" fillId="0" borderId="26" xfId="0" applyFont="1" applyBorder="1"/>
    <xf numFmtId="0" fontId="14" fillId="3" borderId="0" xfId="0" applyFont="1" applyFill="1" applyBorder="1" applyAlignment="1">
      <alignment horizontal="center"/>
    </xf>
    <xf numFmtId="9" fontId="14" fillId="3" borderId="0" xfId="3" applyFont="1" applyFill="1" applyBorder="1" applyAlignment="1">
      <alignment horizontal="center"/>
    </xf>
    <xf numFmtId="1" fontId="14" fillId="3" borderId="0" xfId="3" applyNumberFormat="1" applyFont="1" applyFill="1" applyBorder="1" applyAlignment="1">
      <alignment horizontal="center"/>
    </xf>
    <xf numFmtId="0" fontId="33" fillId="4" borderId="0" xfId="0" applyFont="1" applyFill="1" applyBorder="1" applyAlignment="1">
      <alignment horizontal="left" vertical="center"/>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xf numFmtId="0" fontId="0" fillId="0" borderId="14" xfId="0" applyFont="1" applyBorder="1" applyAlignment="1">
      <alignment horizontal="left" vertical="center"/>
    </xf>
    <xf numFmtId="0" fontId="0" fillId="0" borderId="0" xfId="0" applyFont="1" applyBorder="1" applyAlignment="1">
      <alignment horizontal="left" vertical="center"/>
    </xf>
    <xf numFmtId="0" fontId="0" fillId="0" borderId="0" xfId="0" applyFont="1" applyAlignment="1">
      <alignment horizontal="left" vertical="center"/>
    </xf>
    <xf numFmtId="0" fontId="0" fillId="0" borderId="3" xfId="0" applyFont="1" applyBorder="1" applyAlignment="1">
      <alignment horizontal="left" vertical="center"/>
    </xf>
    <xf numFmtId="0" fontId="13" fillId="0" borderId="27" xfId="0" applyNumberFormat="1" applyFont="1" applyBorder="1" applyAlignment="1">
      <alignment horizontal="left" vertical="top" wrapText="1"/>
    </xf>
    <xf numFmtId="0" fontId="13" fillId="0" borderId="28" xfId="0" applyNumberFormat="1" applyFont="1" applyBorder="1" applyAlignment="1">
      <alignment horizontal="left" vertical="top" wrapText="1"/>
    </xf>
    <xf numFmtId="0" fontId="34" fillId="3" borderId="28" xfId="0" applyNumberFormat="1" applyFont="1" applyFill="1" applyBorder="1" applyAlignment="1">
      <alignment horizontal="center" vertical="top" wrapText="1"/>
    </xf>
    <xf numFmtId="0" fontId="13" fillId="0" borderId="28" xfId="0" applyNumberFormat="1" applyFont="1" applyBorder="1" applyAlignment="1">
      <alignment horizontal="center" vertical="top" wrapText="1"/>
    </xf>
    <xf numFmtId="0" fontId="13" fillId="0" borderId="29" xfId="0" applyNumberFormat="1" applyFont="1" applyBorder="1" applyAlignment="1">
      <alignment horizontal="center" vertical="top" wrapText="1"/>
    </xf>
    <xf numFmtId="0" fontId="13" fillId="0" borderId="12" xfId="0" applyNumberFormat="1" applyFont="1" applyFill="1" applyBorder="1" applyAlignment="1">
      <alignment horizontal="center" vertical="top" wrapText="1"/>
    </xf>
    <xf numFmtId="0" fontId="13" fillId="0" borderId="30" xfId="0" applyNumberFormat="1" applyFont="1" applyBorder="1" applyAlignment="1">
      <alignment horizontal="center" vertical="top" wrapText="1"/>
    </xf>
    <xf numFmtId="0" fontId="13" fillId="0" borderId="12" xfId="0" applyNumberFormat="1" applyFont="1" applyBorder="1" applyAlignment="1">
      <alignment horizontal="center" vertical="top" wrapText="1"/>
    </xf>
    <xf numFmtId="0" fontId="13" fillId="0" borderId="31" xfId="0" applyNumberFormat="1" applyFont="1" applyBorder="1" applyAlignment="1">
      <alignment horizontal="center" vertical="top" wrapText="1"/>
    </xf>
    <xf numFmtId="0" fontId="13" fillId="0" borderId="32" xfId="0" applyNumberFormat="1" applyFont="1" applyBorder="1" applyAlignment="1">
      <alignment horizontal="left" vertical="top" wrapText="1"/>
    </xf>
    <xf numFmtId="0" fontId="13" fillId="0" borderId="32" xfId="3" applyNumberFormat="1" applyFont="1" applyBorder="1" applyAlignment="1">
      <alignment horizontal="left" vertical="top" wrapText="1"/>
    </xf>
    <xf numFmtId="0" fontId="13" fillId="0" borderId="33" xfId="2" applyNumberFormat="1" applyFont="1" applyBorder="1" applyAlignment="1">
      <alignment horizontal="left" vertical="top" wrapText="1"/>
    </xf>
    <xf numFmtId="0" fontId="11" fillId="2" borderId="10" xfId="0" applyFont="1" applyFill="1" applyBorder="1" applyAlignment="1">
      <alignment horizontal="left" vertical="center"/>
    </xf>
    <xf numFmtId="0" fontId="11" fillId="0" borderId="9" xfId="0" applyFont="1" applyBorder="1" applyAlignment="1">
      <alignment horizontal="left" vertical="center"/>
    </xf>
    <xf numFmtId="0" fontId="11" fillId="2" borderId="21" xfId="0" applyFont="1" applyFill="1" applyBorder="1" applyAlignment="1">
      <alignment horizontal="left" vertical="center"/>
    </xf>
    <xf numFmtId="0" fontId="11" fillId="0" borderId="22" xfId="0" applyFont="1" applyBorder="1" applyAlignment="1">
      <alignment horizontal="left" vertical="center"/>
    </xf>
    <xf numFmtId="0" fontId="11" fillId="2" borderId="22" xfId="0" applyFont="1" applyFill="1" applyBorder="1" applyAlignment="1">
      <alignment horizontal="left" vertical="center"/>
    </xf>
    <xf numFmtId="0" fontId="13" fillId="2" borderId="22" xfId="0" applyFont="1" applyFill="1" applyBorder="1" applyAlignment="1">
      <alignment horizontal="left" vertical="center"/>
    </xf>
    <xf numFmtId="0" fontId="13" fillId="3" borderId="22" xfId="0" applyFont="1" applyFill="1" applyBorder="1" applyAlignment="1">
      <alignment horizontal="left" vertical="center"/>
    </xf>
    <xf numFmtId="0" fontId="13" fillId="3" borderId="34" xfId="0" applyFont="1" applyFill="1" applyBorder="1" applyAlignment="1">
      <alignment horizontal="left" vertical="center"/>
    </xf>
    <xf numFmtId="0" fontId="35" fillId="0" borderId="35" xfId="0" applyFont="1" applyFill="1" applyBorder="1" applyAlignment="1">
      <alignment horizontal="left" vertical="center"/>
    </xf>
    <xf numFmtId="0" fontId="35" fillId="9" borderId="36" xfId="0" applyFont="1" applyFill="1" applyBorder="1" applyAlignment="1">
      <alignment horizontal="left" vertical="center"/>
    </xf>
    <xf numFmtId="0" fontId="35" fillId="0" borderId="36" xfId="0" applyFont="1" applyFill="1" applyBorder="1" applyAlignment="1">
      <alignment horizontal="left" vertical="center"/>
    </xf>
    <xf numFmtId="0" fontId="35" fillId="0" borderId="37" xfId="0" applyFont="1" applyFill="1" applyBorder="1" applyAlignment="1">
      <alignment horizontal="left" vertical="center"/>
    </xf>
    <xf numFmtId="0" fontId="35" fillId="0" borderId="35" xfId="3" applyNumberFormat="1" applyFont="1" applyFill="1" applyBorder="1" applyAlignment="1">
      <alignment horizontal="left" vertical="center"/>
    </xf>
    <xf numFmtId="0" fontId="35" fillId="9" borderId="36" xfId="3" applyNumberFormat="1" applyFont="1" applyFill="1" applyBorder="1" applyAlignment="1">
      <alignment horizontal="left" vertical="center"/>
    </xf>
    <xf numFmtId="0" fontId="35" fillId="0" borderId="37" xfId="3" applyNumberFormat="1" applyFont="1" applyFill="1" applyBorder="1" applyAlignment="1">
      <alignment horizontal="left" vertical="center"/>
    </xf>
    <xf numFmtId="9" fontId="35" fillId="0" borderId="35" xfId="3" applyFont="1" applyFill="1" applyBorder="1" applyAlignment="1">
      <alignment horizontal="center" vertical="center"/>
    </xf>
    <xf numFmtId="9" fontId="35" fillId="9" borderId="36" xfId="3" applyFont="1" applyFill="1" applyBorder="1" applyAlignment="1">
      <alignment horizontal="center" vertical="center"/>
    </xf>
    <xf numFmtId="9" fontId="35" fillId="0" borderId="37" xfId="3" applyFont="1" applyFill="1" applyBorder="1" applyAlignment="1">
      <alignment horizontal="center" vertical="center"/>
    </xf>
    <xf numFmtId="1" fontId="35" fillId="0" borderId="35" xfId="0" applyNumberFormat="1" applyFont="1" applyFill="1" applyBorder="1" applyAlignment="1">
      <alignment horizontal="center" vertical="center"/>
    </xf>
    <xf numFmtId="1" fontId="35" fillId="9" borderId="36" xfId="0" applyNumberFormat="1" applyFont="1" applyFill="1" applyBorder="1" applyAlignment="1">
      <alignment horizontal="center" vertical="center"/>
    </xf>
    <xf numFmtId="1" fontId="35" fillId="0" borderId="36" xfId="0" applyNumberFormat="1" applyFont="1" applyFill="1" applyBorder="1" applyAlignment="1">
      <alignment horizontal="center" vertical="center"/>
    </xf>
    <xf numFmtId="1" fontId="35" fillId="0" borderId="37" xfId="0" applyNumberFormat="1" applyFont="1" applyFill="1" applyBorder="1" applyAlignment="1">
      <alignment horizontal="center" vertical="center"/>
    </xf>
    <xf numFmtId="180" fontId="35" fillId="0" borderId="35" xfId="0" applyNumberFormat="1" applyFont="1" applyFill="1" applyBorder="1" applyAlignment="1">
      <alignment horizontal="center" vertical="center"/>
    </xf>
    <xf numFmtId="180" fontId="35" fillId="9" borderId="36" xfId="0" applyNumberFormat="1" applyFont="1" applyFill="1" applyBorder="1" applyAlignment="1">
      <alignment horizontal="center" vertical="center"/>
    </xf>
    <xf numFmtId="180" fontId="35" fillId="0" borderId="36" xfId="0" applyNumberFormat="1" applyFont="1" applyFill="1" applyBorder="1" applyAlignment="1">
      <alignment horizontal="center" vertical="center"/>
    </xf>
    <xf numFmtId="180" fontId="35" fillId="0" borderId="37" xfId="0" applyNumberFormat="1" applyFont="1" applyFill="1" applyBorder="1" applyAlignment="1">
      <alignment horizontal="center" vertical="center"/>
    </xf>
    <xf numFmtId="0" fontId="35" fillId="0" borderId="35" xfId="0" applyNumberFormat="1" applyFont="1" applyFill="1" applyBorder="1" applyAlignment="1">
      <alignment horizontal="center" vertical="center"/>
    </xf>
    <xf numFmtId="0" fontId="35" fillId="9" borderId="36" xfId="0" applyNumberFormat="1" applyFont="1" applyFill="1" applyBorder="1" applyAlignment="1">
      <alignment horizontal="center" vertical="center"/>
    </xf>
    <xf numFmtId="0" fontId="35" fillId="0" borderId="36" xfId="0" applyNumberFormat="1" applyFont="1" applyFill="1" applyBorder="1" applyAlignment="1">
      <alignment horizontal="center" vertical="center"/>
    </xf>
    <xf numFmtId="0" fontId="35" fillId="0" borderId="37" xfId="0" applyNumberFormat="1" applyFont="1" applyFill="1" applyBorder="1" applyAlignment="1">
      <alignment horizontal="center" vertical="center"/>
    </xf>
    <xf numFmtId="179" fontId="35" fillId="0" borderId="35" xfId="0" applyNumberFormat="1" applyFont="1" applyFill="1" applyBorder="1" applyAlignment="1">
      <alignment horizontal="center" vertical="center"/>
    </xf>
    <xf numFmtId="179" fontId="35" fillId="9" borderId="36" xfId="0" applyNumberFormat="1" applyFont="1" applyFill="1" applyBorder="1" applyAlignment="1">
      <alignment horizontal="center" vertical="center"/>
    </xf>
    <xf numFmtId="179" fontId="35" fillId="0" borderId="36" xfId="0" applyNumberFormat="1" applyFont="1" applyFill="1" applyBorder="1" applyAlignment="1">
      <alignment horizontal="center" vertical="center"/>
    </xf>
    <xf numFmtId="179" fontId="35" fillId="0" borderId="37" xfId="0" applyNumberFormat="1" applyFont="1" applyFill="1" applyBorder="1" applyAlignment="1">
      <alignment horizontal="center" vertical="center"/>
    </xf>
    <xf numFmtId="1" fontId="35" fillId="0" borderId="38" xfId="1" applyNumberFormat="1" applyFont="1" applyFill="1" applyBorder="1" applyAlignment="1">
      <alignment horizontal="center" vertical="center"/>
    </xf>
    <xf numFmtId="1" fontId="35" fillId="0" borderId="39" xfId="1" applyNumberFormat="1" applyFont="1" applyFill="1" applyBorder="1" applyAlignment="1">
      <alignment horizontal="center" vertical="center"/>
    </xf>
    <xf numFmtId="1" fontId="35" fillId="9" borderId="40" xfId="1" applyNumberFormat="1" applyFont="1" applyFill="1" applyBorder="1" applyAlignment="1">
      <alignment horizontal="center" vertical="center"/>
    </xf>
    <xf numFmtId="1" fontId="35" fillId="9" borderId="36" xfId="1" applyNumberFormat="1" applyFont="1" applyFill="1" applyBorder="1" applyAlignment="1">
      <alignment horizontal="center" vertical="center"/>
    </xf>
    <xf numFmtId="1" fontId="35" fillId="0" borderId="40" xfId="1" applyNumberFormat="1" applyFont="1" applyFill="1" applyBorder="1" applyAlignment="1">
      <alignment horizontal="center" vertical="center"/>
    </xf>
    <xf numFmtId="1" fontId="35" fillId="0" borderId="36" xfId="1" applyNumberFormat="1" applyFont="1" applyFill="1" applyBorder="1" applyAlignment="1">
      <alignment horizontal="center" vertical="center"/>
    </xf>
    <xf numFmtId="1" fontId="35" fillId="0" borderId="41" xfId="1" applyNumberFormat="1" applyFont="1" applyFill="1" applyBorder="1" applyAlignment="1">
      <alignment horizontal="center" vertical="center"/>
    </xf>
    <xf numFmtId="1" fontId="35" fillId="0" borderId="37" xfId="1" applyNumberFormat="1" applyFont="1" applyFill="1" applyBorder="1" applyAlignment="1">
      <alignment horizontal="center" vertical="center"/>
    </xf>
    <xf numFmtId="3" fontId="35" fillId="0" borderId="39" xfId="3" applyNumberFormat="1" applyFont="1" applyFill="1" applyBorder="1" applyAlignment="1">
      <alignment horizontal="center" vertical="center"/>
    </xf>
    <xf numFmtId="3" fontId="35" fillId="9" borderId="36" xfId="3" applyNumberFormat="1" applyFont="1" applyFill="1" applyBorder="1" applyAlignment="1">
      <alignment horizontal="center" vertical="center"/>
    </xf>
    <xf numFmtId="3" fontId="35" fillId="0" borderId="36" xfId="3" applyNumberFormat="1" applyFont="1" applyFill="1" applyBorder="1" applyAlignment="1">
      <alignment horizontal="center" vertical="center"/>
    </xf>
    <xf numFmtId="3" fontId="35" fillId="0" borderId="37" xfId="3" applyNumberFormat="1" applyFont="1" applyFill="1" applyBorder="1" applyAlignment="1">
      <alignment horizontal="center" vertical="center"/>
    </xf>
    <xf numFmtId="3" fontId="35" fillId="0" borderId="39" xfId="1" applyNumberFormat="1" applyFont="1" applyFill="1" applyBorder="1" applyAlignment="1">
      <alignment horizontal="center" vertical="center"/>
    </xf>
    <xf numFmtId="3" fontId="35" fillId="9" borderId="36" xfId="1" applyNumberFormat="1" applyFont="1" applyFill="1" applyBorder="1" applyAlignment="1">
      <alignment horizontal="center" vertical="center"/>
    </xf>
    <xf numFmtId="3" fontId="35" fillId="0" borderId="36" xfId="1" applyNumberFormat="1" applyFont="1" applyFill="1" applyBorder="1" applyAlignment="1">
      <alignment horizontal="center" vertical="center"/>
    </xf>
    <xf numFmtId="3" fontId="35" fillId="0" borderId="37" xfId="1" applyNumberFormat="1" applyFont="1" applyFill="1" applyBorder="1" applyAlignment="1">
      <alignment horizontal="center" vertical="center"/>
    </xf>
    <xf numFmtId="3" fontId="35" fillId="0" borderId="38" xfId="1" applyNumberFormat="1" applyFont="1" applyFill="1" applyBorder="1" applyAlignment="1">
      <alignment horizontal="center" vertical="center"/>
    </xf>
    <xf numFmtId="3" fontId="35" fillId="9" borderId="40" xfId="1" applyNumberFormat="1" applyFont="1" applyFill="1" applyBorder="1" applyAlignment="1">
      <alignment horizontal="center" vertical="center"/>
    </xf>
    <xf numFmtId="3" fontId="35" fillId="0" borderId="40" xfId="1" applyNumberFormat="1" applyFont="1" applyFill="1" applyBorder="1" applyAlignment="1">
      <alignment horizontal="center" vertical="center"/>
    </xf>
    <xf numFmtId="3" fontId="35" fillId="0" borderId="41" xfId="1" applyNumberFormat="1" applyFont="1" applyFill="1" applyBorder="1" applyAlignment="1">
      <alignment horizontal="center" vertical="center"/>
    </xf>
    <xf numFmtId="0" fontId="35" fillId="0" borderId="35" xfId="1" applyNumberFormat="1" applyFont="1" applyFill="1" applyBorder="1" applyAlignment="1">
      <alignment horizontal="left" vertical="center" wrapText="1"/>
    </xf>
    <xf numFmtId="0" fontId="35" fillId="9" borderId="35" xfId="1" applyNumberFormat="1" applyFont="1" applyFill="1" applyBorder="1" applyAlignment="1">
      <alignment horizontal="left" vertical="center" wrapText="1"/>
    </xf>
    <xf numFmtId="0" fontId="35" fillId="0" borderId="37" xfId="1" applyNumberFormat="1" applyFont="1" applyFill="1" applyBorder="1" applyAlignment="1">
      <alignment horizontal="left" vertical="center" wrapText="1"/>
    </xf>
    <xf numFmtId="0" fontId="36" fillId="0" borderId="42" xfId="0" applyFont="1" applyFill="1" applyBorder="1" applyAlignment="1">
      <alignment horizontal="left" vertical="center" wrapText="1"/>
    </xf>
    <xf numFmtId="0" fontId="35" fillId="0" borderId="43" xfId="0" applyFont="1" applyFill="1" applyBorder="1" applyAlignment="1">
      <alignment horizontal="left" vertical="center"/>
    </xf>
    <xf numFmtId="0" fontId="35" fillId="9" borderId="44" xfId="0" applyFont="1" applyFill="1" applyBorder="1" applyAlignment="1">
      <alignment horizontal="left" vertical="center"/>
    </xf>
    <xf numFmtId="0" fontId="35" fillId="0" borderId="44" xfId="0" applyFont="1" applyFill="1" applyBorder="1" applyAlignment="1">
      <alignment horizontal="left" vertical="center"/>
    </xf>
    <xf numFmtId="0" fontId="35" fillId="0" borderId="45" xfId="0" applyFont="1" applyFill="1" applyBorder="1" applyAlignment="1">
      <alignment horizontal="left" vertical="center"/>
    </xf>
    <xf numFmtId="0" fontId="35" fillId="0" borderId="46" xfId="3" applyNumberFormat="1" applyFont="1" applyFill="1" applyBorder="1" applyAlignment="1">
      <alignment horizontal="left" vertical="center"/>
    </xf>
    <xf numFmtId="9" fontId="35" fillId="0" borderId="46" xfId="3" applyFont="1" applyFill="1" applyBorder="1" applyAlignment="1">
      <alignment horizontal="center" vertical="center"/>
    </xf>
    <xf numFmtId="1" fontId="35" fillId="0" borderId="46" xfId="0" applyNumberFormat="1" applyFont="1" applyFill="1" applyBorder="1" applyAlignment="1">
      <alignment horizontal="center" vertical="center"/>
    </xf>
    <xf numFmtId="0" fontId="35" fillId="0" borderId="46" xfId="0" applyFont="1" applyFill="1" applyBorder="1" applyAlignment="1">
      <alignment horizontal="left" vertical="center"/>
    </xf>
    <xf numFmtId="180" fontId="35" fillId="0" borderId="46" xfId="0" applyNumberFormat="1" applyFont="1" applyFill="1" applyBorder="1" applyAlignment="1">
      <alignment horizontal="center" vertical="center"/>
    </xf>
    <xf numFmtId="0" fontId="35" fillId="0" borderId="46" xfId="0" applyNumberFormat="1" applyFont="1" applyFill="1" applyBorder="1" applyAlignment="1">
      <alignment horizontal="center" vertical="center"/>
    </xf>
    <xf numFmtId="179" fontId="35" fillId="0" borderId="46" xfId="0" applyNumberFormat="1" applyFont="1" applyFill="1" applyBorder="1" applyAlignment="1">
      <alignment horizontal="center" vertical="center"/>
    </xf>
    <xf numFmtId="1" fontId="35" fillId="0" borderId="47" xfId="1" applyNumberFormat="1" applyFont="1" applyFill="1" applyBorder="1" applyAlignment="1">
      <alignment horizontal="center" vertical="center"/>
    </xf>
    <xf numFmtId="1" fontId="35" fillId="0" borderId="46" xfId="1" applyNumberFormat="1" applyFont="1" applyFill="1" applyBorder="1" applyAlignment="1">
      <alignment horizontal="center" vertical="center"/>
    </xf>
    <xf numFmtId="3" fontId="35" fillId="0" borderId="46" xfId="3" applyNumberFormat="1" applyFont="1" applyFill="1" applyBorder="1" applyAlignment="1">
      <alignment horizontal="center" vertical="center"/>
    </xf>
    <xf numFmtId="3" fontId="35" fillId="0" borderId="46" xfId="1" applyNumberFormat="1" applyFont="1" applyFill="1" applyBorder="1" applyAlignment="1">
      <alignment horizontal="center" vertical="center"/>
    </xf>
    <xf numFmtId="3" fontId="35" fillId="0" borderId="47" xfId="1" applyNumberFormat="1" applyFont="1" applyFill="1" applyBorder="1" applyAlignment="1">
      <alignment horizontal="center" vertical="center"/>
    </xf>
    <xf numFmtId="0" fontId="35" fillId="0" borderId="46" xfId="1" applyNumberFormat="1" applyFont="1" applyFill="1" applyBorder="1" applyAlignment="1">
      <alignment horizontal="left" vertical="center" wrapText="1"/>
    </xf>
    <xf numFmtId="0" fontId="35" fillId="0" borderId="48" xfId="1" applyNumberFormat="1" applyFont="1" applyFill="1" applyBorder="1" applyAlignment="1">
      <alignment horizontal="left" vertical="center" wrapText="1"/>
    </xf>
    <xf numFmtId="0" fontId="35" fillId="9" borderId="48" xfId="1" applyNumberFormat="1" applyFont="1" applyFill="1" applyBorder="1" applyAlignment="1">
      <alignment horizontal="left" vertical="center" wrapText="1"/>
    </xf>
    <xf numFmtId="0" fontId="35" fillId="0" borderId="49" xfId="1" applyNumberFormat="1" applyFont="1" applyFill="1" applyBorder="1" applyAlignment="1">
      <alignment horizontal="left" vertical="center" wrapText="1"/>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xf numFmtId="0" fontId="0" fillId="0" borderId="0" xfId="0" applyNumberFormat="1" applyFont="1" applyAlignment="1">
      <alignment horizontal="left" vertical="center" wrapText="1"/>
    </xf>
    <xf numFmtId="0" fontId="22" fillId="5" borderId="1" xfId="0" applyFont="1" applyFill="1" applyBorder="1" applyAlignment="1">
      <alignment horizontal="center" vertical="center"/>
    </xf>
    <xf numFmtId="0" fontId="22" fillId="5" borderId="0" xfId="0" applyFont="1" applyFill="1" applyBorder="1" applyAlignment="1">
      <alignment horizontal="center" vertical="center"/>
    </xf>
    <xf numFmtId="0" fontId="22" fillId="5" borderId="5" xfId="0" applyFont="1" applyFill="1" applyBorder="1" applyAlignment="1">
      <alignment horizontal="center" vertical="center"/>
    </xf>
    <xf numFmtId="0" fontId="37" fillId="10" borderId="50" xfId="0" applyFont="1" applyFill="1" applyBorder="1" applyAlignment="1">
      <alignment horizontal="center"/>
    </xf>
    <xf numFmtId="0" fontId="37" fillId="10" borderId="0" xfId="0" applyFont="1" applyFill="1" applyBorder="1" applyAlignment="1">
      <alignment horizontal="center"/>
    </xf>
    <xf numFmtId="0" fontId="37" fillId="10" borderId="51" xfId="0" applyFont="1" applyFill="1" applyBorder="1" applyAlignment="1">
      <alignment horizontal="center"/>
    </xf>
    <xf numFmtId="0" fontId="37" fillId="11" borderId="50" xfId="0" applyFont="1" applyFill="1" applyBorder="1" applyAlignment="1">
      <alignment horizontal="center"/>
    </xf>
    <xf numFmtId="0" fontId="37" fillId="11" borderId="0" xfId="0" applyFont="1" applyFill="1" applyBorder="1" applyAlignment="1">
      <alignment horizontal="center"/>
    </xf>
    <xf numFmtId="0" fontId="37" fillId="11" borderId="51" xfId="0" applyFont="1" applyFill="1" applyBorder="1" applyAlignment="1">
      <alignment horizontal="center"/>
    </xf>
    <xf numFmtId="0" fontId="13" fillId="0" borderId="0" xfId="0" applyFont="1" applyBorder="1" applyAlignment="1">
      <alignment horizontal="center" vertical="top"/>
    </xf>
    <xf numFmtId="0" fontId="13" fillId="0" borderId="3" xfId="0" applyFont="1" applyBorder="1" applyAlignment="1">
      <alignment horizontal="center" vertical="top"/>
    </xf>
    <xf numFmtId="0" fontId="0" fillId="0" borderId="0" xfId="0" applyFont="1" applyAlignment="1">
      <alignment horizontal="center"/>
    </xf>
    <xf numFmtId="181" fontId="35" fillId="0" borderId="39" xfId="3" applyNumberFormat="1" applyFont="1" applyFill="1" applyBorder="1" applyAlignment="1">
      <alignment horizontal="center" vertical="center"/>
    </xf>
    <xf numFmtId="181" fontId="35" fillId="9" borderId="36" xfId="3" applyNumberFormat="1" applyFont="1" applyFill="1" applyBorder="1" applyAlignment="1">
      <alignment horizontal="center" vertical="center"/>
    </xf>
    <xf numFmtId="181" fontId="35" fillId="0" borderId="36" xfId="3" applyNumberFormat="1" applyFont="1" applyFill="1" applyBorder="1" applyAlignment="1">
      <alignment horizontal="center" vertical="center"/>
    </xf>
    <xf numFmtId="181" fontId="35" fillId="0" borderId="37" xfId="3" applyNumberFormat="1" applyFont="1" applyFill="1" applyBorder="1" applyAlignment="1">
      <alignment horizontal="center" vertical="center"/>
    </xf>
    <xf numFmtId="181" fontId="35" fillId="0" borderId="52" xfId="3" applyNumberFormat="1" applyFont="1" applyFill="1" applyBorder="1" applyAlignment="1">
      <alignment horizontal="center" vertical="center"/>
    </xf>
    <xf numFmtId="181" fontId="35" fillId="9" borderId="53" xfId="3" applyNumberFormat="1" applyFont="1" applyFill="1" applyBorder="1" applyAlignment="1">
      <alignment horizontal="center" vertical="center"/>
    </xf>
    <xf numFmtId="181" fontId="35" fillId="0" borderId="53" xfId="3" applyNumberFormat="1" applyFont="1" applyFill="1" applyBorder="1" applyAlignment="1">
      <alignment horizontal="center" vertical="center"/>
    </xf>
    <xf numFmtId="181" fontId="35" fillId="0" borderId="54" xfId="3" applyNumberFormat="1" applyFont="1" applyFill="1" applyBorder="1" applyAlignment="1">
      <alignment horizontal="center" vertical="center"/>
    </xf>
    <xf numFmtId="181" fontId="35" fillId="0" borderId="46" xfId="3" applyNumberFormat="1" applyFont="1" applyFill="1" applyBorder="1" applyAlignment="1">
      <alignment horizontal="center" vertical="center"/>
    </xf>
    <xf numFmtId="181" fontId="35" fillId="0" borderId="55" xfId="3" applyNumberFormat="1" applyFont="1" applyFill="1" applyBorder="1" applyAlignment="1">
      <alignment horizontal="center" vertical="center"/>
    </xf>
    <xf numFmtId="181" fontId="17" fillId="0" borderId="9" xfId="3" applyNumberFormat="1" applyFont="1" applyBorder="1" applyAlignment="1">
      <alignment horizontal="center" vertical="center"/>
    </xf>
    <xf numFmtId="181" fontId="18" fillId="2" borderId="10" xfId="3" applyNumberFormat="1" applyFont="1" applyFill="1" applyBorder="1" applyAlignment="1">
      <alignment horizontal="center" vertical="center"/>
    </xf>
    <xf numFmtId="181" fontId="17" fillId="0" borderId="13" xfId="3" applyNumberFormat="1" applyFont="1" applyBorder="1" applyAlignment="1">
      <alignment horizontal="center" vertical="center"/>
    </xf>
    <xf numFmtId="181" fontId="11" fillId="2" borderId="56" xfId="3" applyNumberFormat="1" applyFont="1" applyFill="1" applyBorder="1" applyAlignment="1">
      <alignment horizontal="center" vertical="center"/>
    </xf>
    <xf numFmtId="181" fontId="11" fillId="2" borderId="24" xfId="3" applyNumberFormat="1" applyFont="1" applyFill="1" applyBorder="1" applyAlignment="1">
      <alignment horizontal="center" vertical="center"/>
    </xf>
    <xf numFmtId="181" fontId="11" fillId="2" borderId="57" xfId="3" applyNumberFormat="1" applyFont="1" applyFill="1" applyBorder="1" applyAlignment="1">
      <alignment horizontal="center" vertical="center"/>
    </xf>
    <xf numFmtId="181" fontId="11" fillId="0" borderId="16" xfId="3" applyNumberFormat="1" applyFont="1" applyBorder="1" applyAlignment="1">
      <alignment horizontal="center" vertical="center"/>
    </xf>
    <xf numFmtId="181" fontId="11" fillId="0" borderId="58" xfId="3" applyNumberFormat="1" applyFont="1" applyBorder="1" applyAlignment="1">
      <alignment horizontal="center" vertical="center"/>
    </xf>
    <xf numFmtId="181" fontId="11" fillId="2" borderId="16" xfId="3" applyNumberFormat="1" applyFont="1" applyFill="1" applyBorder="1" applyAlignment="1">
      <alignment horizontal="center" vertical="center"/>
    </xf>
    <xf numFmtId="181" fontId="11" fillId="2" borderId="58" xfId="3" applyNumberFormat="1" applyFont="1" applyFill="1" applyBorder="1" applyAlignment="1">
      <alignment horizontal="center" vertical="center"/>
    </xf>
    <xf numFmtId="181" fontId="13" fillId="0" borderId="16" xfId="3" applyNumberFormat="1" applyFont="1" applyBorder="1" applyAlignment="1">
      <alignment horizontal="center" vertical="center"/>
    </xf>
    <xf numFmtId="181" fontId="13" fillId="0" borderId="58" xfId="3" applyNumberFormat="1" applyFont="1" applyBorder="1" applyAlignment="1">
      <alignment horizontal="center" vertical="center"/>
    </xf>
    <xf numFmtId="181" fontId="13" fillId="2" borderId="16" xfId="3" applyNumberFormat="1" applyFont="1" applyFill="1" applyBorder="1" applyAlignment="1">
      <alignment horizontal="center" vertical="center"/>
    </xf>
    <xf numFmtId="181" fontId="13" fillId="2" borderId="58" xfId="3" applyNumberFormat="1" applyFont="1" applyFill="1" applyBorder="1" applyAlignment="1">
      <alignment horizontal="center" vertical="center"/>
    </xf>
    <xf numFmtId="0" fontId="0" fillId="0" borderId="5" xfId="0" applyFont="1" applyBorder="1"/>
    <xf numFmtId="0" fontId="0" fillId="0" borderId="14" xfId="0" applyNumberFormat="1" applyFont="1" applyBorder="1" applyAlignment="1">
      <alignment horizontal="left" vertical="center" wrapText="1"/>
    </xf>
    <xf numFmtId="14" fontId="0" fillId="0" borderId="14" xfId="0" applyNumberFormat="1" applyFont="1" applyBorder="1" applyAlignment="1">
      <alignment horizontal="left" vertical="center" wrapText="1"/>
    </xf>
    <xf numFmtId="0" fontId="0" fillId="0" borderId="14" xfId="0" applyNumberFormat="1" applyFont="1" applyBorder="1" applyAlignment="1">
      <alignment horizontal="left" vertical="center" wrapText="1"/>
    </xf>
    <xf numFmtId="0" fontId="42" fillId="0" borderId="4" xfId="4" applyFont="1" applyFill="1" applyBorder="1"/>
    <xf numFmtId="0" fontId="43" fillId="0" borderId="0" xfId="0" applyFont="1" applyBorder="1" applyAlignment="1"/>
    <xf numFmtId="0" fontId="39" fillId="0" borderId="0" xfId="0" applyFont="1"/>
    <xf numFmtId="0" fontId="44" fillId="3" borderId="4" xfId="0" applyFont="1" applyFill="1" applyBorder="1"/>
    <xf numFmtId="0" fontId="0" fillId="0" borderId="14" xfId="0" applyNumberFormat="1" applyFont="1" applyBorder="1" applyAlignment="1">
      <alignment horizontal="left" vertical="center" wrapText="1"/>
    </xf>
    <xf numFmtId="0" fontId="12" fillId="0" borderId="12" xfId="0" applyFont="1" applyBorder="1" applyAlignment="1">
      <alignment horizontal="left" vertical="center"/>
    </xf>
    <xf numFmtId="0" fontId="8" fillId="0" borderId="0" xfId="0" applyFont="1" applyBorder="1" applyAlignment="1">
      <alignment horizontal="center"/>
    </xf>
    <xf numFmtId="0" fontId="26" fillId="5" borderId="1" xfId="0" applyFont="1" applyFill="1" applyBorder="1" applyAlignment="1">
      <alignment horizontal="left" vertical="top"/>
    </xf>
    <xf numFmtId="0" fontId="26" fillId="5" borderId="0" xfId="0" applyFont="1" applyFill="1" applyBorder="1" applyAlignment="1">
      <alignment horizontal="center" vertical="top"/>
    </xf>
    <xf numFmtId="0" fontId="24" fillId="5" borderId="0" xfId="0" applyFont="1" applyFill="1" applyBorder="1" applyAlignment="1">
      <alignment horizontal="center"/>
    </xf>
    <xf numFmtId="0" fontId="13" fillId="0" borderId="19" xfId="0" applyFont="1" applyBorder="1" applyAlignment="1">
      <alignment horizontal="left" vertical="top" wrapText="1"/>
    </xf>
    <xf numFmtId="0" fontId="11" fillId="0" borderId="11" xfId="0" applyNumberFormat="1" applyFont="1" applyBorder="1" applyAlignment="1">
      <alignment horizontal="left" vertical="center"/>
    </xf>
    <xf numFmtId="0" fontId="0" fillId="0" borderId="11" xfId="0" applyNumberFormat="1" applyBorder="1" applyAlignment="1">
      <alignment horizontal="left" vertical="center"/>
    </xf>
    <xf numFmtId="0" fontId="11" fillId="0" borderId="22" xfId="0" applyNumberFormat="1" applyFont="1" applyBorder="1" applyAlignment="1">
      <alignment horizontal="left" vertical="center"/>
    </xf>
    <xf numFmtId="0" fontId="0" fillId="0" borderId="22" xfId="0" applyNumberFormat="1" applyBorder="1" applyAlignment="1">
      <alignment horizontal="left" vertical="center"/>
    </xf>
    <xf numFmtId="0" fontId="11" fillId="2" borderId="22" xfId="0" applyNumberFormat="1" applyFont="1" applyFill="1" applyBorder="1" applyAlignment="1">
      <alignment horizontal="left" vertical="center"/>
    </xf>
    <xf numFmtId="0" fontId="11" fillId="0" borderId="23" xfId="0" applyNumberFormat="1" applyFont="1" applyBorder="1" applyAlignment="1">
      <alignment horizontal="left" vertical="center"/>
    </xf>
    <xf numFmtId="0" fontId="0" fillId="0" borderId="23" xfId="0" applyNumberFormat="1" applyBorder="1" applyAlignment="1">
      <alignment horizontal="left" vertical="center"/>
    </xf>
    <xf numFmtId="0" fontId="28" fillId="0" borderId="0" xfId="0" applyFont="1" applyBorder="1" applyAlignment="1">
      <alignment horizontal="left"/>
    </xf>
    <xf numFmtId="0" fontId="11" fillId="2" borderId="21" xfId="0" applyNumberFormat="1" applyFont="1" applyFill="1" applyBorder="1" applyAlignment="1">
      <alignment horizontal="left" vertical="center"/>
    </xf>
    <xf numFmtId="0" fontId="0" fillId="0" borderId="21" xfId="0" applyNumberFormat="1" applyBorder="1" applyAlignment="1">
      <alignment horizontal="left" vertical="center"/>
    </xf>
    <xf numFmtId="0" fontId="11" fillId="0" borderId="22" xfId="0" applyFont="1" applyBorder="1" applyAlignment="1">
      <alignment horizontal="center" vertical="center"/>
    </xf>
    <xf numFmtId="0" fontId="11" fillId="2" borderId="22" xfId="0" applyFont="1" applyFill="1" applyBorder="1" applyAlignment="1">
      <alignment horizontal="center" vertical="center"/>
    </xf>
    <xf numFmtId="0" fontId="11" fillId="0" borderId="23" xfId="0" applyFont="1" applyBorder="1" applyAlignment="1">
      <alignment horizontal="center" vertical="center"/>
    </xf>
    <xf numFmtId="0" fontId="13" fillId="0" borderId="19" xfId="0" applyFont="1" applyBorder="1" applyAlignment="1">
      <alignment horizontal="center" vertical="top"/>
    </xf>
    <xf numFmtId="0" fontId="0" fillId="0" borderId="19" xfId="0" applyBorder="1" applyAlignment="1">
      <alignment horizontal="center" vertical="top"/>
    </xf>
    <xf numFmtId="0" fontId="11" fillId="0" borderId="11" xfId="0" applyFont="1" applyBorder="1" applyAlignment="1">
      <alignment horizontal="center" vertical="center"/>
    </xf>
    <xf numFmtId="0" fontId="11" fillId="2" borderId="21" xfId="0" applyFont="1" applyFill="1" applyBorder="1" applyAlignment="1">
      <alignment horizontal="center" vertical="center"/>
    </xf>
    <xf numFmtId="0" fontId="11" fillId="2" borderId="23" xfId="0" applyNumberFormat="1" applyFont="1" applyFill="1" applyBorder="1" applyAlignment="1">
      <alignment horizontal="left" vertical="center"/>
    </xf>
    <xf numFmtId="0" fontId="6" fillId="0" borderId="59" xfId="0" applyFont="1" applyBorder="1" applyAlignment="1">
      <alignment horizontal="left" vertical="center"/>
    </xf>
    <xf numFmtId="0" fontId="0" fillId="0" borderId="59" xfId="0" applyBorder="1" applyAlignment="1">
      <alignment horizontal="left" vertical="center"/>
    </xf>
    <xf numFmtId="0" fontId="9" fillId="0" borderId="59" xfId="0" applyFont="1" applyBorder="1" applyAlignment="1">
      <alignment horizontal="center" vertical="center"/>
    </xf>
    <xf numFmtId="0" fontId="11" fillId="2" borderId="23" xfId="0" applyFont="1" applyFill="1" applyBorder="1" applyAlignment="1">
      <alignment horizontal="center" vertical="center"/>
    </xf>
    <xf numFmtId="0" fontId="0" fillId="0" borderId="0" xfId="0" applyBorder="1" applyAlignment="1">
      <alignment horizontal="center" vertical="center"/>
    </xf>
    <xf numFmtId="0" fontId="26" fillId="5" borderId="0" xfId="0" applyFont="1" applyFill="1" applyBorder="1" applyAlignment="1">
      <alignment horizontal="center" vertical="center"/>
    </xf>
    <xf numFmtId="0" fontId="12" fillId="0" borderId="12" xfId="0" applyFont="1" applyBorder="1" applyAlignment="1">
      <alignment horizontal="left" vertical="center"/>
    </xf>
    <xf numFmtId="0" fontId="13" fillId="0" borderId="12" xfId="0" applyFont="1" applyBorder="1" applyAlignment="1">
      <alignment horizontal="center" vertical="top" wrapText="1"/>
    </xf>
    <xf numFmtId="0" fontId="13" fillId="0" borderId="12" xfId="0" applyFont="1" applyBorder="1" applyAlignment="1">
      <alignment horizontal="center" vertical="top"/>
    </xf>
    <xf numFmtId="0" fontId="13" fillId="0" borderId="60" xfId="0" applyFont="1" applyBorder="1" applyAlignment="1">
      <alignment horizontal="center" vertical="top"/>
    </xf>
    <xf numFmtId="0" fontId="13" fillId="0" borderId="61" xfId="0" applyFont="1" applyBorder="1" applyAlignment="1">
      <alignment horizontal="center" vertical="top"/>
    </xf>
    <xf numFmtId="0" fontId="13" fillId="0" borderId="62" xfId="0" applyFont="1" applyBorder="1" applyAlignment="1">
      <alignment horizontal="center" vertical="top"/>
    </xf>
    <xf numFmtId="0" fontId="37" fillId="11" borderId="63" xfId="0" applyFont="1" applyFill="1" applyBorder="1" applyAlignment="1">
      <alignment horizontal="center"/>
    </xf>
    <xf numFmtId="0" fontId="37" fillId="11" borderId="64" xfId="0" applyFont="1" applyFill="1" applyBorder="1" applyAlignment="1">
      <alignment horizontal="center"/>
    </xf>
    <xf numFmtId="0" fontId="37" fillId="11" borderId="65" xfId="0" applyFont="1" applyFill="1" applyBorder="1" applyAlignment="1">
      <alignment horizontal="center"/>
    </xf>
    <xf numFmtId="0" fontId="37" fillId="10" borderId="63" xfId="0" applyFont="1" applyFill="1" applyBorder="1" applyAlignment="1">
      <alignment horizontal="center"/>
    </xf>
    <xf numFmtId="0" fontId="37" fillId="10" borderId="64" xfId="0" applyFont="1" applyFill="1" applyBorder="1" applyAlignment="1">
      <alignment horizontal="center"/>
    </xf>
    <xf numFmtId="0" fontId="37" fillId="10" borderId="65" xfId="0" applyFont="1" applyFill="1" applyBorder="1" applyAlignment="1">
      <alignment horizontal="center"/>
    </xf>
    <xf numFmtId="0" fontId="1" fillId="0" borderId="0" xfId="0" applyNumberFormat="1" applyFont="1" applyAlignment="1">
      <alignment horizontal="left" vertical="center" wrapText="1"/>
    </xf>
    <xf numFmtId="0" fontId="0" fillId="0" borderId="14" xfId="0" applyNumberFormat="1" applyFont="1" applyBorder="1" applyAlignment="1">
      <alignment horizontal="left" vertical="center" wrapText="1"/>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cellXfs>
  <cellStyles count="10">
    <cellStyle name="Accent1 2" xfId="5"/>
    <cellStyle name="Comma" xfId="1" builtinId="3"/>
    <cellStyle name="Comma 2" xfId="6"/>
    <cellStyle name="Currency" xfId="2" builtinId="4"/>
    <cellStyle name="Currency 2" xfId="7"/>
    <cellStyle name="Neutral 2" xfId="8"/>
    <cellStyle name="Normal" xfId="0" builtinId="0"/>
    <cellStyle name="Normal 2" xfId="4"/>
    <cellStyle name="Percent" xfId="3" builtinId="5"/>
    <cellStyle name="Percent 2" xfId="9"/>
  </cellStyles>
  <dxfs count="4768">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Activations Trend</a:t>
            </a:r>
          </a:p>
        </c:rich>
      </c:tx>
      <c:layout>
        <c:manualLayout>
          <c:xMode val="edge"/>
          <c:yMode val="edge"/>
          <c:x val="0.34106556773861213"/>
          <c:y val="1.3793153904542419E-2"/>
        </c:manualLayout>
      </c:layout>
      <c:overlay val="0"/>
      <c:spPr>
        <a:noFill/>
        <a:ln w="25400">
          <a:noFill/>
        </a:ln>
      </c:spPr>
    </c:title>
    <c:autoTitleDeleted val="0"/>
    <c:plotArea>
      <c:layout>
        <c:manualLayout>
          <c:layoutTarget val="inner"/>
          <c:xMode val="edge"/>
          <c:yMode val="edge"/>
          <c:x val="5.6765266686246811E-2"/>
          <c:y val="0.12252873563218389"/>
          <c:w val="0.87654624877041343"/>
          <c:h val="0.66008652366730014"/>
        </c:manualLayout>
      </c:layout>
      <c:lineChart>
        <c:grouping val="standard"/>
        <c:varyColors val="0"/>
        <c:ser>
          <c:idx val="0"/>
          <c:order val="0"/>
          <c:tx>
            <c:strRef>
              <c:f>DashboardData1!$C$29</c:f>
              <c:strCache>
                <c:ptCount val="1"/>
              </c:strCache>
            </c:strRef>
          </c:tx>
          <c:spPr>
            <a:ln w="28575" cap="rnd">
              <a:solidFill>
                <a:srgbClr val="FFD966"/>
              </a:solidFill>
              <a:round/>
            </a:ln>
            <a:effectLst/>
          </c:spPr>
          <c:marker>
            <c:symbol val="circle"/>
            <c:size val="5"/>
            <c:spPr>
              <a:solidFill>
                <a:srgbClr val="FFD966"/>
              </a:solidFill>
              <a:ln w="9525">
                <a:solidFill>
                  <a:srgbClr val="FFD966"/>
                </a:solidFill>
              </a:ln>
              <a:effectLst/>
            </c:spPr>
          </c:marker>
          <c:cat>
            <c:numRef>
              <c:f>DashboardData1!$B$30:$B$41</c:f>
              <c:numCache>
                <c:formatCode>General</c:formatCode>
                <c:ptCount val="12"/>
              </c:numCache>
            </c:numRef>
          </c:cat>
          <c:val>
            <c:numRef>
              <c:f>DashboardData1!$C$30:$C$41</c:f>
              <c:numCache>
                <c:formatCode>General</c:formatCode>
                <c:ptCount val="12"/>
              </c:numCache>
            </c:numRef>
          </c:val>
          <c:smooth val="0"/>
        </c:ser>
        <c:ser>
          <c:idx val="1"/>
          <c:order val="1"/>
          <c:tx>
            <c:strRef>
              <c:f>DashboardData1!$D$29</c:f>
              <c:strCache>
                <c:ptCount val="1"/>
              </c:strCache>
            </c:strRef>
          </c:tx>
          <c:spPr>
            <a:ln w="28575" cap="rnd">
              <a:solidFill>
                <a:srgbClr val="C29000"/>
              </a:solidFill>
              <a:round/>
            </a:ln>
            <a:effectLst/>
          </c:spPr>
          <c:marker>
            <c:symbol val="circle"/>
            <c:size val="5"/>
            <c:spPr>
              <a:solidFill>
                <a:srgbClr val="C29000"/>
              </a:solidFill>
              <a:ln w="9525">
                <a:solidFill>
                  <a:srgbClr val="C29000"/>
                </a:solidFill>
              </a:ln>
              <a:effectLst/>
            </c:spPr>
          </c:marker>
          <c:cat>
            <c:numRef>
              <c:f>DashboardData1!$B$30:$B$41</c:f>
              <c:numCache>
                <c:formatCode>General</c:formatCode>
                <c:ptCount val="12"/>
              </c:numCache>
            </c:numRef>
          </c:cat>
          <c:val>
            <c:numRef>
              <c:f>DashboardData1!$D$30:$D$41</c:f>
              <c:numCache>
                <c:formatCode>General</c:formatCode>
                <c:ptCount val="12"/>
              </c:numCache>
            </c:numRef>
          </c:val>
          <c:smooth val="0"/>
        </c:ser>
        <c:dLbls>
          <c:showLegendKey val="0"/>
          <c:showVal val="0"/>
          <c:showCatName val="0"/>
          <c:showSerName val="0"/>
          <c:showPercent val="0"/>
          <c:showBubbleSize val="0"/>
        </c:dLbls>
        <c:marker val="1"/>
        <c:smooth val="0"/>
        <c:axId val="145740288"/>
        <c:axId val="90422592"/>
      </c:lineChart>
      <c:catAx>
        <c:axId val="14574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0422592"/>
        <c:crosses val="autoZero"/>
        <c:auto val="1"/>
        <c:lblAlgn val="ctr"/>
        <c:lblOffset val="100"/>
        <c:noMultiLvlLbl val="0"/>
      </c:catAx>
      <c:valAx>
        <c:axId val="90422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5740288"/>
        <c:crosses val="autoZero"/>
        <c:crossBetween val="between"/>
        <c:minorUnit val="1"/>
      </c:valAx>
      <c:spPr>
        <a:noFill/>
        <a:ln w="25400">
          <a:noFill/>
        </a:ln>
      </c:spPr>
    </c:plotArea>
    <c:legend>
      <c:legendPos val="b"/>
      <c:layout>
        <c:manualLayout>
          <c:xMode val="edge"/>
          <c:yMode val="edge"/>
          <c:x val="0.13560379718890278"/>
          <c:y val="0.90145353781996762"/>
          <c:w val="0.11962616822429907"/>
          <c:h val="8.6728601370871808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Transactions Trend</a:t>
            </a:r>
          </a:p>
        </c:rich>
      </c:tx>
      <c:layout>
        <c:manualLayout>
          <c:xMode val="edge"/>
          <c:yMode val="edge"/>
          <c:x val="0.3328477495868572"/>
          <c:y val="1.3792926233871116E-2"/>
        </c:manualLayout>
      </c:layout>
      <c:overlay val="0"/>
      <c:spPr>
        <a:noFill/>
        <a:ln w="25400">
          <a:noFill/>
        </a:ln>
      </c:spPr>
    </c:title>
    <c:autoTitleDeleted val="0"/>
    <c:plotArea>
      <c:layout>
        <c:manualLayout>
          <c:layoutTarget val="inner"/>
          <c:xMode val="edge"/>
          <c:yMode val="edge"/>
          <c:x val="6.7564556206673107E-2"/>
          <c:y val="0.12252873563218389"/>
          <c:w val="0.86574695924998712"/>
          <c:h val="0.66008652366730014"/>
        </c:manualLayout>
      </c:layout>
      <c:lineChart>
        <c:grouping val="standard"/>
        <c:varyColors val="0"/>
        <c:ser>
          <c:idx val="0"/>
          <c:order val="0"/>
          <c:tx>
            <c:strRef>
              <c:f>DashboardData1!$C$42</c:f>
              <c:strCache>
                <c:ptCount val="1"/>
              </c:strCache>
            </c:strRef>
          </c:tx>
          <c:spPr>
            <a:ln w="28575" cap="rnd">
              <a:solidFill>
                <a:srgbClr val="9DC3E6"/>
              </a:solidFill>
              <a:round/>
            </a:ln>
            <a:effectLst/>
          </c:spPr>
          <c:marker>
            <c:symbol val="circle"/>
            <c:size val="5"/>
            <c:spPr>
              <a:solidFill>
                <a:srgbClr val="9DC3E6"/>
              </a:solidFill>
              <a:ln w="9525">
                <a:solidFill>
                  <a:srgbClr val="9DC3E6"/>
                </a:solidFill>
              </a:ln>
              <a:effectLst/>
            </c:spPr>
          </c:marker>
          <c:cat>
            <c:numRef>
              <c:f>DashboardData1!$B$43:$B$54</c:f>
              <c:numCache>
                <c:formatCode>General</c:formatCode>
                <c:ptCount val="12"/>
              </c:numCache>
            </c:numRef>
          </c:cat>
          <c:val>
            <c:numRef>
              <c:f>DashboardData1!$C$43:$C$54</c:f>
              <c:numCache>
                <c:formatCode>General</c:formatCode>
                <c:ptCount val="12"/>
              </c:numCache>
            </c:numRef>
          </c:val>
          <c:smooth val="0"/>
        </c:ser>
        <c:ser>
          <c:idx val="1"/>
          <c:order val="1"/>
          <c:tx>
            <c:strRef>
              <c:f>DashboardData1!$D$42</c:f>
              <c:strCache>
                <c:ptCount val="1"/>
              </c:strCache>
            </c:strRef>
          </c:tx>
          <c:spPr>
            <a:ln w="28575" cap="rnd">
              <a:solidFill>
                <a:srgbClr val="2E75B6"/>
              </a:solidFill>
              <a:round/>
            </a:ln>
            <a:effectLst/>
          </c:spPr>
          <c:marker>
            <c:symbol val="circle"/>
            <c:size val="5"/>
            <c:spPr>
              <a:solidFill>
                <a:srgbClr val="2E75B6"/>
              </a:solidFill>
              <a:ln w="9525">
                <a:solidFill>
                  <a:srgbClr val="2E75B6"/>
                </a:solidFill>
              </a:ln>
              <a:effectLst/>
            </c:spPr>
          </c:marker>
          <c:cat>
            <c:numRef>
              <c:f>DashboardData1!$B$43:$B$54</c:f>
              <c:numCache>
                <c:formatCode>General</c:formatCode>
                <c:ptCount val="12"/>
              </c:numCache>
            </c:numRef>
          </c:cat>
          <c:val>
            <c:numRef>
              <c:f>DashboardData1!$D$43:$D$54</c:f>
              <c:numCache>
                <c:formatCode>General</c:formatCode>
                <c:ptCount val="12"/>
              </c:numCache>
            </c:numRef>
          </c:val>
          <c:smooth val="0"/>
        </c:ser>
        <c:dLbls>
          <c:showLegendKey val="0"/>
          <c:showVal val="0"/>
          <c:showCatName val="0"/>
          <c:showSerName val="0"/>
          <c:showPercent val="0"/>
          <c:showBubbleSize val="0"/>
        </c:dLbls>
        <c:marker val="1"/>
        <c:smooth val="0"/>
        <c:axId val="145741312"/>
        <c:axId val="143934016"/>
      </c:lineChart>
      <c:catAx>
        <c:axId val="145741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3934016"/>
        <c:crosses val="autoZero"/>
        <c:auto val="1"/>
        <c:lblAlgn val="ctr"/>
        <c:lblOffset val="100"/>
        <c:noMultiLvlLbl val="0"/>
      </c:catAx>
      <c:valAx>
        <c:axId val="143934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5741312"/>
        <c:crosses val="autoZero"/>
        <c:crossBetween val="between"/>
        <c:minorUnit val="1"/>
      </c:valAx>
      <c:spPr>
        <a:noFill/>
        <a:ln w="25400">
          <a:noFill/>
        </a:ln>
      </c:spPr>
    </c:plotArea>
    <c:legend>
      <c:legendPos val="b"/>
      <c:layout>
        <c:manualLayout>
          <c:xMode val="edge"/>
          <c:yMode val="edge"/>
          <c:x val="0.13560384951881016"/>
          <c:y val="0.90145329735880919"/>
          <c:w val="0.11383399209486166"/>
          <c:h val="8.6728601370871808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4" dropStyle="combo" dx="16" fmlaLink="'Control Sheet'!$E$2" fmlaRange="'Control Sheet'!$A$19:$A$22" noThreeD="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5" dropStyle="combo" dx="16" fmlaLink="'Control Sheet'!$E$13" fmlaRange="'Control Sheet'!$B$19:$B$27" noThreeD="1" val="0"/>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85725</xdr:colOff>
          <xdr:row>7</xdr:row>
          <xdr:rowOff>47625</xdr:rowOff>
        </xdr:from>
        <xdr:to>
          <xdr:col>12</xdr:col>
          <xdr:colOff>419100</xdr:colOff>
          <xdr:row>8</xdr:row>
          <xdr:rowOff>57150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Reset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390525</xdr:colOff>
          <xdr:row>7</xdr:row>
          <xdr:rowOff>47625</xdr:rowOff>
        </xdr:from>
        <xdr:to>
          <xdr:col>10</xdr:col>
          <xdr:colOff>819150</xdr:colOff>
          <xdr:row>8</xdr:row>
          <xdr:rowOff>57150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Print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7</xdr:row>
          <xdr:rowOff>9525</xdr:rowOff>
        </xdr:from>
        <xdr:to>
          <xdr:col>4</xdr:col>
          <xdr:colOff>0</xdr:colOff>
          <xdr:row>8</xdr:row>
          <xdr:rowOff>0</xdr:rowOff>
        </xdr:to>
        <xdr:sp macro="" textlink="">
          <xdr:nvSpPr>
            <xdr:cNvPr id="8196" name="Drop Down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xdr:twoCellAnchor>
    <xdr:from>
      <xdr:col>6</xdr:col>
      <xdr:colOff>1019175</xdr:colOff>
      <xdr:row>1</xdr:row>
      <xdr:rowOff>76200</xdr:rowOff>
    </xdr:from>
    <xdr:to>
      <xdr:col>7</xdr:col>
      <xdr:colOff>533400</xdr:colOff>
      <xdr:row>2</xdr:row>
      <xdr:rowOff>85725</xdr:rowOff>
    </xdr:to>
    <xdr:pic>
      <xdr:nvPicPr>
        <xdr:cNvPr id="8197" name="Picture 14" descr="image001"/>
        <xdr:cNvPicPr>
          <a:picLocks noChangeAspect="1" noChangeArrowheads="1"/>
        </xdr:cNvPicPr>
      </xdr:nvPicPr>
      <xdr:blipFill>
        <a:blip xmlns:r="http://schemas.openxmlformats.org/officeDocument/2006/relationships" r:embed="rId1">
          <a:grayscl/>
          <a:biLevel thresh="50000"/>
          <a:extLst>
            <a:ext uri="{28A0092B-C50C-407E-A947-70E740481C1C}">
              <a14:useLocalDpi xmlns:a14="http://schemas.microsoft.com/office/drawing/2010/main" val="0"/>
            </a:ext>
          </a:extLst>
        </a:blip>
        <a:srcRect/>
        <a:stretch>
          <a:fillRect/>
        </a:stretch>
      </xdr:blipFill>
      <xdr:spPr bwMode="auto">
        <a:xfrm>
          <a:off x="6334125" y="123825"/>
          <a:ext cx="109537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10</xdr:row>
      <xdr:rowOff>38100</xdr:rowOff>
    </xdr:from>
    <xdr:to>
      <xdr:col>6</xdr:col>
      <xdr:colOff>1066800</xdr:colOff>
      <xdr:row>45</xdr:row>
      <xdr:rowOff>19050</xdr:rowOff>
    </xdr:to>
    <xdr:graphicFrame macro="">
      <xdr:nvGraphicFramePr>
        <xdr:cNvPr id="8198"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1257300</xdr:colOff>
      <xdr:row>10</xdr:row>
      <xdr:rowOff>57150</xdr:rowOff>
    </xdr:from>
    <xdr:to>
      <xdr:col>13</xdr:col>
      <xdr:colOff>95250</xdr:colOff>
      <xdr:row>45</xdr:row>
      <xdr:rowOff>38100</xdr:rowOff>
    </xdr:to>
    <xdr:graphicFrame macro="">
      <xdr:nvGraphicFramePr>
        <xdr:cNvPr id="8199"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66675</xdr:colOff>
      <xdr:row>2</xdr:row>
      <xdr:rowOff>85725</xdr:rowOff>
    </xdr:from>
    <xdr:to>
      <xdr:col>4</xdr:col>
      <xdr:colOff>419100</xdr:colOff>
      <xdr:row>6</xdr:row>
      <xdr:rowOff>57150</xdr:rowOff>
    </xdr:to>
    <xdr:grpSp>
      <xdr:nvGrpSpPr>
        <xdr:cNvPr id="8200" name="Group 29"/>
        <xdr:cNvGrpSpPr>
          <a:grpSpLocks/>
        </xdr:cNvGrpSpPr>
      </xdr:nvGrpSpPr>
      <xdr:grpSpPr bwMode="auto">
        <a:xfrm>
          <a:off x="66675" y="329142"/>
          <a:ext cx="2828925" cy="913341"/>
          <a:chOff x="-23666" y="647530"/>
          <a:chExt cx="1899584" cy="755638"/>
        </a:xfrm>
      </xdr:grpSpPr>
      <xdr:sp macro="" textlink="">
        <xdr:nvSpPr>
          <xdr:cNvPr id="31" name="Oval 30">
            <a:extLst>
              <a:ext uri="{FF2B5EF4-FFF2-40B4-BE49-F238E27FC236}"/>
            </a:extLst>
          </xdr:cNvPr>
          <xdr:cNvSpPr/>
        </xdr:nvSpPr>
        <xdr:spPr>
          <a:xfrm>
            <a:off x="308921" y="655401"/>
            <a:ext cx="364567" cy="401433"/>
          </a:xfrm>
          <a:prstGeom prst="ellipse">
            <a:avLst/>
          </a:prstGeom>
          <a:solidFill>
            <a:srgbClr val="FFC000">
              <a:lumMod val="40000"/>
              <a:lumOff val="60000"/>
            </a:srgbClr>
          </a:solidFill>
          <a:ln w="12700" cap="flat" cmpd="sng" algn="ctr">
            <a:solidFill>
              <a:srgbClr val="FFC000">
                <a:lumMod val="75000"/>
              </a:srgbClr>
            </a:solidFill>
            <a:prstDash val="solid"/>
            <a:miter lim="800000"/>
          </a:ln>
          <a:effectLst>
            <a:glow rad="25400">
              <a:srgbClr val="FFC000">
                <a:alpha val="40000"/>
              </a:srgbClr>
            </a:glow>
          </a:effectLst>
        </xdr:spPr>
        <xdr:txBody>
          <a:bodyPr vertOverflow="clip" horzOverflow="clip" wrap="none" lIns="182880" rIns="18288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300" b="1" i="0" u="none" strike="noStrike" kern="0" cap="none" spc="0" normalizeH="0" baseline="0" noProof="0">
              <a:ln>
                <a:noFill/>
              </a:ln>
              <a:solidFill>
                <a:sysClr val="windowText" lastClr="000000">
                  <a:lumMod val="65000"/>
                  <a:lumOff val="35000"/>
                </a:sysClr>
              </a:solidFill>
              <a:effectLst/>
              <a:uLnTx/>
              <a:uFillTx/>
              <a:latin typeface="Calibri"/>
              <a:ea typeface="+mn-ea"/>
              <a:cs typeface="+mn-cs"/>
            </a:endParaRPr>
          </a:p>
        </xdr:txBody>
      </xdr:sp>
      <xdr:sp macro="" textlink="">
        <xdr:nvSpPr>
          <xdr:cNvPr id="32" name="Oval 31">
            <a:extLst>
              <a:ext uri="{FF2B5EF4-FFF2-40B4-BE49-F238E27FC236}"/>
            </a:extLst>
          </xdr:cNvPr>
          <xdr:cNvSpPr/>
        </xdr:nvSpPr>
        <xdr:spPr>
          <a:xfrm>
            <a:off x="1095618" y="647530"/>
            <a:ext cx="364567" cy="401433"/>
          </a:xfrm>
          <a:prstGeom prst="ellipse">
            <a:avLst/>
          </a:prstGeom>
          <a:solidFill>
            <a:srgbClr val="4472C4">
              <a:lumMod val="20000"/>
              <a:lumOff val="80000"/>
            </a:srgbClr>
          </a:solidFill>
          <a:ln w="12700" cap="flat" cmpd="sng" algn="ctr">
            <a:solidFill>
              <a:srgbClr val="5B9BD5">
                <a:shade val="50000"/>
              </a:srgbClr>
            </a:solidFill>
            <a:prstDash val="solid"/>
            <a:miter lim="800000"/>
          </a:ln>
          <a:effectLst>
            <a:glow rad="25400">
              <a:srgbClr val="5B9BD5">
                <a:lumMod val="20000"/>
                <a:lumOff val="80000"/>
                <a:alpha val="40000"/>
              </a:srgbClr>
            </a:glow>
          </a:effectLst>
        </xdr:spPr>
        <xdr:txBody>
          <a:bodyPr vertOverflow="clip" horzOverflow="clip" wrap="none" lIns="182880" rIns="18288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300" b="1" i="0" u="none" strike="noStrike" kern="0" cap="none" spc="0" normalizeH="0" baseline="0" noProof="0">
              <a:ln>
                <a:noFill/>
              </a:ln>
              <a:solidFill>
                <a:sysClr val="windowText" lastClr="000000">
                  <a:lumMod val="65000"/>
                  <a:lumOff val="35000"/>
                </a:sysClr>
              </a:solidFill>
              <a:effectLst/>
              <a:uLnTx/>
              <a:uFillTx/>
              <a:latin typeface="Calibri"/>
              <a:ea typeface="+mn-ea"/>
              <a:cs typeface="+mn-cs"/>
            </a:endParaRPr>
          </a:p>
        </xdr:txBody>
      </xdr:sp>
      <xdr:sp macro="" textlink="">
        <xdr:nvSpPr>
          <xdr:cNvPr id="33" name="TextBox 32">
            <a:extLst>
              <a:ext uri="{FF2B5EF4-FFF2-40B4-BE49-F238E27FC236}"/>
            </a:extLst>
          </xdr:cNvPr>
          <xdr:cNvSpPr txBox="1"/>
        </xdr:nvSpPr>
        <xdr:spPr>
          <a:xfrm>
            <a:off x="-23666" y="962379"/>
            <a:ext cx="1048929" cy="432918"/>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 lastClr="FFFFFF"/>
                </a:solidFill>
                <a:effectLst/>
                <a:uLnTx/>
                <a:uFillTx/>
                <a:latin typeface="Calibri"/>
                <a:ea typeface="+mn-ea"/>
                <a:cs typeface="+mn-cs"/>
              </a:rPr>
              <a:t>Activations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 lastClr="FFFFFF"/>
                </a:solidFill>
                <a:effectLst/>
                <a:uLnTx/>
                <a:uFillTx/>
                <a:latin typeface="Calibri"/>
                <a:ea typeface="+mn-ea"/>
                <a:cs typeface="+mn-cs"/>
              </a:rPr>
              <a:t>(CYTD Growth)</a:t>
            </a:r>
          </a:p>
        </xdr:txBody>
      </xdr:sp>
      <xdr:sp macro="" textlink="">
        <xdr:nvSpPr>
          <xdr:cNvPr id="34" name="TextBox 33">
            <a:extLst>
              <a:ext uri="{FF2B5EF4-FFF2-40B4-BE49-F238E27FC236}"/>
            </a:extLst>
          </xdr:cNvPr>
          <xdr:cNvSpPr txBox="1"/>
        </xdr:nvSpPr>
        <xdr:spPr>
          <a:xfrm>
            <a:off x="743843" y="970250"/>
            <a:ext cx="1132075" cy="432918"/>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 lastClr="FFFFFF"/>
                </a:solidFill>
                <a:effectLst/>
                <a:uLnTx/>
                <a:uFillTx/>
                <a:latin typeface="Calibri"/>
                <a:ea typeface="+mn-ea"/>
                <a:cs typeface="+mn-cs"/>
              </a:rPr>
              <a:t>Transactions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 lastClr="FFFFFF"/>
                </a:solidFill>
                <a:effectLst/>
                <a:uLnTx/>
                <a:uFillTx/>
                <a:latin typeface="Calibri"/>
                <a:ea typeface="+mn-ea"/>
                <a:cs typeface="+mn-cs"/>
              </a:rPr>
              <a:t>(CYTD Growth)</a:t>
            </a: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6</xdr:row>
          <xdr:rowOff>38100</xdr:rowOff>
        </xdr:from>
        <xdr:to>
          <xdr:col>15</xdr:col>
          <xdr:colOff>428625</xdr:colOff>
          <xdr:row>6</xdr:row>
          <xdr:rowOff>257175</xdr:rowOff>
        </xdr:to>
        <xdr:sp macro="" textlink="">
          <xdr:nvSpPr>
            <xdr:cNvPr id="5123" name="Button 3" hidden="1">
              <a:extLst>
                <a:ext uri="{63B3BB69-23CF-44E3-9099-C40C66FF867C}">
                  <a14:compatExt spid="_x0000_s51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Reset</a:t>
              </a:r>
              <a:endParaRPr lang="zh-CN" altLang="en-US"/>
            </a:p>
          </xdr:txBody>
        </xdr:sp>
        <xdr:clientData fPrintsWithSheet="0"/>
      </xdr:twoCellAnchor>
    </mc:Choice>
    <mc:Fallback/>
  </mc:AlternateContent>
  <xdr:twoCellAnchor>
    <xdr:from>
      <xdr:col>18</xdr:col>
      <xdr:colOff>342900</xdr:colOff>
      <xdr:row>1</xdr:row>
      <xdr:rowOff>66675</xdr:rowOff>
    </xdr:from>
    <xdr:to>
      <xdr:col>19</xdr:col>
      <xdr:colOff>504825</xdr:colOff>
      <xdr:row>2</xdr:row>
      <xdr:rowOff>85725</xdr:rowOff>
    </xdr:to>
    <xdr:pic>
      <xdr:nvPicPr>
        <xdr:cNvPr id="5124" name="Picture 14" descr="image001"/>
        <xdr:cNvPicPr>
          <a:picLocks noChangeAspect="1" noChangeArrowheads="1"/>
        </xdr:cNvPicPr>
      </xdr:nvPicPr>
      <xdr:blipFill>
        <a:blip xmlns:r="http://schemas.openxmlformats.org/officeDocument/2006/relationships" r:embed="rId1">
          <a:grayscl/>
          <a:biLevel thresh="50000"/>
          <a:extLst>
            <a:ext uri="{28A0092B-C50C-407E-A947-70E740481C1C}">
              <a14:useLocalDpi xmlns:a14="http://schemas.microsoft.com/office/drawing/2010/main" val="0"/>
            </a:ext>
          </a:extLst>
        </a:blip>
        <a:srcRect/>
        <a:stretch>
          <a:fillRect/>
        </a:stretch>
      </xdr:blipFill>
      <xdr:spPr bwMode="auto">
        <a:xfrm>
          <a:off x="12315825" y="114300"/>
          <a:ext cx="10001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6</xdr:row>
          <xdr:rowOff>9525</xdr:rowOff>
        </xdr:from>
        <xdr:to>
          <xdr:col>4</xdr:col>
          <xdr:colOff>190500</xdr:colOff>
          <xdr:row>6</xdr:row>
          <xdr:rowOff>209550</xdr:rowOff>
        </xdr:to>
        <xdr:sp macro="" textlink="">
          <xdr:nvSpPr>
            <xdr:cNvPr id="2" name="Drop Down 2" hidden="1">
              <a:extLst>
                <a:ext uri="{63B3BB69-23CF-44E3-9099-C40C66FF867C}">
                  <a14:compatExt spid="_x0000_s5124"/>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4733925</xdr:colOff>
      <xdr:row>2</xdr:row>
      <xdr:rowOff>19050</xdr:rowOff>
    </xdr:from>
    <xdr:to>
      <xdr:col>2</xdr:col>
      <xdr:colOff>5638800</xdr:colOff>
      <xdr:row>3</xdr:row>
      <xdr:rowOff>28575</xdr:rowOff>
    </xdr:to>
    <xdr:pic>
      <xdr:nvPicPr>
        <xdr:cNvPr id="10241" name="Picture 14" descr="image001"/>
        <xdr:cNvPicPr>
          <a:picLocks noChangeAspect="1" noChangeArrowheads="1"/>
        </xdr:cNvPicPr>
      </xdr:nvPicPr>
      <xdr:blipFill>
        <a:blip xmlns:r="http://schemas.openxmlformats.org/officeDocument/2006/relationships" r:embed="rId1">
          <a:grayscl/>
          <a:biLevel thresh="50000"/>
          <a:extLst>
            <a:ext uri="{28A0092B-C50C-407E-A947-70E740481C1C}">
              <a14:useLocalDpi xmlns:a14="http://schemas.microsoft.com/office/drawing/2010/main" val="0"/>
            </a:ext>
          </a:extLst>
        </a:blip>
        <a:srcRect/>
        <a:stretch>
          <a:fillRect/>
        </a:stretch>
      </xdr:blipFill>
      <xdr:spPr bwMode="auto">
        <a:xfrm>
          <a:off x="4991100" y="257175"/>
          <a:ext cx="90487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etai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xtria.sharepoint.com/Users/Ben%20Ruiz/AppData/Local/Microsoft/Windows/INetCache/Content.Outlook/SWW7NIFY/Average%20Savings%20Summary_CombinedPrograms_30June2016%20(00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en%20Ruiz/AppData/Local/Microsoft/Windows/INetCache/Content.Outlook/SWW7NIFY/Average%20Savings%20Summary_CombinedPrograms_30June2016%20(002).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Rul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tai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ule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O198"/>
  <sheetViews>
    <sheetView showGridLines="0" tabSelected="1" zoomScale="90" zoomScaleNormal="90" zoomScaleSheetLayoutView="70" workbookViewId="0"/>
  </sheetViews>
  <sheetFormatPr defaultRowHeight="12"/>
  <cols>
    <col min="1" max="1" width="1.75" style="1" customWidth="1"/>
    <col min="2" max="2" width="1.625" style="1" customWidth="1"/>
    <col min="3" max="3" width="12.125" style="1" customWidth="1"/>
    <col min="4" max="4" width="17" style="1" customWidth="1"/>
    <col min="5" max="5" width="18.625" style="1" customWidth="1"/>
    <col min="6" max="6" width="18.625" style="2" customWidth="1"/>
    <col min="7" max="8" width="20.75" style="2" customWidth="1"/>
    <col min="9" max="9" width="17.625" style="1" customWidth="1"/>
    <col min="10" max="10" width="18.375" style="1" customWidth="1"/>
    <col min="11" max="11" width="12.625" style="1" customWidth="1"/>
    <col min="12" max="12" width="1.375" style="1" customWidth="1"/>
    <col min="13" max="13" width="8.125" style="1" customWidth="1"/>
    <col min="14" max="14" width="1.625" style="1" customWidth="1"/>
    <col min="15" max="15" width="1.75" style="1" customWidth="1"/>
    <col min="16" max="16384" width="9" style="1"/>
  </cols>
  <sheetData>
    <row r="1" spans="2:15" ht="3.95" customHeight="1">
      <c r="O1" s="28"/>
    </row>
    <row r="2" spans="2:15" ht="15" customHeight="1">
      <c r="B2" s="125"/>
      <c r="C2" s="335" t="s">
        <v>923</v>
      </c>
      <c r="D2" s="335"/>
      <c r="E2" s="99"/>
      <c r="F2" s="99"/>
      <c r="G2" s="64"/>
      <c r="H2" s="64"/>
      <c r="I2" s="99"/>
      <c r="J2" s="99"/>
      <c r="K2" s="99"/>
      <c r="L2" s="99"/>
      <c r="M2" s="61"/>
      <c r="N2" s="100"/>
      <c r="O2" s="28"/>
    </row>
    <row r="3" spans="2:15" ht="15" customHeight="1">
      <c r="B3" s="103"/>
      <c r="C3" s="60"/>
      <c r="D3" s="60"/>
      <c r="E3" s="60"/>
      <c r="F3" s="60"/>
      <c r="G3" s="337" t="s">
        <v>85</v>
      </c>
      <c r="H3" s="337"/>
      <c r="I3" s="60"/>
      <c r="J3" s="60"/>
      <c r="K3" s="60"/>
      <c r="L3" s="60"/>
      <c r="M3" s="62"/>
      <c r="N3" s="104"/>
      <c r="O3" s="28"/>
    </row>
    <row r="4" spans="2:15" ht="15" customHeight="1">
      <c r="B4" s="103"/>
      <c r="C4" s="60"/>
      <c r="D4" s="60"/>
      <c r="E4" s="60"/>
      <c r="F4" s="60"/>
      <c r="G4" s="337"/>
      <c r="H4" s="337"/>
      <c r="I4" s="60"/>
      <c r="J4" s="60"/>
      <c r="K4" s="60"/>
      <c r="L4" s="60"/>
      <c r="M4" s="62"/>
      <c r="N4" s="104"/>
      <c r="O4" s="28"/>
    </row>
    <row r="5" spans="2:15" ht="15" customHeight="1">
      <c r="B5" s="103"/>
      <c r="C5" s="60"/>
      <c r="D5" s="60"/>
      <c r="E5" s="60"/>
      <c r="F5" s="60"/>
      <c r="G5" s="336" t="s">
        <v>939</v>
      </c>
      <c r="H5" s="336"/>
      <c r="I5" s="60"/>
      <c r="J5" s="60"/>
      <c r="K5" s="60"/>
      <c r="L5" s="60"/>
      <c r="M5" s="62"/>
      <c r="N5" s="104"/>
      <c r="O5" s="28"/>
    </row>
    <row r="6" spans="2:15" ht="29.25" customHeight="1">
      <c r="B6" s="103"/>
      <c r="C6" s="60"/>
      <c r="D6" s="60"/>
      <c r="E6" s="60"/>
      <c r="F6" s="60"/>
      <c r="G6" s="336"/>
      <c r="H6" s="336"/>
      <c r="I6" s="60"/>
      <c r="J6" s="60"/>
      <c r="K6" s="60"/>
      <c r="L6" s="60"/>
      <c r="M6" s="60"/>
      <c r="N6" s="104"/>
      <c r="O6" s="28"/>
    </row>
    <row r="7" spans="2:15" ht="6" customHeight="1">
      <c r="B7" s="123"/>
      <c r="C7" s="5"/>
      <c r="D7" s="5"/>
      <c r="E7" s="5"/>
      <c r="F7" s="4"/>
      <c r="G7" s="4"/>
      <c r="H7" s="4"/>
      <c r="I7" s="45"/>
      <c r="J7" s="5"/>
      <c r="K7" s="5"/>
      <c r="L7" s="5"/>
      <c r="M7" s="5"/>
      <c r="N7" s="129"/>
      <c r="O7" s="28"/>
    </row>
    <row r="8" spans="2:15" ht="16.5" customHeight="1">
      <c r="B8" s="123"/>
      <c r="C8" s="178" t="s">
        <v>3</v>
      </c>
      <c r="D8" s="26"/>
      <c r="E8" s="5"/>
      <c r="F8" s="4"/>
      <c r="G8" s="56"/>
      <c r="H8" s="56"/>
      <c r="I8" s="5"/>
      <c r="J8" s="5"/>
      <c r="K8" s="5"/>
      <c r="L8" s="5"/>
      <c r="M8" s="5"/>
      <c r="N8" s="129"/>
      <c r="O8" s="28"/>
    </row>
    <row r="9" spans="2:15" ht="7.5" customHeight="1">
      <c r="B9" s="123"/>
      <c r="C9" s="111"/>
      <c r="D9" s="111"/>
      <c r="E9" s="5"/>
      <c r="F9" s="112"/>
      <c r="G9" s="4"/>
      <c r="H9" s="27"/>
      <c r="I9" s="27"/>
      <c r="J9" s="110"/>
      <c r="K9" s="110"/>
      <c r="L9" s="5"/>
      <c r="M9" s="5"/>
      <c r="N9" s="129"/>
      <c r="O9" s="5"/>
    </row>
    <row r="10" spans="2:15" ht="8.25" customHeight="1">
      <c r="B10" s="123"/>
      <c r="C10" s="50"/>
      <c r="D10" s="50"/>
      <c r="E10" s="51"/>
      <c r="F10" s="51"/>
      <c r="G10" s="51"/>
      <c r="H10" s="52"/>
      <c r="I10" s="53"/>
      <c r="J10" s="53"/>
      <c r="K10" s="53"/>
      <c r="L10" s="54"/>
      <c r="M10" s="55"/>
      <c r="N10" s="129"/>
      <c r="O10" s="5"/>
    </row>
    <row r="11" spans="2:15" ht="6" customHeight="1">
      <c r="B11" s="123"/>
      <c r="C11" s="111"/>
      <c r="D11" s="111"/>
      <c r="E11" s="5"/>
      <c r="F11" s="112"/>
      <c r="G11" s="4"/>
      <c r="H11" s="27"/>
      <c r="I11" s="27"/>
      <c r="J11" s="110"/>
      <c r="K11" s="110"/>
      <c r="L11" s="5"/>
      <c r="M11" s="5"/>
      <c r="N11" s="129"/>
      <c r="O11" s="5"/>
    </row>
    <row r="12" spans="2:15" ht="6" customHeight="1">
      <c r="B12" s="123"/>
      <c r="C12" s="111"/>
      <c r="D12" s="111"/>
      <c r="E12" s="5"/>
      <c r="F12" s="112"/>
      <c r="G12" s="4"/>
      <c r="H12" s="27"/>
      <c r="I12" s="27">
        <v>5</v>
      </c>
      <c r="J12" s="110"/>
      <c r="K12" s="110"/>
      <c r="L12" s="5"/>
      <c r="M12" s="5"/>
      <c r="N12" s="129"/>
      <c r="O12" s="5"/>
    </row>
    <row r="13" spans="2:15" ht="12" customHeight="1">
      <c r="B13" s="123"/>
      <c r="C13" s="111"/>
      <c r="D13" s="111"/>
      <c r="E13" s="5"/>
      <c r="F13" s="112"/>
      <c r="G13" s="4"/>
      <c r="H13" s="27"/>
      <c r="I13" s="27"/>
      <c r="J13" s="110"/>
      <c r="K13" s="110"/>
      <c r="L13" s="5"/>
      <c r="M13" s="5"/>
      <c r="N13" s="129"/>
      <c r="O13" s="5"/>
    </row>
    <row r="14" spans="2:15" ht="6" customHeight="1">
      <c r="B14" s="123"/>
      <c r="C14" s="111"/>
      <c r="D14" s="111"/>
      <c r="E14" s="5"/>
      <c r="F14" s="112"/>
      <c r="G14" s="4"/>
      <c r="H14" s="27"/>
      <c r="I14" s="27"/>
      <c r="J14" s="110"/>
      <c r="K14" s="110"/>
      <c r="L14" s="5"/>
      <c r="M14" s="5"/>
      <c r="N14" s="129"/>
      <c r="O14" s="5"/>
    </row>
    <row r="15" spans="2:15" ht="6" customHeight="1">
      <c r="B15" s="123"/>
      <c r="C15" s="111"/>
      <c r="D15" s="111"/>
      <c r="E15" s="5"/>
      <c r="F15" s="112"/>
      <c r="G15" s="4"/>
      <c r="H15" s="27"/>
      <c r="I15" s="27"/>
      <c r="J15" s="110"/>
      <c r="K15" s="110"/>
      <c r="L15" s="5"/>
      <c r="M15" s="5"/>
      <c r="N15" s="129"/>
      <c r="O15" s="5"/>
    </row>
    <row r="16" spans="2:15" ht="6" customHeight="1">
      <c r="B16" s="123"/>
      <c r="C16" s="111"/>
      <c r="D16" s="111"/>
      <c r="E16" s="5"/>
      <c r="F16" s="112"/>
      <c r="G16" s="4"/>
      <c r="H16" s="27"/>
      <c r="I16" s="27"/>
      <c r="J16" s="110"/>
      <c r="K16" s="110"/>
      <c r="L16" s="5"/>
      <c r="M16" s="5"/>
      <c r="N16" s="129"/>
      <c r="O16" s="5"/>
    </row>
    <row r="17" spans="2:15" ht="6" customHeight="1">
      <c r="B17" s="123"/>
      <c r="C17" s="111"/>
      <c r="D17" s="111"/>
      <c r="E17" s="5"/>
      <c r="F17" s="112"/>
      <c r="G17" s="4"/>
      <c r="H17" s="27"/>
      <c r="I17" s="27"/>
      <c r="J17" s="110"/>
      <c r="K17" s="110"/>
      <c r="L17" s="5"/>
      <c r="M17" s="5"/>
      <c r="N17" s="129"/>
      <c r="O17" s="5"/>
    </row>
    <row r="18" spans="2:15" ht="6" customHeight="1">
      <c r="B18" s="123"/>
      <c r="C18" s="111"/>
      <c r="D18" s="111"/>
      <c r="E18" s="5"/>
      <c r="F18" s="112"/>
      <c r="G18" s="4"/>
      <c r="H18" s="27"/>
      <c r="I18" s="27"/>
      <c r="J18" s="110"/>
      <c r="K18" s="110"/>
      <c r="L18" s="5"/>
      <c r="M18" s="5"/>
      <c r="N18" s="129"/>
      <c r="O18" s="5"/>
    </row>
    <row r="19" spans="2:15" ht="6" customHeight="1">
      <c r="B19" s="123"/>
      <c r="C19" s="111"/>
      <c r="D19" s="111"/>
      <c r="E19" s="5"/>
      <c r="F19" s="112"/>
      <c r="G19" s="4"/>
      <c r="H19" s="27"/>
      <c r="I19" s="27"/>
      <c r="J19" s="110"/>
      <c r="K19" s="110"/>
      <c r="L19" s="5"/>
      <c r="M19" s="5"/>
      <c r="N19" s="129"/>
      <c r="O19" s="5"/>
    </row>
    <row r="20" spans="2:15" ht="6" customHeight="1">
      <c r="B20" s="123"/>
      <c r="C20" s="111"/>
      <c r="D20" s="111"/>
      <c r="E20" s="5"/>
      <c r="F20" s="112"/>
      <c r="G20" s="4"/>
      <c r="H20" s="27"/>
      <c r="I20" s="27"/>
      <c r="J20" s="110"/>
      <c r="K20" s="110"/>
      <c r="L20" s="5"/>
      <c r="M20" s="5"/>
      <c r="N20" s="129"/>
      <c r="O20" s="5"/>
    </row>
    <row r="21" spans="2:15" ht="6" customHeight="1">
      <c r="B21" s="123"/>
      <c r="C21" s="111"/>
      <c r="D21" s="111"/>
      <c r="E21" s="5"/>
      <c r="F21" s="112"/>
      <c r="G21" s="4"/>
      <c r="H21" s="27"/>
      <c r="I21" s="27"/>
      <c r="J21" s="110"/>
      <c r="K21" s="110"/>
      <c r="L21" s="5"/>
      <c r="M21" s="5"/>
      <c r="N21" s="129"/>
      <c r="O21" s="5"/>
    </row>
    <row r="22" spans="2:15" ht="6" customHeight="1">
      <c r="B22" s="123"/>
      <c r="C22" s="111"/>
      <c r="D22" s="111"/>
      <c r="E22" s="5"/>
      <c r="F22" s="112"/>
      <c r="G22" s="4"/>
      <c r="H22" s="27"/>
      <c r="I22" s="27"/>
      <c r="J22" s="110"/>
      <c r="K22" s="110"/>
      <c r="L22" s="5"/>
      <c r="M22" s="5"/>
      <c r="N22" s="129"/>
      <c r="O22" s="5"/>
    </row>
    <row r="23" spans="2:15" ht="6" customHeight="1">
      <c r="B23" s="123"/>
      <c r="C23" s="111"/>
      <c r="D23" s="111"/>
      <c r="E23" s="5"/>
      <c r="F23" s="112"/>
      <c r="G23" s="4"/>
      <c r="H23" s="27"/>
      <c r="I23" s="27"/>
      <c r="J23" s="110"/>
      <c r="K23" s="110"/>
      <c r="L23" s="5"/>
      <c r="M23" s="5"/>
      <c r="N23" s="129"/>
      <c r="O23" s="5"/>
    </row>
    <row r="24" spans="2:15" ht="6" customHeight="1">
      <c r="B24" s="123"/>
      <c r="C24" s="111"/>
      <c r="D24" s="111"/>
      <c r="E24" s="5"/>
      <c r="F24" s="112"/>
      <c r="G24" s="4"/>
      <c r="H24" s="27"/>
      <c r="I24" s="27"/>
      <c r="J24" s="110"/>
      <c r="K24" s="110"/>
      <c r="L24" s="5"/>
      <c r="M24" s="5"/>
      <c r="N24" s="129"/>
      <c r="O24" s="5"/>
    </row>
    <row r="25" spans="2:15" ht="6" customHeight="1">
      <c r="B25" s="123"/>
      <c r="C25" s="111"/>
      <c r="D25" s="111"/>
      <c r="E25" s="5"/>
      <c r="F25" s="112"/>
      <c r="G25" s="4"/>
      <c r="H25" s="27"/>
      <c r="I25" s="27"/>
      <c r="J25" s="110"/>
      <c r="K25" s="110"/>
      <c r="L25" s="5"/>
      <c r="M25" s="5"/>
      <c r="N25" s="129"/>
      <c r="O25" s="5"/>
    </row>
    <row r="26" spans="2:15" ht="6" customHeight="1">
      <c r="B26" s="123"/>
      <c r="C26" s="111"/>
      <c r="D26" s="111"/>
      <c r="E26" s="5"/>
      <c r="F26" s="112"/>
      <c r="G26" s="4"/>
      <c r="H26" s="27"/>
      <c r="I26" s="27"/>
      <c r="J26" s="110"/>
      <c r="K26" s="110"/>
      <c r="L26" s="5"/>
      <c r="M26" s="5"/>
      <c r="N26" s="129"/>
      <c r="O26" s="5"/>
    </row>
    <row r="27" spans="2:15" ht="6" customHeight="1">
      <c r="B27" s="123"/>
      <c r="C27" s="111"/>
      <c r="D27" s="111"/>
      <c r="E27" s="5"/>
      <c r="F27" s="112"/>
      <c r="G27" s="4"/>
      <c r="H27" s="27"/>
      <c r="I27" s="27"/>
      <c r="J27" s="110"/>
      <c r="K27" s="110"/>
      <c r="L27" s="5"/>
      <c r="M27" s="5"/>
      <c r="N27" s="129"/>
      <c r="O27" s="5"/>
    </row>
    <row r="28" spans="2:15" ht="6" customHeight="1">
      <c r="B28" s="123"/>
      <c r="C28" s="111"/>
      <c r="D28" s="111"/>
      <c r="E28" s="5"/>
      <c r="F28" s="112"/>
      <c r="G28" s="4"/>
      <c r="H28" s="27"/>
      <c r="I28" s="27"/>
      <c r="J28" s="110"/>
      <c r="K28" s="110"/>
      <c r="L28" s="5"/>
      <c r="M28" s="5"/>
      <c r="N28" s="129"/>
      <c r="O28" s="5"/>
    </row>
    <row r="29" spans="2:15" ht="6" customHeight="1">
      <c r="B29" s="123"/>
      <c r="C29" s="111"/>
      <c r="D29" s="111"/>
      <c r="E29" s="5"/>
      <c r="F29" s="112"/>
      <c r="G29" s="4"/>
      <c r="H29" s="27"/>
      <c r="I29" s="27"/>
      <c r="J29" s="110"/>
      <c r="K29" s="110"/>
      <c r="L29" s="5"/>
      <c r="M29" s="5"/>
      <c r="N29" s="129"/>
      <c r="O29" s="5"/>
    </row>
    <row r="30" spans="2:15" ht="6" customHeight="1">
      <c r="B30" s="123"/>
      <c r="C30" s="111"/>
      <c r="D30" s="111"/>
      <c r="E30" s="5"/>
      <c r="F30" s="112"/>
      <c r="G30" s="4"/>
      <c r="H30" s="27"/>
      <c r="I30" s="27"/>
      <c r="J30" s="110"/>
      <c r="K30" s="110"/>
      <c r="L30" s="5"/>
      <c r="M30" s="5"/>
      <c r="N30" s="129"/>
      <c r="O30" s="5"/>
    </row>
    <row r="31" spans="2:15" ht="6" customHeight="1">
      <c r="B31" s="123"/>
      <c r="C31" s="111"/>
      <c r="D31" s="111"/>
      <c r="E31" s="5"/>
      <c r="F31" s="112"/>
      <c r="G31" s="4"/>
      <c r="H31" s="27"/>
      <c r="I31" s="27"/>
      <c r="J31" s="110"/>
      <c r="K31" s="110"/>
      <c r="L31" s="5"/>
      <c r="M31" s="5"/>
      <c r="N31" s="129"/>
      <c r="O31" s="5"/>
    </row>
    <row r="32" spans="2:15" ht="6" customHeight="1">
      <c r="B32" s="123"/>
      <c r="C32" s="111"/>
      <c r="D32" s="111"/>
      <c r="E32" s="5"/>
      <c r="F32" s="112"/>
      <c r="G32" s="4"/>
      <c r="H32" s="27"/>
      <c r="I32" s="27"/>
      <c r="J32" s="110"/>
      <c r="K32" s="110"/>
      <c r="L32" s="5"/>
      <c r="M32" s="5"/>
      <c r="N32" s="129"/>
      <c r="O32" s="5"/>
    </row>
    <row r="33" spans="2:15" ht="6" customHeight="1">
      <c r="B33" s="123"/>
      <c r="C33" s="111"/>
      <c r="D33" s="111"/>
      <c r="E33" s="5"/>
      <c r="F33" s="112"/>
      <c r="G33" s="4"/>
      <c r="H33" s="27"/>
      <c r="I33" s="27"/>
      <c r="J33" s="110"/>
      <c r="K33" s="110"/>
      <c r="L33" s="5"/>
      <c r="M33" s="5"/>
      <c r="N33" s="129"/>
      <c r="O33" s="5"/>
    </row>
    <row r="34" spans="2:15" ht="6" customHeight="1">
      <c r="B34" s="123"/>
      <c r="C34" s="111"/>
      <c r="D34" s="111"/>
      <c r="E34" s="5"/>
      <c r="F34" s="112"/>
      <c r="G34" s="4"/>
      <c r="H34" s="27"/>
      <c r="I34" s="27"/>
      <c r="J34" s="110"/>
      <c r="K34" s="110"/>
      <c r="L34" s="5"/>
      <c r="M34" s="5"/>
      <c r="N34" s="129"/>
      <c r="O34" s="5"/>
    </row>
    <row r="35" spans="2:15" ht="6" customHeight="1">
      <c r="B35" s="123"/>
      <c r="C35" s="111"/>
      <c r="D35" s="111"/>
      <c r="E35" s="5"/>
      <c r="F35" s="112"/>
      <c r="G35" s="4"/>
      <c r="H35" s="27"/>
      <c r="I35" s="27"/>
      <c r="J35" s="110"/>
      <c r="K35" s="110"/>
      <c r="L35" s="5"/>
      <c r="M35" s="5"/>
      <c r="N35" s="129"/>
      <c r="O35" s="5"/>
    </row>
    <row r="36" spans="2:15" ht="6" customHeight="1">
      <c r="B36" s="123"/>
      <c r="C36" s="111"/>
      <c r="D36" s="111"/>
      <c r="E36" s="5"/>
      <c r="F36" s="112"/>
      <c r="G36" s="4"/>
      <c r="H36" s="27"/>
      <c r="I36" s="27"/>
      <c r="J36" s="110"/>
      <c r="K36" s="110"/>
      <c r="L36" s="5"/>
      <c r="M36" s="5"/>
      <c r="N36" s="129"/>
      <c r="O36" s="5"/>
    </row>
    <row r="37" spans="2:15" ht="6" customHeight="1">
      <c r="B37" s="123"/>
      <c r="C37" s="111"/>
      <c r="D37" s="111"/>
      <c r="E37" s="5"/>
      <c r="F37" s="112"/>
      <c r="G37" s="4"/>
      <c r="H37" s="27"/>
      <c r="I37" s="27"/>
      <c r="J37" s="110"/>
      <c r="K37" s="110"/>
      <c r="L37" s="5"/>
      <c r="M37" s="5"/>
      <c r="N37" s="129"/>
      <c r="O37" s="5"/>
    </row>
    <row r="38" spans="2:15" ht="6" customHeight="1">
      <c r="B38" s="123"/>
      <c r="C38" s="111"/>
      <c r="D38" s="111"/>
      <c r="E38" s="5"/>
      <c r="F38" s="112"/>
      <c r="G38" s="4"/>
      <c r="H38" s="27"/>
      <c r="I38" s="27"/>
      <c r="J38" s="110"/>
      <c r="K38" s="110"/>
      <c r="L38" s="5"/>
      <c r="M38" s="5"/>
      <c r="N38" s="129"/>
      <c r="O38" s="5"/>
    </row>
    <row r="39" spans="2:15" ht="6" customHeight="1">
      <c r="B39" s="123"/>
      <c r="C39" s="111"/>
      <c r="D39" s="111"/>
      <c r="E39" s="5"/>
      <c r="F39" s="112"/>
      <c r="G39" s="4"/>
      <c r="H39" s="27"/>
      <c r="I39" s="27"/>
      <c r="J39" s="110"/>
      <c r="K39" s="110"/>
      <c r="L39" s="5"/>
      <c r="M39" s="5"/>
      <c r="N39" s="129"/>
      <c r="O39" s="5"/>
    </row>
    <row r="40" spans="2:15" ht="6" customHeight="1">
      <c r="B40" s="123"/>
      <c r="C40" s="111"/>
      <c r="D40" s="111"/>
      <c r="E40" s="5"/>
      <c r="F40" s="112"/>
      <c r="G40" s="4"/>
      <c r="H40" s="27"/>
      <c r="I40" s="27"/>
      <c r="J40" s="110"/>
      <c r="K40" s="110"/>
      <c r="L40" s="5"/>
      <c r="M40" s="5"/>
      <c r="N40" s="129"/>
      <c r="O40" s="5"/>
    </row>
    <row r="41" spans="2:15" ht="6" customHeight="1">
      <c r="B41" s="123"/>
      <c r="C41" s="111"/>
      <c r="D41" s="111"/>
      <c r="E41" s="5"/>
      <c r="F41" s="112"/>
      <c r="G41" s="4"/>
      <c r="H41" s="27"/>
      <c r="I41" s="27"/>
      <c r="J41" s="110"/>
      <c r="K41" s="110"/>
      <c r="L41" s="5"/>
      <c r="M41" s="5"/>
      <c r="N41" s="129"/>
      <c r="O41" s="5"/>
    </row>
    <row r="42" spans="2:15" ht="6" customHeight="1">
      <c r="B42" s="123"/>
      <c r="C42" s="111"/>
      <c r="D42" s="111"/>
      <c r="E42" s="5"/>
      <c r="F42" s="112"/>
      <c r="G42" s="4"/>
      <c r="H42" s="27"/>
      <c r="I42" s="27"/>
      <c r="J42" s="110"/>
      <c r="K42" s="110"/>
      <c r="L42" s="5"/>
      <c r="M42" s="5"/>
      <c r="N42" s="129"/>
      <c r="O42" s="5"/>
    </row>
    <row r="43" spans="2:15" ht="6" customHeight="1">
      <c r="B43" s="123"/>
      <c r="C43" s="111"/>
      <c r="D43" s="111"/>
      <c r="E43" s="5"/>
      <c r="F43" s="112"/>
      <c r="G43" s="4"/>
      <c r="H43" s="27"/>
      <c r="I43" s="27"/>
      <c r="J43" s="110"/>
      <c r="K43" s="110"/>
      <c r="L43" s="5"/>
      <c r="M43" s="5"/>
      <c r="N43" s="129"/>
      <c r="O43" s="5"/>
    </row>
    <row r="44" spans="2:15" ht="6" customHeight="1">
      <c r="B44" s="123"/>
      <c r="C44" s="111"/>
      <c r="D44" s="111"/>
      <c r="E44" s="5"/>
      <c r="F44" s="112"/>
      <c r="G44" s="4"/>
      <c r="H44" s="27"/>
      <c r="I44" s="27"/>
      <c r="J44" s="110"/>
      <c r="K44" s="110"/>
      <c r="L44" s="5"/>
      <c r="M44" s="5"/>
      <c r="N44" s="129"/>
      <c r="O44" s="5"/>
    </row>
    <row r="45" spans="2:15" ht="6" customHeight="1">
      <c r="B45" s="123"/>
      <c r="C45" s="111"/>
      <c r="D45" s="111"/>
      <c r="E45" s="5"/>
      <c r="F45" s="112"/>
      <c r="G45" s="4"/>
      <c r="H45" s="27"/>
      <c r="I45" s="27"/>
      <c r="J45" s="110"/>
      <c r="K45" s="110"/>
      <c r="L45" s="5"/>
      <c r="M45" s="5"/>
      <c r="N45" s="129"/>
      <c r="O45" s="5"/>
    </row>
    <row r="46" spans="2:15" ht="6" customHeight="1">
      <c r="B46" s="123"/>
      <c r="C46" s="111"/>
      <c r="D46" s="111"/>
      <c r="E46" s="5"/>
      <c r="F46" s="112"/>
      <c r="G46" s="4"/>
      <c r="H46" s="27"/>
      <c r="I46" s="27"/>
      <c r="J46" s="110"/>
      <c r="K46" s="110"/>
      <c r="L46" s="5"/>
      <c r="M46" s="5"/>
      <c r="N46" s="129"/>
      <c r="O46" s="5"/>
    </row>
    <row r="47" spans="2:15" ht="15" customHeight="1">
      <c r="B47" s="123"/>
      <c r="C47" s="346" t="s">
        <v>924</v>
      </c>
      <c r="D47" s="346"/>
      <c r="E47" s="346"/>
      <c r="F47" s="346"/>
      <c r="G47" s="346"/>
      <c r="H47" s="27"/>
      <c r="I47" s="27"/>
      <c r="J47" s="110"/>
      <c r="K47" s="110"/>
      <c r="L47" s="5"/>
      <c r="M47" s="5"/>
      <c r="N47" s="129"/>
      <c r="O47" s="5"/>
    </row>
    <row r="48" spans="2:15" ht="7.5" customHeight="1">
      <c r="B48" s="123"/>
      <c r="C48" s="50"/>
      <c r="D48" s="50"/>
      <c r="E48" s="51"/>
      <c r="F48" s="51"/>
      <c r="G48" s="51"/>
      <c r="H48" s="52"/>
      <c r="I48" s="53"/>
      <c r="J48" s="53"/>
      <c r="K48" s="53"/>
      <c r="L48" s="54"/>
      <c r="M48" s="55"/>
      <c r="N48" s="129"/>
      <c r="O48" s="5"/>
    </row>
    <row r="49" spans="2:15" ht="6" customHeight="1">
      <c r="B49" s="123"/>
      <c r="C49" s="111"/>
      <c r="D49" s="111"/>
      <c r="E49" s="5"/>
      <c r="F49" s="112"/>
      <c r="G49" s="4"/>
      <c r="H49" s="27"/>
      <c r="I49" s="27"/>
      <c r="J49" s="110"/>
      <c r="K49" s="110"/>
      <c r="L49" s="5"/>
      <c r="M49" s="5"/>
      <c r="N49" s="129"/>
      <c r="O49" s="5"/>
    </row>
    <row r="50" spans="2:15" ht="1.5" customHeight="1" thickBot="1">
      <c r="B50" s="123"/>
      <c r="C50" s="111"/>
      <c r="D50" s="111"/>
      <c r="E50" s="5"/>
      <c r="F50" s="112"/>
      <c r="G50" s="4"/>
      <c r="H50" s="27"/>
      <c r="I50" s="27"/>
      <c r="J50" s="110"/>
      <c r="K50" s="110"/>
      <c r="L50" s="5"/>
      <c r="M50" s="5"/>
      <c r="N50" s="129"/>
      <c r="O50" s="5"/>
    </row>
    <row r="51" spans="2:15" s="66" customFormat="1" ht="41.25" customHeight="1">
      <c r="B51" s="124"/>
      <c r="C51" s="67"/>
      <c r="D51" s="67"/>
      <c r="E51" s="68" t="s">
        <v>70</v>
      </c>
      <c r="F51" s="68" t="s">
        <v>71</v>
      </c>
      <c r="G51" s="68" t="s">
        <v>72</v>
      </c>
      <c r="H51" s="68" t="s">
        <v>73</v>
      </c>
      <c r="I51" s="68" t="s">
        <v>74</v>
      </c>
      <c r="J51" s="68" t="s">
        <v>88</v>
      </c>
      <c r="K51" s="68" t="s">
        <v>75</v>
      </c>
      <c r="L51" s="69"/>
      <c r="M51" s="69"/>
      <c r="N51" s="130"/>
      <c r="O51" s="70"/>
    </row>
    <row r="52" spans="2:15" ht="15" customHeight="1">
      <c r="B52" s="123"/>
      <c r="C52" s="208" t="s">
        <v>0</v>
      </c>
      <c r="D52" s="11"/>
      <c r="E52" s="165"/>
      <c r="F52" s="165"/>
      <c r="G52" s="310"/>
      <c r="H52" s="310"/>
      <c r="I52" s="165"/>
      <c r="J52" s="165"/>
      <c r="K52" s="312"/>
      <c r="L52" s="39"/>
      <c r="M52" s="39"/>
      <c r="N52" s="131"/>
      <c r="O52" s="42"/>
    </row>
    <row r="53" spans="2:15" ht="15" customHeight="1">
      <c r="B53" s="123"/>
      <c r="C53" s="207" t="s">
        <v>1</v>
      </c>
      <c r="D53" s="12"/>
      <c r="E53" s="169"/>
      <c r="F53" s="169"/>
      <c r="G53" s="311"/>
      <c r="H53" s="311"/>
      <c r="I53" s="169"/>
      <c r="J53" s="169"/>
      <c r="K53" s="311"/>
      <c r="L53" s="40"/>
      <c r="M53" s="40"/>
      <c r="N53" s="132"/>
      <c r="O53" s="43"/>
    </row>
    <row r="54" spans="2:15" ht="15" customHeight="1">
      <c r="B54" s="123"/>
      <c r="C54" s="35"/>
      <c r="D54" s="35"/>
      <c r="E54" s="35"/>
      <c r="F54" s="35"/>
      <c r="G54" s="35"/>
      <c r="H54" s="35"/>
      <c r="I54" s="35"/>
      <c r="J54" s="35"/>
      <c r="K54" s="35"/>
      <c r="L54" s="35"/>
      <c r="M54" s="35"/>
      <c r="N54" s="133"/>
      <c r="O54" s="41"/>
    </row>
    <row r="55" spans="2:15" ht="5.25" customHeight="1">
      <c r="B55" s="123"/>
      <c r="C55" s="38"/>
      <c r="D55" s="38"/>
      <c r="E55" s="38"/>
      <c r="F55" s="38"/>
      <c r="G55" s="38"/>
      <c r="H55" s="38"/>
      <c r="I55" s="38"/>
      <c r="J55" s="38"/>
      <c r="K55" s="38"/>
      <c r="L55" s="38"/>
      <c r="M55" s="38"/>
      <c r="N55" s="133"/>
      <c r="O55" s="41"/>
    </row>
    <row r="56" spans="2:15" ht="1.5" customHeight="1" thickBot="1">
      <c r="B56" s="123"/>
      <c r="C56" s="38"/>
      <c r="D56" s="38"/>
      <c r="E56" s="38"/>
      <c r="F56" s="38"/>
      <c r="G56" s="38"/>
      <c r="H56" s="38"/>
      <c r="I56" s="38"/>
      <c r="J56" s="38"/>
      <c r="K56" s="38"/>
      <c r="L56" s="38"/>
      <c r="M56" s="38"/>
      <c r="N56" s="133"/>
      <c r="O56" s="41"/>
    </row>
    <row r="57" spans="2:15" s="66" customFormat="1" ht="45.95" customHeight="1">
      <c r="B57" s="124"/>
      <c r="C57" s="71" t="s">
        <v>93</v>
      </c>
      <c r="D57" s="71" t="s">
        <v>81</v>
      </c>
      <c r="E57" s="68" t="s">
        <v>900</v>
      </c>
      <c r="F57" s="68" t="s">
        <v>76</v>
      </c>
      <c r="G57" s="68" t="s">
        <v>921</v>
      </c>
      <c r="H57" s="72" t="s">
        <v>901</v>
      </c>
      <c r="I57" s="68" t="s">
        <v>77</v>
      </c>
      <c r="J57" s="68" t="s">
        <v>920</v>
      </c>
      <c r="K57" s="69"/>
      <c r="L57" s="69"/>
      <c r="M57" s="68"/>
      <c r="N57" s="130"/>
      <c r="O57" s="70"/>
    </row>
    <row r="58" spans="2:15" ht="15" customHeight="1">
      <c r="B58" s="123"/>
      <c r="C58" s="170"/>
      <c r="D58" s="170"/>
      <c r="E58" s="313"/>
      <c r="F58" s="314"/>
      <c r="G58" s="314"/>
      <c r="H58" s="315"/>
      <c r="I58" s="314"/>
      <c r="J58" s="314"/>
      <c r="K58" s="91"/>
      <c r="L58" s="91"/>
      <c r="M58" s="91"/>
      <c r="N58" s="134"/>
      <c r="O58" s="44"/>
    </row>
    <row r="59" spans="2:15" ht="15" customHeight="1">
      <c r="B59" s="123"/>
      <c r="C59" s="171"/>
      <c r="D59" s="171"/>
      <c r="E59" s="316"/>
      <c r="F59" s="316"/>
      <c r="G59" s="316"/>
      <c r="H59" s="317"/>
      <c r="I59" s="316"/>
      <c r="J59" s="316"/>
      <c r="K59" s="92"/>
      <c r="L59" s="92"/>
      <c r="M59" s="92"/>
      <c r="N59" s="133"/>
      <c r="O59" s="41"/>
    </row>
    <row r="60" spans="2:15" ht="15" customHeight="1">
      <c r="B60" s="123"/>
      <c r="C60" s="172"/>
      <c r="D60" s="172"/>
      <c r="E60" s="318"/>
      <c r="F60" s="318"/>
      <c r="G60" s="318"/>
      <c r="H60" s="319"/>
      <c r="I60" s="318"/>
      <c r="J60" s="318"/>
      <c r="K60" s="93"/>
      <c r="L60" s="93"/>
      <c r="M60" s="93"/>
      <c r="N60" s="134"/>
      <c r="O60" s="44"/>
    </row>
    <row r="61" spans="2:15" ht="15" customHeight="1">
      <c r="B61" s="123"/>
      <c r="C61" s="171"/>
      <c r="D61" s="171"/>
      <c r="E61" s="316"/>
      <c r="F61" s="316"/>
      <c r="G61" s="316"/>
      <c r="H61" s="317"/>
      <c r="I61" s="316"/>
      <c r="J61" s="316"/>
      <c r="K61" s="92"/>
      <c r="L61" s="92"/>
      <c r="M61" s="92"/>
      <c r="N61" s="133"/>
      <c r="O61" s="41"/>
    </row>
    <row r="62" spans="2:15" ht="15" customHeight="1">
      <c r="B62" s="123"/>
      <c r="C62" s="172"/>
      <c r="D62" s="172"/>
      <c r="E62" s="318"/>
      <c r="F62" s="318"/>
      <c r="G62" s="318"/>
      <c r="H62" s="319"/>
      <c r="I62" s="318"/>
      <c r="J62" s="318"/>
      <c r="K62" s="93"/>
      <c r="L62" s="93"/>
      <c r="M62" s="93"/>
      <c r="N62" s="134"/>
      <c r="O62" s="44"/>
    </row>
    <row r="63" spans="2:15" ht="15" customHeight="1">
      <c r="B63" s="123"/>
      <c r="C63" s="171"/>
      <c r="D63" s="171"/>
      <c r="E63" s="316"/>
      <c r="F63" s="316"/>
      <c r="G63" s="316"/>
      <c r="H63" s="317"/>
      <c r="I63" s="316"/>
      <c r="J63" s="316"/>
      <c r="K63" s="92"/>
      <c r="L63" s="92"/>
      <c r="M63" s="92"/>
      <c r="N63" s="133"/>
      <c r="O63" s="41"/>
    </row>
    <row r="64" spans="2:15" ht="15" customHeight="1">
      <c r="B64" s="123"/>
      <c r="C64" s="172"/>
      <c r="D64" s="172"/>
      <c r="E64" s="318"/>
      <c r="F64" s="318"/>
      <c r="G64" s="318"/>
      <c r="H64" s="319"/>
      <c r="I64" s="318"/>
      <c r="J64" s="318"/>
      <c r="K64" s="93"/>
      <c r="L64" s="93"/>
      <c r="M64" s="93"/>
      <c r="N64" s="134"/>
      <c r="O64" s="44"/>
    </row>
    <row r="65" spans="2:15" ht="15" customHeight="1">
      <c r="B65" s="123"/>
      <c r="C65" s="171"/>
      <c r="D65" s="171"/>
      <c r="E65" s="316"/>
      <c r="F65" s="316"/>
      <c r="G65" s="316"/>
      <c r="H65" s="317"/>
      <c r="I65" s="316"/>
      <c r="J65" s="316"/>
      <c r="K65" s="92"/>
      <c r="L65" s="92"/>
      <c r="M65" s="92"/>
      <c r="N65" s="133"/>
      <c r="O65" s="41"/>
    </row>
    <row r="66" spans="2:15" ht="15" customHeight="1">
      <c r="B66" s="123"/>
      <c r="C66" s="172"/>
      <c r="D66" s="172"/>
      <c r="E66" s="318"/>
      <c r="F66" s="318"/>
      <c r="G66" s="318"/>
      <c r="H66" s="319"/>
      <c r="I66" s="318"/>
      <c r="J66" s="318"/>
      <c r="K66" s="93"/>
      <c r="L66" s="93"/>
      <c r="M66" s="93"/>
      <c r="N66" s="134"/>
      <c r="O66" s="44"/>
    </row>
    <row r="67" spans="2:15" ht="15" customHeight="1">
      <c r="B67" s="123"/>
      <c r="C67" s="171"/>
      <c r="D67" s="171"/>
      <c r="E67" s="316"/>
      <c r="F67" s="316"/>
      <c r="G67" s="316"/>
      <c r="H67" s="317"/>
      <c r="I67" s="316"/>
      <c r="J67" s="316"/>
      <c r="K67" s="92"/>
      <c r="L67" s="92"/>
      <c r="M67" s="92"/>
      <c r="N67" s="133"/>
      <c r="O67" s="41"/>
    </row>
    <row r="68" spans="2:15" ht="15" customHeight="1">
      <c r="B68" s="123"/>
      <c r="C68" s="172"/>
      <c r="D68" s="172"/>
      <c r="E68" s="318"/>
      <c r="F68" s="318"/>
      <c r="G68" s="318"/>
      <c r="H68" s="319"/>
      <c r="I68" s="318"/>
      <c r="J68" s="318"/>
      <c r="K68" s="93"/>
      <c r="L68" s="93"/>
      <c r="M68" s="93"/>
      <c r="N68" s="134"/>
      <c r="O68" s="44"/>
    </row>
    <row r="69" spans="2:15" ht="15" customHeight="1">
      <c r="B69" s="123"/>
      <c r="C69" s="171"/>
      <c r="D69" s="171"/>
      <c r="E69" s="316"/>
      <c r="F69" s="316"/>
      <c r="G69" s="316"/>
      <c r="H69" s="317"/>
      <c r="I69" s="316"/>
      <c r="J69" s="316"/>
      <c r="K69" s="92"/>
      <c r="L69" s="92"/>
      <c r="M69" s="92"/>
      <c r="N69" s="133"/>
      <c r="O69" s="41"/>
    </row>
    <row r="70" spans="2:15" ht="15" customHeight="1">
      <c r="B70" s="123"/>
      <c r="C70" s="172"/>
      <c r="D70" s="172"/>
      <c r="E70" s="318"/>
      <c r="F70" s="318"/>
      <c r="G70" s="318"/>
      <c r="H70" s="319"/>
      <c r="I70" s="318"/>
      <c r="J70" s="318"/>
      <c r="K70" s="93"/>
      <c r="L70" s="93"/>
      <c r="M70" s="93"/>
      <c r="N70" s="134"/>
      <c r="O70" s="44"/>
    </row>
    <row r="71" spans="2:15" ht="15" customHeight="1">
      <c r="B71" s="123"/>
      <c r="C71" s="171"/>
      <c r="D71" s="171"/>
      <c r="E71" s="316"/>
      <c r="F71" s="316"/>
      <c r="G71" s="316"/>
      <c r="H71" s="317"/>
      <c r="I71" s="316"/>
      <c r="J71" s="316"/>
      <c r="K71" s="92"/>
      <c r="L71" s="92"/>
      <c r="M71" s="92"/>
      <c r="N71" s="133"/>
      <c r="O71" s="41"/>
    </row>
    <row r="72" spans="2:15" ht="15" customHeight="1">
      <c r="B72" s="123"/>
      <c r="C72" s="172"/>
      <c r="D72" s="172"/>
      <c r="E72" s="318"/>
      <c r="F72" s="318"/>
      <c r="G72" s="318"/>
      <c r="H72" s="319"/>
      <c r="I72" s="318"/>
      <c r="J72" s="318"/>
      <c r="K72" s="93"/>
      <c r="L72" s="93"/>
      <c r="M72" s="93"/>
      <c r="N72" s="134"/>
      <c r="O72" s="44"/>
    </row>
    <row r="73" spans="2:15" ht="15" customHeight="1">
      <c r="B73" s="123"/>
      <c r="C73" s="173"/>
      <c r="D73" s="173"/>
      <c r="E73" s="320"/>
      <c r="F73" s="320"/>
      <c r="G73" s="320"/>
      <c r="H73" s="321"/>
      <c r="I73" s="320"/>
      <c r="J73" s="320"/>
      <c r="K73" s="94"/>
      <c r="L73" s="94"/>
      <c r="M73" s="94"/>
      <c r="N73" s="133"/>
      <c r="O73" s="41"/>
    </row>
    <row r="74" spans="2:15" ht="15" customHeight="1">
      <c r="B74" s="123"/>
      <c r="C74" s="174"/>
      <c r="D74" s="174"/>
      <c r="E74" s="322"/>
      <c r="F74" s="322"/>
      <c r="G74" s="322"/>
      <c r="H74" s="323"/>
      <c r="I74" s="322"/>
      <c r="J74" s="322"/>
      <c r="K74" s="95"/>
      <c r="L74" s="95"/>
      <c r="M74" s="95"/>
      <c r="N74" s="134"/>
      <c r="O74" s="44"/>
    </row>
    <row r="75" spans="2:15" ht="15" customHeight="1">
      <c r="B75" s="123"/>
      <c r="C75" s="173"/>
      <c r="D75" s="173"/>
      <c r="E75" s="320"/>
      <c r="F75" s="320"/>
      <c r="G75" s="320"/>
      <c r="H75" s="321"/>
      <c r="I75" s="320"/>
      <c r="J75" s="320"/>
      <c r="K75" s="94"/>
      <c r="L75" s="94"/>
      <c r="M75" s="94"/>
      <c r="N75" s="133"/>
      <c r="O75" s="41"/>
    </row>
    <row r="76" spans="2:15" ht="8.25" customHeight="1">
      <c r="B76" s="123"/>
      <c r="C76" s="33"/>
      <c r="D76" s="33"/>
      <c r="E76" s="34"/>
      <c r="F76" s="34"/>
      <c r="G76" s="34"/>
      <c r="H76" s="4"/>
      <c r="I76" s="5"/>
      <c r="J76" s="5"/>
      <c r="K76" s="5"/>
      <c r="L76" s="31"/>
      <c r="M76" s="29"/>
      <c r="N76" s="135"/>
    </row>
    <row r="77" spans="2:15" ht="6.75" customHeight="1" thickBot="1">
      <c r="B77" s="123"/>
      <c r="C77" s="13"/>
      <c r="D77" s="13"/>
      <c r="E77" s="14"/>
      <c r="F77" s="14"/>
      <c r="G77" s="14"/>
      <c r="H77" s="4"/>
      <c r="I77" s="5"/>
      <c r="J77" s="5"/>
      <c r="K77" s="5"/>
      <c r="L77" s="31"/>
      <c r="M77" s="29"/>
      <c r="N77" s="136"/>
      <c r="O77" s="30"/>
    </row>
    <row r="78" spans="2:15" s="66" customFormat="1" ht="45.95" customHeight="1">
      <c r="B78" s="124"/>
      <c r="C78" s="71" t="s">
        <v>93</v>
      </c>
      <c r="D78" s="71" t="s">
        <v>81</v>
      </c>
      <c r="E78" s="73" t="s">
        <v>94</v>
      </c>
      <c r="F78" s="73" t="s">
        <v>69</v>
      </c>
      <c r="G78" s="74" t="s">
        <v>902</v>
      </c>
      <c r="H78" s="75" t="s">
        <v>903</v>
      </c>
      <c r="I78" s="73"/>
      <c r="J78" s="73"/>
      <c r="K78" s="73"/>
      <c r="L78" s="73"/>
      <c r="M78" s="73"/>
      <c r="N78" s="137"/>
      <c r="O78" s="26"/>
    </row>
    <row r="79" spans="2:15" ht="15" customHeight="1">
      <c r="B79" s="123"/>
      <c r="C79" s="208"/>
      <c r="D79" s="208"/>
      <c r="E79" s="16"/>
      <c r="F79" s="157"/>
      <c r="G79" s="165"/>
      <c r="H79" s="165"/>
      <c r="I79" s="15"/>
      <c r="J79" s="15"/>
      <c r="K79" s="15"/>
      <c r="L79" s="15"/>
      <c r="M79" s="15"/>
      <c r="N79" s="138"/>
      <c r="O79" s="30"/>
    </row>
    <row r="80" spans="2:15" ht="15" customHeight="1">
      <c r="B80" s="123"/>
      <c r="C80" s="209"/>
      <c r="D80" s="209"/>
      <c r="E80" s="79"/>
      <c r="F80" s="158"/>
      <c r="G80" s="80"/>
      <c r="H80" s="80"/>
      <c r="I80" s="80"/>
      <c r="J80" s="80"/>
      <c r="K80" s="80"/>
      <c r="L80" s="80"/>
      <c r="M80" s="80"/>
      <c r="N80" s="139"/>
      <c r="O80" s="30"/>
    </row>
    <row r="81" spans="2:15" ht="15" customHeight="1">
      <c r="B81" s="123"/>
      <c r="C81" s="210"/>
      <c r="D81" s="210"/>
      <c r="E81" s="81"/>
      <c r="F81" s="159"/>
      <c r="G81" s="166"/>
      <c r="H81" s="166"/>
      <c r="I81" s="82"/>
      <c r="J81" s="82"/>
      <c r="K81" s="82"/>
      <c r="L81" s="82"/>
      <c r="M81" s="82"/>
      <c r="N81" s="138"/>
      <c r="O81" s="30"/>
    </row>
    <row r="82" spans="2:15" ht="15" customHeight="1">
      <c r="B82" s="123"/>
      <c r="C82" s="211"/>
      <c r="D82" s="211"/>
      <c r="E82" s="83"/>
      <c r="F82" s="160"/>
      <c r="G82" s="80"/>
      <c r="H82" s="80"/>
      <c r="I82" s="84"/>
      <c r="J82" s="84"/>
      <c r="K82" s="84"/>
      <c r="L82" s="84"/>
      <c r="M82" s="84"/>
      <c r="N82" s="139"/>
      <c r="O82" s="30"/>
    </row>
    <row r="83" spans="2:15" ht="15" customHeight="1">
      <c r="B83" s="123"/>
      <c r="C83" s="210"/>
      <c r="D83" s="210"/>
      <c r="E83" s="81"/>
      <c r="F83" s="159"/>
      <c r="G83" s="166"/>
      <c r="H83" s="166"/>
      <c r="I83" s="82"/>
      <c r="J83" s="82"/>
      <c r="K83" s="82"/>
      <c r="L83" s="82"/>
      <c r="M83" s="82"/>
      <c r="N83" s="138"/>
      <c r="O83" s="30"/>
    </row>
    <row r="84" spans="2:15" ht="15" customHeight="1">
      <c r="B84" s="123"/>
      <c r="C84" s="211"/>
      <c r="D84" s="211"/>
      <c r="E84" s="83"/>
      <c r="F84" s="160"/>
      <c r="G84" s="80"/>
      <c r="H84" s="80"/>
      <c r="I84" s="84"/>
      <c r="J84" s="84"/>
      <c r="K84" s="84"/>
      <c r="L84" s="84"/>
      <c r="M84" s="84"/>
      <c r="N84" s="139"/>
      <c r="O84" s="30"/>
    </row>
    <row r="85" spans="2:15" ht="15" customHeight="1">
      <c r="B85" s="123"/>
      <c r="C85" s="210"/>
      <c r="D85" s="210"/>
      <c r="E85" s="81"/>
      <c r="F85" s="159"/>
      <c r="G85" s="166"/>
      <c r="H85" s="166"/>
      <c r="I85" s="82"/>
      <c r="J85" s="82"/>
      <c r="K85" s="82"/>
      <c r="L85" s="82"/>
      <c r="M85" s="82"/>
      <c r="N85" s="138"/>
      <c r="O85" s="30"/>
    </row>
    <row r="86" spans="2:15" ht="15" customHeight="1">
      <c r="B86" s="123"/>
      <c r="C86" s="211"/>
      <c r="D86" s="211"/>
      <c r="E86" s="83"/>
      <c r="F86" s="160"/>
      <c r="G86" s="80"/>
      <c r="H86" s="80"/>
      <c r="I86" s="84"/>
      <c r="J86" s="84"/>
      <c r="K86" s="84"/>
      <c r="L86" s="84"/>
      <c r="M86" s="84"/>
      <c r="N86" s="139"/>
      <c r="O86" s="30"/>
    </row>
    <row r="87" spans="2:15" ht="15" customHeight="1">
      <c r="B87" s="123"/>
      <c r="C87" s="210"/>
      <c r="D87" s="210"/>
      <c r="E87" s="81"/>
      <c r="F87" s="159"/>
      <c r="G87" s="166"/>
      <c r="H87" s="166"/>
      <c r="I87" s="82"/>
      <c r="J87" s="82"/>
      <c r="K87" s="82"/>
      <c r="L87" s="82"/>
      <c r="M87" s="82"/>
      <c r="N87" s="138"/>
      <c r="O87" s="30"/>
    </row>
    <row r="88" spans="2:15" ht="15" customHeight="1">
      <c r="B88" s="123"/>
      <c r="C88" s="211"/>
      <c r="D88" s="211"/>
      <c r="E88" s="83"/>
      <c r="F88" s="160"/>
      <c r="G88" s="80"/>
      <c r="H88" s="80"/>
      <c r="I88" s="84"/>
      <c r="J88" s="84"/>
      <c r="K88" s="84"/>
      <c r="L88" s="84"/>
      <c r="M88" s="84"/>
      <c r="N88" s="139"/>
      <c r="O88" s="30"/>
    </row>
    <row r="89" spans="2:15" ht="15" customHeight="1">
      <c r="B89" s="123"/>
      <c r="C89" s="210"/>
      <c r="D89" s="210"/>
      <c r="E89" s="81"/>
      <c r="F89" s="159"/>
      <c r="G89" s="166"/>
      <c r="H89" s="166"/>
      <c r="I89" s="82"/>
      <c r="J89" s="82"/>
      <c r="K89" s="82"/>
      <c r="L89" s="82"/>
      <c r="M89" s="82"/>
      <c r="N89" s="138"/>
      <c r="O89" s="30"/>
    </row>
    <row r="90" spans="2:15" ht="15" customHeight="1">
      <c r="B90" s="123"/>
      <c r="C90" s="211"/>
      <c r="D90" s="211"/>
      <c r="E90" s="83"/>
      <c r="F90" s="160"/>
      <c r="G90" s="80"/>
      <c r="H90" s="80"/>
      <c r="I90" s="84"/>
      <c r="J90" s="84"/>
      <c r="K90" s="84"/>
      <c r="L90" s="84"/>
      <c r="M90" s="84"/>
      <c r="N90" s="139"/>
      <c r="O90" s="30"/>
    </row>
    <row r="91" spans="2:15" ht="15" customHeight="1">
      <c r="B91" s="123"/>
      <c r="C91" s="210"/>
      <c r="D91" s="210"/>
      <c r="E91" s="81"/>
      <c r="F91" s="159"/>
      <c r="G91" s="166"/>
      <c r="H91" s="166"/>
      <c r="I91" s="82"/>
      <c r="J91" s="82"/>
      <c r="K91" s="82"/>
      <c r="L91" s="82"/>
      <c r="M91" s="82"/>
      <c r="N91" s="138"/>
      <c r="O91" s="30"/>
    </row>
    <row r="92" spans="2:15" ht="15" customHeight="1">
      <c r="B92" s="123"/>
      <c r="C92" s="211"/>
      <c r="D92" s="211"/>
      <c r="E92" s="83"/>
      <c r="F92" s="160"/>
      <c r="G92" s="80"/>
      <c r="H92" s="80"/>
      <c r="I92" s="84"/>
      <c r="J92" s="84"/>
      <c r="K92" s="84"/>
      <c r="L92" s="84"/>
      <c r="M92" s="84"/>
      <c r="N92" s="139"/>
      <c r="O92" s="30"/>
    </row>
    <row r="93" spans="2:15" ht="15" customHeight="1">
      <c r="B93" s="123"/>
      <c r="C93" s="210"/>
      <c r="D93" s="210"/>
      <c r="E93" s="81"/>
      <c r="F93" s="159"/>
      <c r="G93" s="166"/>
      <c r="H93" s="166"/>
      <c r="I93" s="82"/>
      <c r="J93" s="82"/>
      <c r="K93" s="82"/>
      <c r="L93" s="82"/>
      <c r="M93" s="82"/>
      <c r="N93" s="138"/>
      <c r="O93" s="30"/>
    </row>
    <row r="94" spans="2:15" ht="15" customHeight="1">
      <c r="B94" s="123"/>
      <c r="C94" s="213"/>
      <c r="D94" s="213"/>
      <c r="E94" s="85"/>
      <c r="F94" s="161"/>
      <c r="G94" s="166"/>
      <c r="H94" s="166"/>
      <c r="I94" s="86"/>
      <c r="J94" s="86"/>
      <c r="K94" s="87"/>
      <c r="L94" s="87"/>
      <c r="M94" s="87"/>
      <c r="N94" s="139"/>
      <c r="O94" s="30"/>
    </row>
    <row r="95" spans="2:15" ht="15" customHeight="1">
      <c r="B95" s="123"/>
      <c r="C95" s="212"/>
      <c r="D95" s="212"/>
      <c r="E95" s="88"/>
      <c r="F95" s="162"/>
      <c r="G95" s="80"/>
      <c r="H95" s="80"/>
      <c r="I95" s="89"/>
      <c r="J95" s="89"/>
      <c r="K95" s="89"/>
      <c r="L95" s="89"/>
      <c r="M95" s="89"/>
      <c r="N95" s="139"/>
    </row>
    <row r="96" spans="2:15" ht="15" customHeight="1">
      <c r="B96" s="123"/>
      <c r="C96" s="214"/>
      <c r="D96" s="214"/>
      <c r="E96" s="77"/>
      <c r="F96" s="163"/>
      <c r="G96" s="78"/>
      <c r="H96" s="78"/>
      <c r="I96" s="78"/>
      <c r="J96" s="78"/>
      <c r="K96" s="78"/>
      <c r="L96" s="78"/>
      <c r="M96" s="78"/>
      <c r="N96" s="140"/>
    </row>
    <row r="97" spans="2:14" ht="15" customHeight="1" thickBot="1">
      <c r="B97" s="123"/>
      <c r="C97" s="47"/>
      <c r="D97" s="47"/>
      <c r="E97" s="5"/>
      <c r="F97" s="164"/>
      <c r="G97" s="167"/>
      <c r="H97" s="167"/>
      <c r="I97" s="5"/>
      <c r="J97" s="5"/>
      <c r="K97" s="9"/>
      <c r="L97" s="5"/>
      <c r="M97" s="5"/>
      <c r="N97" s="141"/>
    </row>
    <row r="98" spans="2:14" ht="9" hidden="1" customHeight="1" thickBot="1">
      <c r="B98" s="123"/>
      <c r="C98" s="48"/>
      <c r="D98" s="48"/>
      <c r="E98" s="5"/>
      <c r="F98" s="4"/>
      <c r="G98" s="4"/>
      <c r="H98" s="4"/>
      <c r="I98" s="5"/>
      <c r="J98" s="5"/>
      <c r="K98" s="8"/>
      <c r="L98" s="5"/>
      <c r="M98" s="5"/>
      <c r="N98" s="141"/>
    </row>
    <row r="99" spans="2:14" s="66" customFormat="1" ht="50.1" customHeight="1">
      <c r="B99" s="124"/>
      <c r="C99" s="352" t="s">
        <v>79</v>
      </c>
      <c r="D99" s="353"/>
      <c r="E99" s="338" t="s">
        <v>89</v>
      </c>
      <c r="F99" s="338"/>
      <c r="G99" s="338"/>
      <c r="H99" s="73" t="s">
        <v>80</v>
      </c>
      <c r="I99" s="76"/>
      <c r="J99" s="76"/>
      <c r="K99" s="76"/>
      <c r="L99" s="76"/>
      <c r="M99" s="76"/>
      <c r="N99" s="130"/>
    </row>
    <row r="100" spans="2:14" ht="13.5">
      <c r="B100" s="123"/>
      <c r="C100" s="354"/>
      <c r="D100" s="354"/>
      <c r="E100" s="339"/>
      <c r="F100" s="340"/>
      <c r="G100" s="340"/>
      <c r="H100" s="165"/>
      <c r="I100" s="15"/>
      <c r="J100" s="15"/>
      <c r="K100" s="15"/>
      <c r="L100" s="15"/>
      <c r="M100" s="15"/>
      <c r="N100" s="138"/>
    </row>
    <row r="101" spans="2:14" ht="13.5">
      <c r="B101" s="123"/>
      <c r="C101" s="355"/>
      <c r="D101" s="355"/>
      <c r="E101" s="347"/>
      <c r="F101" s="348"/>
      <c r="G101" s="348"/>
      <c r="H101" s="80"/>
      <c r="I101" s="80"/>
      <c r="J101" s="80"/>
      <c r="K101" s="80"/>
      <c r="L101" s="80"/>
      <c r="M101" s="80"/>
      <c r="N101" s="139"/>
    </row>
    <row r="102" spans="2:14" ht="13.5">
      <c r="B102" s="123"/>
      <c r="C102" s="349"/>
      <c r="D102" s="349"/>
      <c r="E102" s="341"/>
      <c r="F102" s="342"/>
      <c r="G102" s="342"/>
      <c r="H102" s="166"/>
      <c r="I102" s="82"/>
      <c r="J102" s="82"/>
      <c r="K102" s="82"/>
      <c r="L102" s="82"/>
      <c r="M102" s="82"/>
      <c r="N102" s="138"/>
    </row>
    <row r="103" spans="2:14" ht="13.5">
      <c r="B103" s="123"/>
      <c r="C103" s="350"/>
      <c r="D103" s="350"/>
      <c r="E103" s="343"/>
      <c r="F103" s="342"/>
      <c r="G103" s="342"/>
      <c r="H103" s="84"/>
      <c r="I103" s="84"/>
      <c r="J103" s="84"/>
      <c r="K103" s="84"/>
      <c r="L103" s="84"/>
      <c r="M103" s="84"/>
      <c r="N103" s="139"/>
    </row>
    <row r="104" spans="2:14" ht="13.5">
      <c r="B104" s="123"/>
      <c r="C104" s="349"/>
      <c r="D104" s="349"/>
      <c r="E104" s="341"/>
      <c r="F104" s="342"/>
      <c r="G104" s="342"/>
      <c r="H104" s="166"/>
      <c r="I104" s="82"/>
      <c r="J104" s="82"/>
      <c r="K104" s="82"/>
      <c r="L104" s="82"/>
      <c r="M104" s="82"/>
      <c r="N104" s="138"/>
    </row>
    <row r="105" spans="2:14" ht="13.5">
      <c r="B105" s="123"/>
      <c r="C105" s="350"/>
      <c r="D105" s="350"/>
      <c r="E105" s="343"/>
      <c r="F105" s="342"/>
      <c r="G105" s="342"/>
      <c r="H105" s="84"/>
      <c r="I105" s="84"/>
      <c r="J105" s="84"/>
      <c r="K105" s="84"/>
      <c r="L105" s="84"/>
      <c r="M105" s="84"/>
      <c r="N105" s="139"/>
    </row>
    <row r="106" spans="2:14" ht="13.5">
      <c r="B106" s="123"/>
      <c r="C106" s="349"/>
      <c r="D106" s="349"/>
      <c r="E106" s="341"/>
      <c r="F106" s="342"/>
      <c r="G106" s="342"/>
      <c r="H106" s="166"/>
      <c r="I106" s="82"/>
      <c r="J106" s="82"/>
      <c r="K106" s="82"/>
      <c r="L106" s="82"/>
      <c r="M106" s="82"/>
      <c r="N106" s="138"/>
    </row>
    <row r="107" spans="2:14" ht="13.5">
      <c r="B107" s="123"/>
      <c r="C107" s="350"/>
      <c r="D107" s="350"/>
      <c r="E107" s="343"/>
      <c r="F107" s="342"/>
      <c r="G107" s="342"/>
      <c r="H107" s="84"/>
      <c r="I107" s="84"/>
      <c r="J107" s="84"/>
      <c r="K107" s="84"/>
      <c r="L107" s="84"/>
      <c r="M107" s="84"/>
      <c r="N107" s="139"/>
    </row>
    <row r="108" spans="2:14" ht="13.5">
      <c r="B108" s="123"/>
      <c r="C108" s="351"/>
      <c r="D108" s="351"/>
      <c r="E108" s="344"/>
      <c r="F108" s="345"/>
      <c r="G108" s="345"/>
      <c r="H108" s="166"/>
      <c r="I108" s="82"/>
      <c r="J108" s="82"/>
      <c r="K108" s="82"/>
      <c r="L108" s="82"/>
      <c r="M108" s="82"/>
      <c r="N108" s="138"/>
    </row>
    <row r="109" spans="2:14" ht="13.5">
      <c r="B109" s="123"/>
      <c r="C109" s="355"/>
      <c r="D109" s="355"/>
      <c r="E109" s="347"/>
      <c r="F109" s="348"/>
      <c r="G109" s="348"/>
      <c r="H109" s="80"/>
      <c r="I109" s="80"/>
      <c r="J109" s="80"/>
      <c r="K109" s="80"/>
      <c r="L109" s="80"/>
      <c r="M109" s="80"/>
      <c r="N109" s="139"/>
    </row>
    <row r="110" spans="2:14" ht="13.5" hidden="1">
      <c r="B110" s="123"/>
      <c r="C110" s="349"/>
      <c r="D110" s="349"/>
      <c r="E110" s="341"/>
      <c r="F110" s="342"/>
      <c r="G110" s="342"/>
      <c r="H110" s="166"/>
      <c r="I110" s="82"/>
      <c r="J110" s="82"/>
      <c r="K110" s="82"/>
      <c r="L110" s="82"/>
      <c r="M110" s="82"/>
      <c r="N110" s="138"/>
    </row>
    <row r="111" spans="2:14" ht="13.5" hidden="1">
      <c r="B111" s="123"/>
      <c r="C111" s="350"/>
      <c r="D111" s="350"/>
      <c r="E111" s="343"/>
      <c r="F111" s="342"/>
      <c r="G111" s="342"/>
      <c r="H111" s="84"/>
      <c r="I111" s="84"/>
      <c r="J111" s="84"/>
      <c r="K111" s="84"/>
      <c r="L111" s="84"/>
      <c r="M111" s="84"/>
      <c r="N111" s="139"/>
    </row>
    <row r="112" spans="2:14" ht="13.5" hidden="1">
      <c r="B112" s="123"/>
      <c r="C112" s="349"/>
      <c r="D112" s="349"/>
      <c r="E112" s="341"/>
      <c r="F112" s="342"/>
      <c r="G112" s="342"/>
      <c r="H112" s="166"/>
      <c r="I112" s="82"/>
      <c r="J112" s="82"/>
      <c r="K112" s="82"/>
      <c r="L112" s="82"/>
      <c r="M112" s="82"/>
      <c r="N112" s="138"/>
    </row>
    <row r="113" spans="2:14" ht="13.5" hidden="1">
      <c r="B113" s="123"/>
      <c r="C113" s="350"/>
      <c r="D113" s="350"/>
      <c r="E113" s="343"/>
      <c r="F113" s="342"/>
      <c r="G113" s="342"/>
      <c r="H113" s="84"/>
      <c r="I113" s="84"/>
      <c r="J113" s="84"/>
      <c r="K113" s="84"/>
      <c r="L113" s="84"/>
      <c r="M113" s="84"/>
      <c r="N113" s="139"/>
    </row>
    <row r="114" spans="2:14" ht="13.5" hidden="1">
      <c r="B114" s="123"/>
      <c r="C114" s="349"/>
      <c r="D114" s="349"/>
      <c r="E114" s="341"/>
      <c r="F114" s="342"/>
      <c r="G114" s="342"/>
      <c r="H114" s="166"/>
      <c r="I114" s="82"/>
      <c r="J114" s="82"/>
      <c r="K114" s="82"/>
      <c r="L114" s="82"/>
      <c r="M114" s="82"/>
      <c r="N114" s="138"/>
    </row>
    <row r="115" spans="2:14" ht="13.5" hidden="1">
      <c r="B115" s="123"/>
      <c r="C115" s="350"/>
      <c r="D115" s="350"/>
      <c r="E115" s="343"/>
      <c r="F115" s="342"/>
      <c r="G115" s="342"/>
      <c r="H115" s="84"/>
      <c r="I115" s="84"/>
      <c r="J115" s="84"/>
      <c r="K115" s="84"/>
      <c r="L115" s="84"/>
      <c r="M115" s="84"/>
      <c r="N115" s="139"/>
    </row>
    <row r="116" spans="2:14" ht="13.5" hidden="1">
      <c r="B116" s="123"/>
      <c r="C116" s="351"/>
      <c r="D116" s="351"/>
      <c r="E116" s="344"/>
      <c r="F116" s="345"/>
      <c r="G116" s="345"/>
      <c r="H116" s="166"/>
      <c r="I116" s="82"/>
      <c r="J116" s="82"/>
      <c r="K116" s="82"/>
      <c r="L116" s="82"/>
      <c r="M116" s="82"/>
      <c r="N116" s="138"/>
    </row>
    <row r="117" spans="2:14" ht="13.5" hidden="1">
      <c r="B117" s="123"/>
      <c r="C117" s="355"/>
      <c r="D117" s="355"/>
      <c r="E117" s="347"/>
      <c r="F117" s="348"/>
      <c r="G117" s="348"/>
      <c r="H117" s="80"/>
      <c r="I117" s="80"/>
      <c r="J117" s="80"/>
      <c r="K117" s="80"/>
      <c r="L117" s="80"/>
      <c r="M117" s="80"/>
      <c r="N117" s="139"/>
    </row>
    <row r="118" spans="2:14" ht="13.5" hidden="1">
      <c r="B118" s="123"/>
      <c r="C118" s="349"/>
      <c r="D118" s="349"/>
      <c r="E118" s="341"/>
      <c r="F118" s="342"/>
      <c r="G118" s="342"/>
      <c r="H118" s="166"/>
      <c r="I118" s="82"/>
      <c r="J118" s="82"/>
      <c r="K118" s="82"/>
      <c r="L118" s="82"/>
      <c r="M118" s="82"/>
      <c r="N118" s="138"/>
    </row>
    <row r="119" spans="2:14" ht="13.5" hidden="1">
      <c r="B119" s="123"/>
      <c r="C119" s="350"/>
      <c r="D119" s="350"/>
      <c r="E119" s="343"/>
      <c r="F119" s="342"/>
      <c r="G119" s="342"/>
      <c r="H119" s="84"/>
      <c r="I119" s="84"/>
      <c r="J119" s="84"/>
      <c r="K119" s="84"/>
      <c r="L119" s="84"/>
      <c r="M119" s="84"/>
      <c r="N119" s="139"/>
    </row>
    <row r="120" spans="2:14" ht="13.5" hidden="1">
      <c r="B120" s="123"/>
      <c r="C120" s="349"/>
      <c r="D120" s="349"/>
      <c r="E120" s="341"/>
      <c r="F120" s="342"/>
      <c r="G120" s="342"/>
      <c r="H120" s="166"/>
      <c r="I120" s="82"/>
      <c r="J120" s="82"/>
      <c r="K120" s="82"/>
      <c r="L120" s="82"/>
      <c r="M120" s="82"/>
      <c r="N120" s="138"/>
    </row>
    <row r="121" spans="2:14" ht="13.5" hidden="1">
      <c r="B121" s="123"/>
      <c r="C121" s="350"/>
      <c r="D121" s="350"/>
      <c r="E121" s="343"/>
      <c r="F121" s="342"/>
      <c r="G121" s="342"/>
      <c r="H121" s="84"/>
      <c r="I121" s="84"/>
      <c r="J121" s="84"/>
      <c r="K121" s="84"/>
      <c r="L121" s="84"/>
      <c r="M121" s="84"/>
      <c r="N121" s="139"/>
    </row>
    <row r="122" spans="2:14" ht="13.5" hidden="1">
      <c r="B122" s="123"/>
      <c r="C122" s="349"/>
      <c r="D122" s="349"/>
      <c r="E122" s="341"/>
      <c r="F122" s="342"/>
      <c r="G122" s="342"/>
      <c r="H122" s="166"/>
      <c r="I122" s="82"/>
      <c r="J122" s="82"/>
      <c r="K122" s="82"/>
      <c r="L122" s="82"/>
      <c r="M122" s="82"/>
      <c r="N122" s="138"/>
    </row>
    <row r="123" spans="2:14" ht="13.5" hidden="1">
      <c r="B123" s="123"/>
      <c r="C123" s="350"/>
      <c r="D123" s="350"/>
      <c r="E123" s="343"/>
      <c r="F123" s="342"/>
      <c r="G123" s="342"/>
      <c r="H123" s="84"/>
      <c r="I123" s="84"/>
      <c r="J123" s="84"/>
      <c r="K123" s="84"/>
      <c r="L123" s="84"/>
      <c r="M123" s="84"/>
      <c r="N123" s="139"/>
    </row>
    <row r="124" spans="2:14" ht="13.5" hidden="1">
      <c r="B124" s="123"/>
      <c r="C124" s="351"/>
      <c r="D124" s="351"/>
      <c r="E124" s="344"/>
      <c r="F124" s="345"/>
      <c r="G124" s="345"/>
      <c r="H124" s="166"/>
      <c r="I124" s="82"/>
      <c r="J124" s="82"/>
      <c r="K124" s="82"/>
      <c r="L124" s="82"/>
      <c r="M124" s="82"/>
      <c r="N124" s="138"/>
    </row>
    <row r="125" spans="2:14" ht="13.5" hidden="1">
      <c r="B125" s="123"/>
      <c r="C125" s="355"/>
      <c r="D125" s="355"/>
      <c r="E125" s="347"/>
      <c r="F125" s="348"/>
      <c r="G125" s="348"/>
      <c r="H125" s="80"/>
      <c r="I125" s="80"/>
      <c r="J125" s="80"/>
      <c r="K125" s="80"/>
      <c r="L125" s="80"/>
      <c r="M125" s="80"/>
      <c r="N125" s="139"/>
    </row>
    <row r="126" spans="2:14" ht="13.5" hidden="1">
      <c r="B126" s="123"/>
      <c r="C126" s="349"/>
      <c r="D126" s="349"/>
      <c r="E126" s="341"/>
      <c r="F126" s="342"/>
      <c r="G126" s="342"/>
      <c r="H126" s="166"/>
      <c r="I126" s="82"/>
      <c r="J126" s="82"/>
      <c r="K126" s="82"/>
      <c r="L126" s="82"/>
      <c r="M126" s="82"/>
      <c r="N126" s="138"/>
    </row>
    <row r="127" spans="2:14" ht="13.5" hidden="1">
      <c r="B127" s="123"/>
      <c r="C127" s="350"/>
      <c r="D127" s="350"/>
      <c r="E127" s="343"/>
      <c r="F127" s="342"/>
      <c r="G127" s="342"/>
      <c r="H127" s="84"/>
      <c r="I127" s="84"/>
      <c r="J127" s="84"/>
      <c r="K127" s="84"/>
      <c r="L127" s="84"/>
      <c r="M127" s="84"/>
      <c r="N127" s="139"/>
    </row>
    <row r="128" spans="2:14" ht="13.5" hidden="1">
      <c r="B128" s="123"/>
      <c r="C128" s="349"/>
      <c r="D128" s="349"/>
      <c r="E128" s="341"/>
      <c r="F128" s="342"/>
      <c r="G128" s="342"/>
      <c r="H128" s="166"/>
      <c r="I128" s="82"/>
      <c r="J128" s="82"/>
      <c r="K128" s="82"/>
      <c r="L128" s="82"/>
      <c r="M128" s="82"/>
      <c r="N128" s="138"/>
    </row>
    <row r="129" spans="2:14" ht="13.5" hidden="1">
      <c r="B129" s="123"/>
      <c r="C129" s="350"/>
      <c r="D129" s="350"/>
      <c r="E129" s="343"/>
      <c r="F129" s="342"/>
      <c r="G129" s="342"/>
      <c r="H129" s="84"/>
      <c r="I129" s="84"/>
      <c r="J129" s="84"/>
      <c r="K129" s="84"/>
      <c r="L129" s="84"/>
      <c r="M129" s="84"/>
      <c r="N129" s="139"/>
    </row>
    <row r="130" spans="2:14" ht="13.5" hidden="1">
      <c r="B130" s="123"/>
      <c r="C130" s="349"/>
      <c r="D130" s="349"/>
      <c r="E130" s="341"/>
      <c r="F130" s="342"/>
      <c r="G130" s="342"/>
      <c r="H130" s="166"/>
      <c r="I130" s="82"/>
      <c r="J130" s="82"/>
      <c r="K130" s="82"/>
      <c r="L130" s="82"/>
      <c r="M130" s="82"/>
      <c r="N130" s="138"/>
    </row>
    <row r="131" spans="2:14" ht="13.5" hidden="1">
      <c r="B131" s="123"/>
      <c r="C131" s="350"/>
      <c r="D131" s="350"/>
      <c r="E131" s="343"/>
      <c r="F131" s="342"/>
      <c r="G131" s="342"/>
      <c r="H131" s="84"/>
      <c r="I131" s="84"/>
      <c r="J131" s="84"/>
      <c r="K131" s="84"/>
      <c r="L131" s="84"/>
      <c r="M131" s="84"/>
      <c r="N131" s="139"/>
    </row>
    <row r="132" spans="2:14" ht="13.5" hidden="1">
      <c r="B132" s="123"/>
      <c r="C132" s="349"/>
      <c r="D132" s="349"/>
      <c r="E132" s="341"/>
      <c r="F132" s="342"/>
      <c r="G132" s="342"/>
      <c r="H132" s="166"/>
      <c r="I132" s="82"/>
      <c r="J132" s="82"/>
      <c r="K132" s="82"/>
      <c r="L132" s="82"/>
      <c r="M132" s="82"/>
      <c r="N132" s="138"/>
    </row>
    <row r="133" spans="2:14" ht="13.5" hidden="1">
      <c r="B133" s="123"/>
      <c r="C133" s="350"/>
      <c r="D133" s="350"/>
      <c r="E133" s="343"/>
      <c r="F133" s="342"/>
      <c r="G133" s="342"/>
      <c r="H133" s="84"/>
      <c r="I133" s="84"/>
      <c r="J133" s="84"/>
      <c r="K133" s="84"/>
      <c r="L133" s="84"/>
      <c r="M133" s="84"/>
      <c r="N133" s="139"/>
    </row>
    <row r="134" spans="2:14" ht="13.5" hidden="1">
      <c r="B134" s="123"/>
      <c r="C134" s="351"/>
      <c r="D134" s="351"/>
      <c r="E134" s="344"/>
      <c r="F134" s="345"/>
      <c r="G134" s="345"/>
      <c r="H134" s="166"/>
      <c r="I134" s="82"/>
      <c r="J134" s="82"/>
      <c r="K134" s="82"/>
      <c r="L134" s="82"/>
      <c r="M134" s="82"/>
      <c r="N134" s="138"/>
    </row>
    <row r="135" spans="2:14" ht="13.5" hidden="1">
      <c r="B135" s="123"/>
      <c r="C135" s="355"/>
      <c r="D135" s="355"/>
      <c r="E135" s="347"/>
      <c r="F135" s="348"/>
      <c r="G135" s="348"/>
      <c r="H135" s="80"/>
      <c r="I135" s="80"/>
      <c r="J135" s="80"/>
      <c r="K135" s="80"/>
      <c r="L135" s="80"/>
      <c r="M135" s="80"/>
      <c r="N135" s="139"/>
    </row>
    <row r="136" spans="2:14" ht="13.5" hidden="1">
      <c r="B136" s="123"/>
      <c r="C136" s="349"/>
      <c r="D136" s="349"/>
      <c r="E136" s="341"/>
      <c r="F136" s="342"/>
      <c r="G136" s="342"/>
      <c r="H136" s="166"/>
      <c r="I136" s="82"/>
      <c r="J136" s="82"/>
      <c r="K136" s="82"/>
      <c r="L136" s="82"/>
      <c r="M136" s="82"/>
      <c r="N136" s="138"/>
    </row>
    <row r="137" spans="2:14" ht="13.5" hidden="1">
      <c r="B137" s="123"/>
      <c r="C137" s="350"/>
      <c r="D137" s="350"/>
      <c r="E137" s="343"/>
      <c r="F137" s="342"/>
      <c r="G137" s="342"/>
      <c r="H137" s="84"/>
      <c r="I137" s="84"/>
      <c r="J137" s="84"/>
      <c r="K137" s="84"/>
      <c r="L137" s="84"/>
      <c r="M137" s="84"/>
      <c r="N137" s="139"/>
    </row>
    <row r="138" spans="2:14" ht="13.5" hidden="1">
      <c r="B138" s="123"/>
      <c r="C138" s="349"/>
      <c r="D138" s="349"/>
      <c r="E138" s="341"/>
      <c r="F138" s="342"/>
      <c r="G138" s="342"/>
      <c r="H138" s="166"/>
      <c r="I138" s="82"/>
      <c r="J138" s="82"/>
      <c r="K138" s="82"/>
      <c r="L138" s="82"/>
      <c r="M138" s="82"/>
      <c r="N138" s="138"/>
    </row>
    <row r="139" spans="2:14" ht="13.5" hidden="1">
      <c r="B139" s="123"/>
      <c r="C139" s="350"/>
      <c r="D139" s="350"/>
      <c r="E139" s="343"/>
      <c r="F139" s="342"/>
      <c r="G139" s="342"/>
      <c r="H139" s="84"/>
      <c r="I139" s="84"/>
      <c r="J139" s="84"/>
      <c r="K139" s="84"/>
      <c r="L139" s="84"/>
      <c r="M139" s="84"/>
      <c r="N139" s="139"/>
    </row>
    <row r="140" spans="2:14" ht="13.5" hidden="1">
      <c r="B140" s="123"/>
      <c r="C140" s="349"/>
      <c r="D140" s="349"/>
      <c r="E140" s="341"/>
      <c r="F140" s="342"/>
      <c r="G140" s="342"/>
      <c r="H140" s="166"/>
      <c r="I140" s="82"/>
      <c r="J140" s="82"/>
      <c r="K140" s="82"/>
      <c r="L140" s="82"/>
      <c r="M140" s="82"/>
      <c r="N140" s="138"/>
    </row>
    <row r="141" spans="2:14" ht="13.5" hidden="1">
      <c r="B141" s="123"/>
      <c r="C141" s="350"/>
      <c r="D141" s="350"/>
      <c r="E141" s="343"/>
      <c r="F141" s="342"/>
      <c r="G141" s="342"/>
      <c r="H141" s="84"/>
      <c r="I141" s="84"/>
      <c r="J141" s="84"/>
      <c r="K141" s="84"/>
      <c r="L141" s="84"/>
      <c r="M141" s="84"/>
      <c r="N141" s="139"/>
    </row>
    <row r="142" spans="2:14" ht="13.5" hidden="1">
      <c r="B142" s="123"/>
      <c r="C142" s="349"/>
      <c r="D142" s="349"/>
      <c r="E142" s="344"/>
      <c r="F142" s="345"/>
      <c r="G142" s="345"/>
      <c r="H142" s="166"/>
      <c r="I142" s="82"/>
      <c r="J142" s="82"/>
      <c r="K142" s="82"/>
      <c r="L142" s="82"/>
      <c r="M142" s="82"/>
      <c r="N142" s="138"/>
    </row>
    <row r="143" spans="2:14" ht="13.5" hidden="1">
      <c r="B143" s="123"/>
      <c r="C143" s="350"/>
      <c r="D143" s="350"/>
      <c r="E143" s="347"/>
      <c r="F143" s="348"/>
      <c r="G143" s="348"/>
      <c r="H143" s="80"/>
      <c r="I143" s="80"/>
      <c r="J143" s="80"/>
      <c r="K143" s="80"/>
      <c r="L143" s="80"/>
      <c r="M143" s="80"/>
      <c r="N143" s="139"/>
    </row>
    <row r="144" spans="2:14" ht="13.5" hidden="1">
      <c r="B144" s="123"/>
      <c r="C144" s="349"/>
      <c r="D144" s="349"/>
      <c r="E144" s="341"/>
      <c r="F144" s="342"/>
      <c r="G144" s="342"/>
      <c r="H144" s="166"/>
      <c r="I144" s="82"/>
      <c r="J144" s="82"/>
      <c r="K144" s="82"/>
      <c r="L144" s="82"/>
      <c r="M144" s="82"/>
      <c r="N144" s="138"/>
    </row>
    <row r="145" spans="2:14" ht="13.5" hidden="1">
      <c r="B145" s="123"/>
      <c r="C145" s="350"/>
      <c r="D145" s="350"/>
      <c r="E145" s="343"/>
      <c r="F145" s="342"/>
      <c r="G145" s="342"/>
      <c r="H145" s="84"/>
      <c r="I145" s="84"/>
      <c r="J145" s="84"/>
      <c r="K145" s="84"/>
      <c r="L145" s="84"/>
      <c r="M145" s="84"/>
      <c r="N145" s="139"/>
    </row>
    <row r="146" spans="2:14" ht="13.5" hidden="1">
      <c r="B146" s="123"/>
      <c r="C146" s="349"/>
      <c r="D146" s="349"/>
      <c r="E146" s="341"/>
      <c r="F146" s="342"/>
      <c r="G146" s="342"/>
      <c r="H146" s="166"/>
      <c r="I146" s="82"/>
      <c r="J146" s="82"/>
      <c r="K146" s="82"/>
      <c r="L146" s="82"/>
      <c r="M146" s="82"/>
      <c r="N146" s="138"/>
    </row>
    <row r="147" spans="2:14" ht="13.5" hidden="1">
      <c r="B147" s="123"/>
      <c r="C147" s="350"/>
      <c r="D147" s="350"/>
      <c r="E147" s="343"/>
      <c r="F147" s="342"/>
      <c r="G147" s="342"/>
      <c r="H147" s="84"/>
      <c r="I147" s="84"/>
      <c r="J147" s="84"/>
      <c r="K147" s="84"/>
      <c r="L147" s="84"/>
      <c r="M147" s="84"/>
      <c r="N147" s="139"/>
    </row>
    <row r="148" spans="2:14" ht="13.5" hidden="1">
      <c r="B148" s="123"/>
      <c r="C148" s="349"/>
      <c r="D148" s="349"/>
      <c r="E148" s="341"/>
      <c r="F148" s="342"/>
      <c r="G148" s="342"/>
      <c r="H148" s="166"/>
      <c r="I148" s="82"/>
      <c r="J148" s="82"/>
      <c r="K148" s="82"/>
      <c r="L148" s="82"/>
      <c r="M148" s="82"/>
      <c r="N148" s="138"/>
    </row>
    <row r="149" spans="2:14" ht="13.5" hidden="1">
      <c r="B149" s="123"/>
      <c r="C149" s="360"/>
      <c r="D149" s="360"/>
      <c r="E149" s="356"/>
      <c r="F149" s="345"/>
      <c r="G149" s="345"/>
      <c r="H149" s="90"/>
      <c r="I149" s="90"/>
      <c r="J149" s="90"/>
      <c r="K149" s="90"/>
      <c r="L149" s="90"/>
      <c r="M149" s="90"/>
      <c r="N149" s="139"/>
    </row>
    <row r="150" spans="2:14" ht="15" customHeight="1">
      <c r="B150" s="126"/>
      <c r="C150" s="359"/>
      <c r="D150" s="359"/>
      <c r="E150" s="357"/>
      <c r="F150" s="358"/>
      <c r="G150" s="358"/>
      <c r="H150" s="168"/>
      <c r="I150" s="128"/>
      <c r="J150" s="128"/>
      <c r="K150" s="127"/>
      <c r="L150" s="127"/>
      <c r="M150" s="127"/>
      <c r="N150" s="142"/>
    </row>
    <row r="151" spans="2:14" ht="13.5">
      <c r="C151" s="334" t="s">
        <v>931</v>
      </c>
      <c r="D151" s="334"/>
      <c r="E151" s="334"/>
      <c r="F151" s="334"/>
      <c r="G151" s="334"/>
      <c r="H151" s="334"/>
      <c r="I151" s="334"/>
      <c r="J151" s="334"/>
      <c r="K151" s="334"/>
      <c r="L151" s="334"/>
      <c r="M151" s="334"/>
      <c r="N151" s="65"/>
    </row>
    <row r="152" spans="2:14">
      <c r="C152" s="7"/>
      <c r="D152" s="7"/>
    </row>
    <row r="167" spans="3:8">
      <c r="E167" s="7"/>
    </row>
    <row r="176" spans="3:8">
      <c r="C176" s="5"/>
      <c r="D176" s="5"/>
      <c r="E176" s="5"/>
      <c r="F176" s="5"/>
      <c r="G176" s="5"/>
      <c r="H176" s="5"/>
    </row>
    <row r="177" spans="3:8">
      <c r="C177" s="5"/>
      <c r="D177" s="5"/>
      <c r="E177" s="5"/>
      <c r="F177" s="5"/>
      <c r="G177" s="5"/>
      <c r="H177" s="5"/>
    </row>
    <row r="178" spans="3:8">
      <c r="C178" s="5"/>
      <c r="D178" s="5"/>
      <c r="E178" s="5"/>
      <c r="F178" s="5"/>
      <c r="G178" s="5"/>
      <c r="H178" s="5"/>
    </row>
    <row r="179" spans="3:8">
      <c r="C179" s="5"/>
      <c r="D179" s="5"/>
      <c r="E179" s="5"/>
      <c r="F179" s="5"/>
      <c r="G179" s="5"/>
      <c r="H179" s="5"/>
    </row>
    <row r="180" spans="3:8">
      <c r="C180" s="5"/>
      <c r="D180" s="5"/>
      <c r="E180" s="5"/>
      <c r="F180" s="5"/>
      <c r="G180" s="5"/>
      <c r="H180" s="5"/>
    </row>
    <row r="181" spans="3:8">
      <c r="C181" s="5"/>
      <c r="D181" s="5"/>
      <c r="E181" s="5"/>
      <c r="F181" s="5"/>
      <c r="G181" s="5"/>
      <c r="H181" s="5"/>
    </row>
    <row r="182" spans="3:8">
      <c r="C182" s="5"/>
      <c r="D182" s="5"/>
      <c r="E182" s="5"/>
      <c r="F182" s="5"/>
      <c r="G182" s="5"/>
      <c r="H182" s="5"/>
    </row>
    <row r="183" spans="3:8">
      <c r="C183" s="5"/>
      <c r="D183" s="5"/>
      <c r="E183" s="5"/>
      <c r="F183" s="5"/>
      <c r="G183" s="5"/>
      <c r="H183" s="5"/>
    </row>
    <row r="184" spans="3:8">
      <c r="C184" s="5"/>
      <c r="D184" s="5"/>
      <c r="E184" s="5"/>
      <c r="F184" s="5"/>
      <c r="G184" s="5"/>
      <c r="H184" s="5"/>
    </row>
    <row r="185" spans="3:8">
      <c r="C185" s="5"/>
      <c r="D185" s="5"/>
      <c r="E185" s="5"/>
      <c r="F185" s="5"/>
      <c r="G185" s="5"/>
      <c r="H185" s="5"/>
    </row>
    <row r="186" spans="3:8">
      <c r="C186" s="5"/>
      <c r="D186" s="5"/>
      <c r="E186" s="5"/>
      <c r="F186" s="5"/>
      <c r="G186" s="5"/>
      <c r="H186" s="5"/>
    </row>
    <row r="187" spans="3:8">
      <c r="C187" s="5"/>
      <c r="D187" s="5"/>
      <c r="E187" s="5"/>
      <c r="F187" s="5"/>
      <c r="G187" s="5"/>
      <c r="H187" s="5"/>
    </row>
    <row r="188" spans="3:8">
      <c r="C188" s="5"/>
      <c r="D188" s="5"/>
      <c r="E188" s="5"/>
      <c r="F188" s="5"/>
      <c r="G188" s="5"/>
      <c r="H188" s="5"/>
    </row>
    <row r="189" spans="3:8">
      <c r="C189" s="5"/>
      <c r="D189" s="5"/>
      <c r="E189" s="5"/>
      <c r="F189" s="5"/>
      <c r="G189" s="5"/>
      <c r="H189" s="5"/>
    </row>
    <row r="190" spans="3:8">
      <c r="C190" s="5"/>
      <c r="D190" s="5"/>
      <c r="E190" s="5"/>
      <c r="F190" s="5"/>
      <c r="G190" s="5"/>
      <c r="H190" s="5"/>
    </row>
    <row r="191" spans="3:8">
      <c r="C191" s="5"/>
      <c r="D191" s="5"/>
      <c r="E191" s="5"/>
      <c r="F191" s="5"/>
      <c r="G191" s="5"/>
      <c r="H191" s="5"/>
    </row>
    <row r="192" spans="3:8">
      <c r="C192" s="5"/>
      <c r="D192" s="5"/>
      <c r="E192" s="5"/>
      <c r="F192" s="5"/>
      <c r="G192" s="5"/>
      <c r="H192" s="5"/>
    </row>
    <row r="193" spans="3:8">
      <c r="C193" s="5"/>
      <c r="D193" s="5"/>
      <c r="E193" s="5"/>
      <c r="F193" s="5"/>
      <c r="G193" s="5"/>
      <c r="H193" s="5"/>
    </row>
    <row r="194" spans="3:8">
      <c r="C194" s="5"/>
      <c r="D194" s="5"/>
      <c r="E194" s="5"/>
      <c r="F194" s="5"/>
      <c r="G194" s="5"/>
      <c r="H194" s="5"/>
    </row>
    <row r="195" spans="3:8">
      <c r="C195" s="5"/>
      <c r="D195" s="5"/>
      <c r="E195" s="5"/>
      <c r="F195" s="5"/>
      <c r="G195" s="5"/>
      <c r="H195" s="5"/>
    </row>
    <row r="196" spans="3:8">
      <c r="C196" s="5"/>
      <c r="D196" s="5"/>
      <c r="E196" s="5"/>
      <c r="F196" s="5"/>
      <c r="G196" s="5"/>
      <c r="H196" s="5"/>
    </row>
    <row r="197" spans="3:8">
      <c r="C197" s="5"/>
      <c r="D197" s="5"/>
      <c r="E197" s="5"/>
      <c r="F197" s="5"/>
      <c r="G197" s="5"/>
      <c r="H197" s="5"/>
    </row>
    <row r="198" spans="3:8">
      <c r="C198" s="5"/>
      <c r="D198" s="5"/>
      <c r="E198" s="5"/>
      <c r="F198" s="5"/>
      <c r="G198" s="5"/>
      <c r="H198" s="5"/>
    </row>
  </sheetData>
  <sheetProtection password="AE27" sheet="1" objects="1" scenarios="1"/>
  <mergeCells count="110">
    <mergeCell ref="C143:D143"/>
    <mergeCell ref="C142:D142"/>
    <mergeCell ref="C139:D139"/>
    <mergeCell ref="C140:D140"/>
    <mergeCell ref="C141:D141"/>
    <mergeCell ref="C150:D150"/>
    <mergeCell ref="C149:D149"/>
    <mergeCell ref="C148:D148"/>
    <mergeCell ref="C147:D147"/>
    <mergeCell ref="C146:D146"/>
    <mergeCell ref="C145:D145"/>
    <mergeCell ref="C144:D144"/>
    <mergeCell ref="C134:D134"/>
    <mergeCell ref="C135:D135"/>
    <mergeCell ref="C136:D136"/>
    <mergeCell ref="C137:D137"/>
    <mergeCell ref="C138:D138"/>
    <mergeCell ref="C129:D129"/>
    <mergeCell ref="C130:D130"/>
    <mergeCell ref="C131:D131"/>
    <mergeCell ref="C132:D132"/>
    <mergeCell ref="C133:D133"/>
    <mergeCell ref="C124:D124"/>
    <mergeCell ref="C125:D125"/>
    <mergeCell ref="C126:D126"/>
    <mergeCell ref="C127:D127"/>
    <mergeCell ref="C128:D128"/>
    <mergeCell ref="C119:D119"/>
    <mergeCell ref="C120:D120"/>
    <mergeCell ref="C121:D121"/>
    <mergeCell ref="C122:D122"/>
    <mergeCell ref="C123:D123"/>
    <mergeCell ref="E146:G146"/>
    <mergeCell ref="E147:G147"/>
    <mergeCell ref="E148:G148"/>
    <mergeCell ref="E149:G149"/>
    <mergeCell ref="E150:G150"/>
    <mergeCell ref="E141:G141"/>
    <mergeCell ref="E142:G142"/>
    <mergeCell ref="E143:G143"/>
    <mergeCell ref="E144:G144"/>
    <mergeCell ref="E145:G145"/>
    <mergeCell ref="E136:G136"/>
    <mergeCell ref="E137:G137"/>
    <mergeCell ref="E138:G138"/>
    <mergeCell ref="E139:G139"/>
    <mergeCell ref="E140:G140"/>
    <mergeCell ref="E131:G131"/>
    <mergeCell ref="E132:G132"/>
    <mergeCell ref="E133:G133"/>
    <mergeCell ref="E134:G134"/>
    <mergeCell ref="E135:G135"/>
    <mergeCell ref="E126:G126"/>
    <mergeCell ref="E127:G127"/>
    <mergeCell ref="E128:G128"/>
    <mergeCell ref="E129:G129"/>
    <mergeCell ref="E130:G130"/>
    <mergeCell ref="E121:G121"/>
    <mergeCell ref="E122:G122"/>
    <mergeCell ref="E123:G123"/>
    <mergeCell ref="E124:G124"/>
    <mergeCell ref="E125:G125"/>
    <mergeCell ref="C100:D100"/>
    <mergeCell ref="C101:D101"/>
    <mergeCell ref="C102:D102"/>
    <mergeCell ref="C103:D103"/>
    <mergeCell ref="E116:G116"/>
    <mergeCell ref="E117:G117"/>
    <mergeCell ref="E118:G118"/>
    <mergeCell ref="E119:G119"/>
    <mergeCell ref="E120:G120"/>
    <mergeCell ref="E111:G111"/>
    <mergeCell ref="E112:G112"/>
    <mergeCell ref="E113:G113"/>
    <mergeCell ref="E114:G114"/>
    <mergeCell ref="E115:G115"/>
    <mergeCell ref="C114:D114"/>
    <mergeCell ref="C115:D115"/>
    <mergeCell ref="C116:D116"/>
    <mergeCell ref="C117:D117"/>
    <mergeCell ref="C118:D118"/>
    <mergeCell ref="C109:D109"/>
    <mergeCell ref="C110:D110"/>
    <mergeCell ref="C111:D111"/>
    <mergeCell ref="C112:D112"/>
    <mergeCell ref="C113:D113"/>
    <mergeCell ref="C151:M151"/>
    <mergeCell ref="C2:D2"/>
    <mergeCell ref="G6:H6"/>
    <mergeCell ref="G3:H4"/>
    <mergeCell ref="E99:G99"/>
    <mergeCell ref="G5:H5"/>
    <mergeCell ref="E100:G100"/>
    <mergeCell ref="E106:G106"/>
    <mergeCell ref="E107:G107"/>
    <mergeCell ref="E108:G108"/>
    <mergeCell ref="C47:G47"/>
    <mergeCell ref="E109:G109"/>
    <mergeCell ref="E110:G110"/>
    <mergeCell ref="E101:G101"/>
    <mergeCell ref="E102:G102"/>
    <mergeCell ref="E103:G103"/>
    <mergeCell ref="E104:G104"/>
    <mergeCell ref="E105:G105"/>
    <mergeCell ref="C104:D104"/>
    <mergeCell ref="C105:D105"/>
    <mergeCell ref="C106:D106"/>
    <mergeCell ref="C107:D107"/>
    <mergeCell ref="C108:D108"/>
    <mergeCell ref="C99:D99"/>
  </mergeCells>
  <phoneticPr fontId="4" type="noConversion"/>
  <conditionalFormatting sqref="G52:H53 K52:K53 E58:J75">
    <cfRule type="cellIs" dxfId="4767" priority="1" operator="between">
      <formula>-0.05</formula>
      <formula>0.05</formula>
    </cfRule>
    <cfRule type="containsText" dxfId="4766" priority="2" operator="containsText" text="NA">
      <formula>NOT(ISERROR(SEARCH("NA",E52)))</formula>
    </cfRule>
    <cfRule type="cellIs" dxfId="4765" priority="14" operator="lessThan">
      <formula>-0.05</formula>
    </cfRule>
    <cfRule type="cellIs" dxfId="4764" priority="15" operator="greaterThan">
      <formula>0.05</formula>
    </cfRule>
  </conditionalFormatting>
  <printOptions horizontalCentered="1"/>
  <pageMargins left="0.15" right="0.15" top="0.25" bottom="0.25" header="0.3" footer="0"/>
  <pageSetup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Reset_Button_1">
                <anchor moveWithCells="1" sizeWithCells="1">
                  <from>
                    <xdr:col>11</xdr:col>
                    <xdr:colOff>85725</xdr:colOff>
                    <xdr:row>7</xdr:row>
                    <xdr:rowOff>47625</xdr:rowOff>
                  </from>
                  <to>
                    <xdr:col>12</xdr:col>
                    <xdr:colOff>419100</xdr:colOff>
                    <xdr:row>8</xdr:row>
                    <xdr:rowOff>57150</xdr:rowOff>
                  </to>
                </anchor>
              </controlPr>
            </control>
          </mc:Choice>
        </mc:AlternateContent>
        <mc:AlternateContent xmlns:mc="http://schemas.openxmlformats.org/markup-compatibility/2006">
          <mc:Choice Requires="x14">
            <control shapeId="8195" r:id="rId5" name="Button 3">
              <controlPr defaultSize="0" print="0" autoFill="0" autoPict="0" macro="[0]!Print_Button_1">
                <anchor moveWithCells="1" sizeWithCells="1">
                  <from>
                    <xdr:col>10</xdr:col>
                    <xdr:colOff>390525</xdr:colOff>
                    <xdr:row>7</xdr:row>
                    <xdr:rowOff>47625</xdr:rowOff>
                  </from>
                  <to>
                    <xdr:col>10</xdr:col>
                    <xdr:colOff>819150</xdr:colOff>
                    <xdr:row>8</xdr:row>
                    <xdr:rowOff>57150</xdr:rowOff>
                  </to>
                </anchor>
              </controlPr>
            </control>
          </mc:Choice>
        </mc:AlternateContent>
        <mc:AlternateContent xmlns:mc="http://schemas.openxmlformats.org/markup-compatibility/2006">
          <mc:Choice Requires="x14">
            <control shapeId="8196" r:id="rId6" name="Drop Down 4">
              <controlPr defaultSize="0" autoLine="0" autoPict="0" macro="[0]!Program_Type_Change">
                <anchor moveWithCells="1">
                  <from>
                    <xdr:col>3</xdr:col>
                    <xdr:colOff>104775</xdr:colOff>
                    <xdr:row>7</xdr:row>
                    <xdr:rowOff>9525</xdr:rowOff>
                  </from>
                  <to>
                    <xdr:col>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G1201"/>
  <sheetViews>
    <sheetView showGridLines="0" zoomScale="90" zoomScaleNormal="90" workbookViewId="0">
      <pane xSplit="6" ySplit="10" topLeftCell="G11" activePane="bottomRight" state="frozen"/>
      <selection pane="topRight" activeCell="G1" sqref="G1"/>
      <selection pane="bottomLeft" activeCell="A11" sqref="A11"/>
      <selection pane="bottomRight"/>
    </sheetView>
  </sheetViews>
  <sheetFormatPr defaultRowHeight="13.5" outlineLevelCol="1"/>
  <cols>
    <col min="1" max="1" width="1.75" customWidth="1"/>
    <col min="2" max="2" width="38.875" style="175" customWidth="1"/>
    <col min="3" max="3" width="14.75" style="176" customWidth="1"/>
    <col min="4" max="6" width="10.25" style="176" customWidth="1"/>
    <col min="7" max="7" width="15.625" style="175" customWidth="1"/>
    <col min="8" max="9" width="13.875" style="177" hidden="1" customWidth="1" outlineLevel="1"/>
    <col min="10" max="10" width="25.875" style="175" hidden="1" customWidth="1" outlineLevel="1"/>
    <col min="11" max="11" width="13" style="175" hidden="1" customWidth="1" outlineLevel="1"/>
    <col min="12" max="12" width="7.125" style="175" hidden="1" customWidth="1" outlineLevel="1"/>
    <col min="13" max="13" width="8.625" style="179" hidden="1" customWidth="1" outlineLevel="1"/>
    <col min="14" max="14" width="16.625" style="177" bestFit="1" customWidth="1" collapsed="1"/>
    <col min="15" max="15" width="11" style="177" customWidth="1"/>
    <col min="16" max="17" width="8.375" style="175" customWidth="1"/>
    <col min="18" max="22" width="11" style="175" customWidth="1"/>
    <col min="23" max="24" width="9" style="175" customWidth="1"/>
    <col min="25" max="25" width="9.875" style="175" customWidth="1"/>
    <col min="26" max="26" width="8.375" style="175" customWidth="1"/>
    <col min="27" max="29" width="11" style="175" customWidth="1"/>
    <col min="30" max="32" width="42.75" style="22" customWidth="1"/>
    <col min="33" max="33" width="1.75" customWidth="1"/>
  </cols>
  <sheetData>
    <row r="1" spans="1:33" ht="3.95" customHeight="1">
      <c r="A1" s="17"/>
      <c r="B1" s="18"/>
      <c r="C1" s="36"/>
      <c r="D1" s="36"/>
      <c r="E1" s="36"/>
      <c r="F1" s="36"/>
      <c r="G1" s="19"/>
      <c r="H1" s="18"/>
      <c r="I1" s="18"/>
      <c r="J1" s="20"/>
      <c r="K1" s="21"/>
      <c r="L1" s="17"/>
      <c r="M1" s="19"/>
      <c r="N1" s="19"/>
      <c r="O1"/>
      <c r="P1"/>
      <c r="Q1"/>
      <c r="R1"/>
      <c r="S1"/>
      <c r="T1"/>
      <c r="U1"/>
      <c r="V1"/>
      <c r="W1"/>
      <c r="X1"/>
      <c r="Y1"/>
      <c r="Z1"/>
      <c r="AA1"/>
      <c r="AB1"/>
      <c r="AC1"/>
    </row>
    <row r="2" spans="1:33" ht="15" customHeight="1">
      <c r="A2" s="17"/>
      <c r="B2" s="148"/>
      <c r="C2" s="99"/>
      <c r="D2" s="99"/>
      <c r="E2" s="99"/>
      <c r="F2" s="99"/>
      <c r="G2" s="99"/>
      <c r="H2" s="99"/>
      <c r="I2" s="99"/>
      <c r="J2" s="99"/>
      <c r="K2" s="99"/>
      <c r="L2" s="99"/>
      <c r="M2" s="99"/>
      <c r="N2" s="99"/>
      <c r="O2" s="99"/>
      <c r="P2" s="99"/>
      <c r="Q2" s="99"/>
      <c r="R2" s="99"/>
      <c r="S2" s="99"/>
      <c r="T2" s="99"/>
      <c r="U2" s="99"/>
      <c r="V2" s="99"/>
      <c r="W2" s="99"/>
      <c r="X2" s="99"/>
      <c r="Y2" s="99"/>
      <c r="Z2" s="99"/>
      <c r="AA2" s="99"/>
      <c r="AB2" s="99"/>
      <c r="AC2" s="99"/>
      <c r="AD2" s="99"/>
      <c r="AE2" s="99"/>
      <c r="AF2" s="152"/>
    </row>
    <row r="3" spans="1:33" ht="15" customHeight="1">
      <c r="A3" s="17"/>
      <c r="B3" s="149"/>
      <c r="C3" s="60"/>
      <c r="D3" s="60"/>
      <c r="E3" s="60"/>
      <c r="F3" s="60"/>
      <c r="G3" s="60"/>
      <c r="H3" s="60"/>
      <c r="I3" s="60"/>
      <c r="J3" s="60"/>
      <c r="K3" s="60"/>
      <c r="L3" s="60"/>
      <c r="M3" s="60"/>
      <c r="N3" s="60"/>
      <c r="O3" s="60"/>
      <c r="P3" s="60"/>
      <c r="Q3" s="60"/>
      <c r="R3" s="337" t="s">
        <v>98</v>
      </c>
      <c r="S3" s="337"/>
      <c r="T3" s="337"/>
      <c r="U3" s="337"/>
      <c r="V3" s="60"/>
      <c r="W3" s="60"/>
      <c r="X3" s="60"/>
      <c r="Y3" s="60"/>
      <c r="Z3" s="60"/>
      <c r="AA3" s="60"/>
      <c r="AB3" s="60"/>
      <c r="AC3" s="60"/>
      <c r="AD3" s="60"/>
      <c r="AE3" s="60"/>
      <c r="AF3" s="153"/>
    </row>
    <row r="4" spans="1:33" ht="15" customHeight="1">
      <c r="A4" s="17"/>
      <c r="B4" s="103"/>
      <c r="C4" s="60"/>
      <c r="D4" s="60"/>
      <c r="E4" s="60"/>
      <c r="F4" s="60"/>
      <c r="G4" s="60"/>
      <c r="H4" s="60"/>
      <c r="I4" s="60"/>
      <c r="J4" s="60"/>
      <c r="K4" s="60"/>
      <c r="L4" s="60"/>
      <c r="M4" s="60"/>
      <c r="N4" s="60"/>
      <c r="O4" s="60"/>
      <c r="P4" s="60"/>
      <c r="Q4" s="60"/>
      <c r="R4" s="337"/>
      <c r="S4" s="337"/>
      <c r="T4" s="337"/>
      <c r="U4" s="337"/>
      <c r="V4" s="60"/>
      <c r="W4" s="60"/>
      <c r="X4" s="60"/>
      <c r="Y4" s="60"/>
      <c r="Z4" s="60"/>
      <c r="AA4" s="60"/>
      <c r="AB4" s="60"/>
      <c r="AC4" s="60"/>
      <c r="AD4" s="60"/>
      <c r="AE4" s="60"/>
      <c r="AF4" s="153"/>
    </row>
    <row r="5" spans="1:33" ht="15" customHeight="1">
      <c r="A5" s="17"/>
      <c r="B5" s="103"/>
      <c r="C5" s="60"/>
      <c r="D5" s="60"/>
      <c r="E5" s="60"/>
      <c r="F5" s="60"/>
      <c r="G5" s="60"/>
      <c r="H5" s="60"/>
      <c r="I5" s="60"/>
      <c r="J5" s="60"/>
      <c r="K5" s="60"/>
      <c r="L5" s="60"/>
      <c r="M5" s="60"/>
      <c r="N5" s="60"/>
      <c r="O5" s="60"/>
      <c r="P5" s="60"/>
      <c r="Q5" s="60"/>
      <c r="R5" s="362" t="s">
        <v>939</v>
      </c>
      <c r="S5" s="362"/>
      <c r="T5" s="362"/>
      <c r="U5" s="362"/>
      <c r="V5" s="60"/>
      <c r="W5" s="60"/>
      <c r="X5" s="60"/>
      <c r="Y5" s="60"/>
      <c r="Z5" s="60"/>
      <c r="AA5" s="60"/>
      <c r="AB5" s="60"/>
      <c r="AC5" s="60"/>
      <c r="AD5" s="60"/>
      <c r="AE5" s="60"/>
      <c r="AF5" s="153"/>
    </row>
    <row r="6" spans="1:33" ht="30.75" customHeight="1" thickBot="1">
      <c r="A6" s="17"/>
      <c r="B6" s="328" t="s">
        <v>935</v>
      </c>
      <c r="C6" s="144"/>
      <c r="D6" s="144"/>
      <c r="E6" s="144"/>
      <c r="F6" s="144"/>
      <c r="G6" s="17"/>
      <c r="H6" s="19"/>
      <c r="I6" s="19"/>
      <c r="J6" s="17"/>
      <c r="K6" s="17"/>
      <c r="L6" s="17"/>
      <c r="M6" s="17"/>
      <c r="N6" s="17"/>
      <c r="O6" s="17"/>
      <c r="P6" s="17"/>
      <c r="Q6" s="27"/>
      <c r="R6" s="27"/>
      <c r="S6" s="27"/>
      <c r="T6" s="27"/>
      <c r="U6" s="27"/>
      <c r="V6" s="27"/>
      <c r="W6" s="27"/>
      <c r="X6" s="145"/>
      <c r="Y6" s="145"/>
      <c r="Z6" s="111"/>
      <c r="AA6" s="17"/>
      <c r="AB6" s="17"/>
      <c r="AC6" s="17"/>
      <c r="AD6" s="143"/>
      <c r="AE6" s="143"/>
      <c r="AF6" s="154"/>
      <c r="AG6" s="6"/>
    </row>
    <row r="7" spans="1:33" ht="24" customHeight="1" thickBot="1">
      <c r="A7" s="23"/>
      <c r="B7" s="150"/>
      <c r="C7" s="37"/>
      <c r="D7" s="37"/>
      <c r="E7" s="37"/>
      <c r="F7" s="37"/>
      <c r="G7" s="10"/>
      <c r="H7" s="146"/>
      <c r="I7" s="146"/>
      <c r="J7" s="146"/>
      <c r="K7" s="146"/>
      <c r="L7" s="146"/>
      <c r="M7" s="146"/>
      <c r="N7" s="146"/>
      <c r="O7" s="17"/>
      <c r="P7" s="363"/>
      <c r="Q7" s="363"/>
      <c r="R7" s="363"/>
      <c r="S7" s="363"/>
      <c r="T7" s="363"/>
      <c r="U7" s="333"/>
      <c r="V7" s="24"/>
      <c r="W7" s="24"/>
      <c r="X7" s="24"/>
      <c r="Y7" s="24"/>
      <c r="Z7" s="24"/>
      <c r="AA7" s="24"/>
      <c r="AB7" s="24"/>
      <c r="AC7" s="24"/>
      <c r="AD7" s="364" t="s">
        <v>904</v>
      </c>
      <c r="AE7" s="365"/>
      <c r="AF7" s="366"/>
      <c r="AG7" s="6"/>
    </row>
    <row r="8" spans="1:33" ht="15" thickBot="1">
      <c r="A8" s="25"/>
      <c r="B8" s="151"/>
      <c r="C8" s="147"/>
      <c r="D8" s="147"/>
      <c r="E8" s="147"/>
      <c r="F8" s="147"/>
      <c r="G8" s="10"/>
      <c r="H8" s="10"/>
      <c r="I8" s="10"/>
      <c r="J8" s="10"/>
      <c r="K8" s="10"/>
      <c r="L8" s="10"/>
      <c r="M8" s="10"/>
      <c r="N8" s="10"/>
      <c r="O8" s="17"/>
      <c r="P8" s="372" t="s">
        <v>1</v>
      </c>
      <c r="Q8" s="373"/>
      <c r="R8" s="373"/>
      <c r="S8" s="373"/>
      <c r="T8" s="373"/>
      <c r="U8" s="373"/>
      <c r="V8" s="373"/>
      <c r="W8" s="373"/>
      <c r="X8" s="373"/>
      <c r="Y8" s="374"/>
      <c r="Z8" s="369" t="s">
        <v>2</v>
      </c>
      <c r="AA8" s="370"/>
      <c r="AB8" s="370"/>
      <c r="AC8" s="371"/>
      <c r="AD8" s="367"/>
      <c r="AE8" s="367"/>
      <c r="AF8" s="368"/>
      <c r="AG8" s="6"/>
    </row>
    <row r="9" spans="1:33" s="156" customFormat="1" ht="15" hidden="1" thickBot="1">
      <c r="A9" s="25"/>
      <c r="B9" s="151"/>
      <c r="C9" s="147"/>
      <c r="D9" s="147"/>
      <c r="E9" s="147"/>
      <c r="F9" s="147"/>
      <c r="G9" s="10"/>
      <c r="H9" s="10"/>
      <c r="I9" s="10"/>
      <c r="J9" s="10"/>
      <c r="K9" s="10"/>
      <c r="L9" s="10"/>
      <c r="M9" s="10"/>
      <c r="N9" s="10"/>
      <c r="O9" s="17"/>
      <c r="P9" s="291"/>
      <c r="Q9" s="292"/>
      <c r="R9" s="292"/>
      <c r="S9" s="292"/>
      <c r="T9" s="292"/>
      <c r="U9" s="292"/>
      <c r="V9" s="292"/>
      <c r="W9" s="292"/>
      <c r="X9" s="292"/>
      <c r="Y9" s="293"/>
      <c r="Z9" s="294"/>
      <c r="AA9" s="295"/>
      <c r="AB9" s="295"/>
      <c r="AC9" s="296"/>
      <c r="AD9" s="297"/>
      <c r="AE9" s="297"/>
      <c r="AF9" s="298"/>
      <c r="AG9" s="6"/>
    </row>
    <row r="10" spans="1:33" s="96" customFormat="1" ht="81.75" thickBot="1">
      <c r="B10" s="195" t="s">
        <v>10</v>
      </c>
      <c r="C10" s="196" t="s">
        <v>49</v>
      </c>
      <c r="D10" s="196" t="s">
        <v>82</v>
      </c>
      <c r="E10" s="196" t="s">
        <v>83</v>
      </c>
      <c r="F10" s="196" t="s">
        <v>84</v>
      </c>
      <c r="G10" s="197" t="s">
        <v>929</v>
      </c>
      <c r="H10" s="198" t="s">
        <v>11</v>
      </c>
      <c r="I10" s="198" t="s">
        <v>91</v>
      </c>
      <c r="J10" s="196" t="s">
        <v>12</v>
      </c>
      <c r="K10" s="196" t="s">
        <v>13</v>
      </c>
      <c r="L10" s="196" t="s">
        <v>14</v>
      </c>
      <c r="M10" s="198" t="s">
        <v>15</v>
      </c>
      <c r="N10" s="198" t="s">
        <v>86</v>
      </c>
      <c r="O10" s="198" t="s">
        <v>78</v>
      </c>
      <c r="P10" s="199" t="s">
        <v>70</v>
      </c>
      <c r="Q10" s="200" t="s">
        <v>71</v>
      </c>
      <c r="R10" s="200" t="s">
        <v>72</v>
      </c>
      <c r="S10" s="200" t="s">
        <v>87</v>
      </c>
      <c r="T10" s="200" t="s">
        <v>922</v>
      </c>
      <c r="U10" s="200" t="s">
        <v>67</v>
      </c>
      <c r="V10" s="200" t="s">
        <v>73</v>
      </c>
      <c r="W10" s="200" t="s">
        <v>4</v>
      </c>
      <c r="X10" s="200" t="s">
        <v>5</v>
      </c>
      <c r="Y10" s="201" t="s">
        <v>92</v>
      </c>
      <c r="Z10" s="199" t="s">
        <v>67</v>
      </c>
      <c r="AA10" s="200" t="s">
        <v>68</v>
      </c>
      <c r="AB10" s="202" t="s">
        <v>73</v>
      </c>
      <c r="AC10" s="203" t="s">
        <v>72</v>
      </c>
      <c r="AD10" s="204" t="s">
        <v>16</v>
      </c>
      <c r="AE10" s="205" t="s">
        <v>17</v>
      </c>
      <c r="AF10" s="206" t="s">
        <v>18</v>
      </c>
      <c r="AG10" s="97"/>
    </row>
    <row r="11" spans="1:33" hidden="1">
      <c r="B11" s="265"/>
      <c r="C11" s="219"/>
      <c r="D11" s="219"/>
      <c r="E11" s="219"/>
      <c r="F11" s="219"/>
      <c r="G11" s="222"/>
      <c r="H11" s="225"/>
      <c r="I11" s="225"/>
      <c r="J11" s="215"/>
      <c r="K11" s="215"/>
      <c r="L11" s="215"/>
      <c r="M11" s="229"/>
      <c r="N11" s="233"/>
      <c r="O11" s="237"/>
      <c r="P11" s="241"/>
      <c r="Q11" s="242"/>
      <c r="R11" s="300"/>
      <c r="S11" s="249"/>
      <c r="T11" s="300"/>
      <c r="U11" s="249"/>
      <c r="V11" s="300"/>
      <c r="W11" s="249"/>
      <c r="X11" s="253"/>
      <c r="Y11" s="300"/>
      <c r="Z11" s="257"/>
      <c r="AA11" s="249"/>
      <c r="AB11" s="300"/>
      <c r="AC11" s="304"/>
      <c r="AD11" s="261"/>
      <c r="AE11" s="261"/>
      <c r="AF11" s="282"/>
    </row>
    <row r="12" spans="1:33" hidden="1">
      <c r="B12" s="266"/>
      <c r="C12" s="220"/>
      <c r="D12" s="220"/>
      <c r="E12" s="220"/>
      <c r="F12" s="220"/>
      <c r="G12" s="223"/>
      <c r="H12" s="226"/>
      <c r="I12" s="226"/>
      <c r="J12" s="216"/>
      <c r="K12" s="216"/>
      <c r="L12" s="216"/>
      <c r="M12" s="230"/>
      <c r="N12" s="234"/>
      <c r="O12" s="238"/>
      <c r="P12" s="243"/>
      <c r="Q12" s="244"/>
      <c r="R12" s="301"/>
      <c r="S12" s="250"/>
      <c r="T12" s="301"/>
      <c r="U12" s="250"/>
      <c r="V12" s="301"/>
      <c r="W12" s="250"/>
      <c r="X12" s="254"/>
      <c r="Y12" s="301"/>
      <c r="Z12" s="258"/>
      <c r="AA12" s="250"/>
      <c r="AB12" s="301"/>
      <c r="AC12" s="305"/>
      <c r="AD12" s="262"/>
      <c r="AE12" s="262"/>
      <c r="AF12" s="283"/>
    </row>
    <row r="13" spans="1:33" hidden="1">
      <c r="B13" s="267"/>
      <c r="C13" s="219"/>
      <c r="D13" s="219"/>
      <c r="E13" s="219"/>
      <c r="F13" s="219"/>
      <c r="G13" s="222"/>
      <c r="H13" s="227"/>
      <c r="I13" s="227"/>
      <c r="J13" s="217"/>
      <c r="K13" s="217"/>
      <c r="L13" s="217"/>
      <c r="M13" s="231"/>
      <c r="N13" s="235"/>
      <c r="O13" s="239"/>
      <c r="P13" s="245"/>
      <c r="Q13" s="246"/>
      <c r="R13" s="302"/>
      <c r="S13" s="251"/>
      <c r="T13" s="302"/>
      <c r="U13" s="251"/>
      <c r="V13" s="302"/>
      <c r="W13" s="251"/>
      <c r="X13" s="255"/>
      <c r="Y13" s="302"/>
      <c r="Z13" s="259"/>
      <c r="AA13" s="251"/>
      <c r="AB13" s="302"/>
      <c r="AC13" s="306"/>
      <c r="AD13" s="261"/>
      <c r="AE13" s="261"/>
      <c r="AF13" s="282"/>
    </row>
    <row r="14" spans="1:33" hidden="1">
      <c r="B14" s="266"/>
      <c r="C14" s="220"/>
      <c r="D14" s="220"/>
      <c r="E14" s="220"/>
      <c r="F14" s="220"/>
      <c r="G14" s="223"/>
      <c r="H14" s="226"/>
      <c r="I14" s="226"/>
      <c r="J14" s="216"/>
      <c r="K14" s="216"/>
      <c r="L14" s="216"/>
      <c r="M14" s="230"/>
      <c r="N14" s="234"/>
      <c r="O14" s="238"/>
      <c r="P14" s="243"/>
      <c r="Q14" s="244"/>
      <c r="R14" s="301"/>
      <c r="S14" s="250"/>
      <c r="T14" s="301"/>
      <c r="U14" s="250"/>
      <c r="V14" s="301"/>
      <c r="W14" s="250"/>
      <c r="X14" s="254"/>
      <c r="Y14" s="301"/>
      <c r="Z14" s="258"/>
      <c r="AA14" s="250"/>
      <c r="AB14" s="301"/>
      <c r="AC14" s="305"/>
      <c r="AD14" s="262"/>
      <c r="AE14" s="262"/>
      <c r="AF14" s="283"/>
    </row>
    <row r="15" spans="1:33" hidden="1">
      <c r="B15" s="267"/>
      <c r="C15" s="219"/>
      <c r="D15" s="219"/>
      <c r="E15" s="219"/>
      <c r="F15" s="219"/>
      <c r="G15" s="222"/>
      <c r="H15" s="227"/>
      <c r="I15" s="227"/>
      <c r="J15" s="217"/>
      <c r="K15" s="217"/>
      <c r="L15" s="217"/>
      <c r="M15" s="231"/>
      <c r="N15" s="235"/>
      <c r="O15" s="239"/>
      <c r="P15" s="245"/>
      <c r="Q15" s="246"/>
      <c r="R15" s="302"/>
      <c r="S15" s="251"/>
      <c r="T15" s="302"/>
      <c r="U15" s="251"/>
      <c r="V15" s="302"/>
      <c r="W15" s="251"/>
      <c r="X15" s="255"/>
      <c r="Y15" s="302"/>
      <c r="Z15" s="259"/>
      <c r="AA15" s="251"/>
      <c r="AB15" s="302"/>
      <c r="AC15" s="306"/>
      <c r="AD15" s="261"/>
      <c r="AE15" s="261"/>
      <c r="AF15" s="282"/>
    </row>
    <row r="16" spans="1:33" hidden="1">
      <c r="B16" s="266"/>
      <c r="C16" s="220"/>
      <c r="D16" s="220"/>
      <c r="E16" s="220"/>
      <c r="F16" s="220"/>
      <c r="G16" s="223"/>
      <c r="H16" s="226"/>
      <c r="I16" s="226"/>
      <c r="J16" s="216"/>
      <c r="K16" s="216"/>
      <c r="L16" s="216"/>
      <c r="M16" s="230"/>
      <c r="N16" s="234"/>
      <c r="O16" s="238"/>
      <c r="P16" s="243"/>
      <c r="Q16" s="244"/>
      <c r="R16" s="301"/>
      <c r="S16" s="250"/>
      <c r="T16" s="301"/>
      <c r="U16" s="250"/>
      <c r="V16" s="301"/>
      <c r="W16" s="250"/>
      <c r="X16" s="254"/>
      <c r="Y16" s="301"/>
      <c r="Z16" s="258"/>
      <c r="AA16" s="250"/>
      <c r="AB16" s="301"/>
      <c r="AC16" s="305"/>
      <c r="AD16" s="262"/>
      <c r="AE16" s="262"/>
      <c r="AF16" s="283"/>
    </row>
    <row r="17" spans="2:32" hidden="1">
      <c r="B17" s="267"/>
      <c r="C17" s="219"/>
      <c r="D17" s="219"/>
      <c r="E17" s="219"/>
      <c r="F17" s="219"/>
      <c r="G17" s="222"/>
      <c r="H17" s="227"/>
      <c r="I17" s="227"/>
      <c r="J17" s="217"/>
      <c r="K17" s="217"/>
      <c r="L17" s="217"/>
      <c r="M17" s="231"/>
      <c r="N17" s="235"/>
      <c r="O17" s="239"/>
      <c r="P17" s="245"/>
      <c r="Q17" s="246"/>
      <c r="R17" s="302"/>
      <c r="S17" s="251"/>
      <c r="T17" s="302"/>
      <c r="U17" s="251"/>
      <c r="V17" s="302"/>
      <c r="W17" s="251"/>
      <c r="X17" s="255"/>
      <c r="Y17" s="302"/>
      <c r="Z17" s="259"/>
      <c r="AA17" s="251"/>
      <c r="AB17" s="302"/>
      <c r="AC17" s="306"/>
      <c r="AD17" s="261"/>
      <c r="AE17" s="261"/>
      <c r="AF17" s="282"/>
    </row>
    <row r="18" spans="2:32" hidden="1">
      <c r="B18" s="266"/>
      <c r="C18" s="220"/>
      <c r="D18" s="220"/>
      <c r="E18" s="220"/>
      <c r="F18" s="220"/>
      <c r="G18" s="223"/>
      <c r="H18" s="226"/>
      <c r="I18" s="226"/>
      <c r="J18" s="216"/>
      <c r="K18" s="216"/>
      <c r="L18" s="216"/>
      <c r="M18" s="230"/>
      <c r="N18" s="234"/>
      <c r="O18" s="238"/>
      <c r="P18" s="243"/>
      <c r="Q18" s="244"/>
      <c r="R18" s="301"/>
      <c r="S18" s="250"/>
      <c r="T18" s="301"/>
      <c r="U18" s="250"/>
      <c r="V18" s="301"/>
      <c r="W18" s="250"/>
      <c r="X18" s="254"/>
      <c r="Y18" s="301"/>
      <c r="Z18" s="258"/>
      <c r="AA18" s="250"/>
      <c r="AB18" s="301"/>
      <c r="AC18" s="305"/>
      <c r="AD18" s="262"/>
      <c r="AE18" s="262"/>
      <c r="AF18" s="283"/>
    </row>
    <row r="19" spans="2:32" hidden="1">
      <c r="B19" s="267"/>
      <c r="C19" s="219"/>
      <c r="D19" s="219"/>
      <c r="E19" s="219"/>
      <c r="F19" s="219"/>
      <c r="G19" s="222"/>
      <c r="H19" s="227"/>
      <c r="I19" s="227"/>
      <c r="J19" s="217"/>
      <c r="K19" s="217"/>
      <c r="L19" s="217"/>
      <c r="M19" s="231"/>
      <c r="N19" s="235"/>
      <c r="O19" s="239"/>
      <c r="P19" s="245"/>
      <c r="Q19" s="246"/>
      <c r="R19" s="302"/>
      <c r="S19" s="251"/>
      <c r="T19" s="302"/>
      <c r="U19" s="251"/>
      <c r="V19" s="302"/>
      <c r="W19" s="251"/>
      <c r="X19" s="255"/>
      <c r="Y19" s="302"/>
      <c r="Z19" s="259"/>
      <c r="AA19" s="251"/>
      <c r="AB19" s="302"/>
      <c r="AC19" s="306"/>
      <c r="AD19" s="261"/>
      <c r="AE19" s="261"/>
      <c r="AF19" s="282"/>
    </row>
    <row r="20" spans="2:32" hidden="1">
      <c r="B20" s="266"/>
      <c r="C20" s="220"/>
      <c r="D20" s="220"/>
      <c r="E20" s="220"/>
      <c r="F20" s="220"/>
      <c r="G20" s="223"/>
      <c r="H20" s="226"/>
      <c r="I20" s="226"/>
      <c r="J20" s="216"/>
      <c r="K20" s="216"/>
      <c r="L20" s="216"/>
      <c r="M20" s="230"/>
      <c r="N20" s="234"/>
      <c r="O20" s="238"/>
      <c r="P20" s="243"/>
      <c r="Q20" s="244"/>
      <c r="R20" s="301"/>
      <c r="S20" s="250"/>
      <c r="T20" s="301"/>
      <c r="U20" s="250"/>
      <c r="V20" s="301"/>
      <c r="W20" s="250"/>
      <c r="X20" s="254"/>
      <c r="Y20" s="301"/>
      <c r="Z20" s="258"/>
      <c r="AA20" s="250"/>
      <c r="AB20" s="301"/>
      <c r="AC20" s="305"/>
      <c r="AD20" s="262"/>
      <c r="AE20" s="262"/>
      <c r="AF20" s="283"/>
    </row>
    <row r="21" spans="2:32" hidden="1">
      <c r="B21" s="267"/>
      <c r="C21" s="219"/>
      <c r="D21" s="219"/>
      <c r="E21" s="219"/>
      <c r="F21" s="219"/>
      <c r="G21" s="222"/>
      <c r="H21" s="227"/>
      <c r="I21" s="227"/>
      <c r="J21" s="217"/>
      <c r="K21" s="217"/>
      <c r="L21" s="217"/>
      <c r="M21" s="231"/>
      <c r="N21" s="235"/>
      <c r="O21" s="239"/>
      <c r="P21" s="245"/>
      <c r="Q21" s="246"/>
      <c r="R21" s="302"/>
      <c r="S21" s="251"/>
      <c r="T21" s="302"/>
      <c r="U21" s="251"/>
      <c r="V21" s="302"/>
      <c r="W21" s="251"/>
      <c r="X21" s="255"/>
      <c r="Y21" s="302"/>
      <c r="Z21" s="259"/>
      <c r="AA21" s="251"/>
      <c r="AB21" s="302"/>
      <c r="AC21" s="306"/>
      <c r="AD21" s="261"/>
      <c r="AE21" s="261"/>
      <c r="AF21" s="282"/>
    </row>
    <row r="22" spans="2:32" hidden="1">
      <c r="B22" s="266"/>
      <c r="C22" s="220"/>
      <c r="D22" s="220"/>
      <c r="E22" s="220"/>
      <c r="F22" s="220"/>
      <c r="G22" s="223"/>
      <c r="H22" s="226"/>
      <c r="I22" s="226"/>
      <c r="J22" s="216"/>
      <c r="K22" s="216"/>
      <c r="L22" s="216"/>
      <c r="M22" s="230"/>
      <c r="N22" s="234"/>
      <c r="O22" s="238"/>
      <c r="P22" s="243"/>
      <c r="Q22" s="244"/>
      <c r="R22" s="301"/>
      <c r="S22" s="250"/>
      <c r="T22" s="301"/>
      <c r="U22" s="250"/>
      <c r="V22" s="301"/>
      <c r="W22" s="250"/>
      <c r="X22" s="254"/>
      <c r="Y22" s="301"/>
      <c r="Z22" s="258"/>
      <c r="AA22" s="250"/>
      <c r="AB22" s="301"/>
      <c r="AC22" s="305"/>
      <c r="AD22" s="262"/>
      <c r="AE22" s="262"/>
      <c r="AF22" s="283"/>
    </row>
    <row r="23" spans="2:32" hidden="1">
      <c r="B23" s="267"/>
      <c r="C23" s="219"/>
      <c r="D23" s="219"/>
      <c r="E23" s="219"/>
      <c r="F23" s="219"/>
      <c r="G23" s="222"/>
      <c r="H23" s="227"/>
      <c r="I23" s="227"/>
      <c r="J23" s="217"/>
      <c r="K23" s="217"/>
      <c r="L23" s="217"/>
      <c r="M23" s="231"/>
      <c r="N23" s="235"/>
      <c r="O23" s="239"/>
      <c r="P23" s="245"/>
      <c r="Q23" s="246"/>
      <c r="R23" s="302"/>
      <c r="S23" s="251"/>
      <c r="T23" s="302"/>
      <c r="U23" s="251"/>
      <c r="V23" s="302"/>
      <c r="W23" s="251"/>
      <c r="X23" s="255"/>
      <c r="Y23" s="302"/>
      <c r="Z23" s="259"/>
      <c r="AA23" s="251"/>
      <c r="AB23" s="302"/>
      <c r="AC23" s="306"/>
      <c r="AD23" s="261"/>
      <c r="AE23" s="261"/>
      <c r="AF23" s="282"/>
    </row>
    <row r="24" spans="2:32" hidden="1">
      <c r="B24" s="266"/>
      <c r="C24" s="220"/>
      <c r="D24" s="220"/>
      <c r="E24" s="220"/>
      <c r="F24" s="220"/>
      <c r="G24" s="223"/>
      <c r="H24" s="226"/>
      <c r="I24" s="226"/>
      <c r="J24" s="216"/>
      <c r="K24" s="216"/>
      <c r="L24" s="216"/>
      <c r="M24" s="230"/>
      <c r="N24" s="234"/>
      <c r="O24" s="238"/>
      <c r="P24" s="243"/>
      <c r="Q24" s="244"/>
      <c r="R24" s="301"/>
      <c r="S24" s="250"/>
      <c r="T24" s="301"/>
      <c r="U24" s="250"/>
      <c r="V24" s="301"/>
      <c r="W24" s="250"/>
      <c r="X24" s="254"/>
      <c r="Y24" s="301"/>
      <c r="Z24" s="258"/>
      <c r="AA24" s="250"/>
      <c r="AB24" s="301"/>
      <c r="AC24" s="305"/>
      <c r="AD24" s="262"/>
      <c r="AE24" s="262"/>
      <c r="AF24" s="283"/>
    </row>
    <row r="25" spans="2:32" hidden="1">
      <c r="B25" s="267"/>
      <c r="C25" s="219"/>
      <c r="D25" s="219"/>
      <c r="E25" s="219"/>
      <c r="F25" s="219"/>
      <c r="G25" s="222"/>
      <c r="H25" s="227"/>
      <c r="I25" s="227"/>
      <c r="J25" s="217"/>
      <c r="K25" s="217"/>
      <c r="L25" s="217"/>
      <c r="M25" s="231"/>
      <c r="N25" s="235"/>
      <c r="O25" s="239"/>
      <c r="P25" s="245"/>
      <c r="Q25" s="246"/>
      <c r="R25" s="302"/>
      <c r="S25" s="251"/>
      <c r="T25" s="302"/>
      <c r="U25" s="251"/>
      <c r="V25" s="302"/>
      <c r="W25" s="251"/>
      <c r="X25" s="255"/>
      <c r="Y25" s="302"/>
      <c r="Z25" s="259"/>
      <c r="AA25" s="251"/>
      <c r="AB25" s="302"/>
      <c r="AC25" s="306"/>
      <c r="AD25" s="261"/>
      <c r="AE25" s="261"/>
      <c r="AF25" s="282"/>
    </row>
    <row r="26" spans="2:32" hidden="1">
      <c r="B26" s="266"/>
      <c r="C26" s="220"/>
      <c r="D26" s="220"/>
      <c r="E26" s="220"/>
      <c r="F26" s="220"/>
      <c r="G26" s="223"/>
      <c r="H26" s="226"/>
      <c r="I26" s="226"/>
      <c r="J26" s="216"/>
      <c r="K26" s="216"/>
      <c r="L26" s="216"/>
      <c r="M26" s="230"/>
      <c r="N26" s="234"/>
      <c r="O26" s="238"/>
      <c r="P26" s="243"/>
      <c r="Q26" s="244"/>
      <c r="R26" s="301"/>
      <c r="S26" s="250"/>
      <c r="T26" s="301"/>
      <c r="U26" s="250"/>
      <c r="V26" s="301"/>
      <c r="W26" s="250"/>
      <c r="X26" s="254"/>
      <c r="Y26" s="301"/>
      <c r="Z26" s="258"/>
      <c r="AA26" s="250"/>
      <c r="AB26" s="301"/>
      <c r="AC26" s="305"/>
      <c r="AD26" s="262"/>
      <c r="AE26" s="262"/>
      <c r="AF26" s="283"/>
    </row>
    <row r="27" spans="2:32" hidden="1">
      <c r="B27" s="267"/>
      <c r="C27" s="219"/>
      <c r="D27" s="219"/>
      <c r="E27" s="219"/>
      <c r="F27" s="219"/>
      <c r="G27" s="222"/>
      <c r="H27" s="227"/>
      <c r="I27" s="227"/>
      <c r="J27" s="217"/>
      <c r="K27" s="217"/>
      <c r="L27" s="217"/>
      <c r="M27" s="231"/>
      <c r="N27" s="235"/>
      <c r="O27" s="239"/>
      <c r="P27" s="245"/>
      <c r="Q27" s="246"/>
      <c r="R27" s="302"/>
      <c r="S27" s="251"/>
      <c r="T27" s="302"/>
      <c r="U27" s="251"/>
      <c r="V27" s="302"/>
      <c r="W27" s="251"/>
      <c r="X27" s="255"/>
      <c r="Y27" s="302"/>
      <c r="Z27" s="259"/>
      <c r="AA27" s="251"/>
      <c r="AB27" s="302"/>
      <c r="AC27" s="306"/>
      <c r="AD27" s="261"/>
      <c r="AE27" s="261"/>
      <c r="AF27" s="282"/>
    </row>
    <row r="28" spans="2:32" hidden="1">
      <c r="B28" s="266"/>
      <c r="C28" s="220"/>
      <c r="D28" s="220"/>
      <c r="E28" s="220"/>
      <c r="F28" s="220"/>
      <c r="G28" s="223"/>
      <c r="H28" s="226"/>
      <c r="I28" s="226"/>
      <c r="J28" s="216"/>
      <c r="K28" s="216"/>
      <c r="L28" s="216"/>
      <c r="M28" s="230"/>
      <c r="N28" s="234"/>
      <c r="O28" s="238"/>
      <c r="P28" s="243"/>
      <c r="Q28" s="244"/>
      <c r="R28" s="301"/>
      <c r="S28" s="250"/>
      <c r="T28" s="301"/>
      <c r="U28" s="250"/>
      <c r="V28" s="301"/>
      <c r="W28" s="250"/>
      <c r="X28" s="254"/>
      <c r="Y28" s="301"/>
      <c r="Z28" s="258"/>
      <c r="AA28" s="250"/>
      <c r="AB28" s="301"/>
      <c r="AC28" s="305"/>
      <c r="AD28" s="262"/>
      <c r="AE28" s="262"/>
      <c r="AF28" s="283"/>
    </row>
    <row r="29" spans="2:32" hidden="1">
      <c r="B29" s="267"/>
      <c r="C29" s="219"/>
      <c r="D29" s="219"/>
      <c r="E29" s="219"/>
      <c r="F29" s="219"/>
      <c r="G29" s="222"/>
      <c r="H29" s="227"/>
      <c r="I29" s="227"/>
      <c r="J29" s="217"/>
      <c r="K29" s="217"/>
      <c r="L29" s="217"/>
      <c r="M29" s="231"/>
      <c r="N29" s="235"/>
      <c r="O29" s="239"/>
      <c r="P29" s="245"/>
      <c r="Q29" s="246"/>
      <c r="R29" s="302"/>
      <c r="S29" s="251"/>
      <c r="T29" s="302"/>
      <c r="U29" s="251"/>
      <c r="V29" s="302"/>
      <c r="W29" s="251"/>
      <c r="X29" s="255"/>
      <c r="Y29" s="302"/>
      <c r="Z29" s="259"/>
      <c r="AA29" s="251"/>
      <c r="AB29" s="302"/>
      <c r="AC29" s="306"/>
      <c r="AD29" s="261"/>
      <c r="AE29" s="261"/>
      <c r="AF29" s="282"/>
    </row>
    <row r="30" spans="2:32" hidden="1">
      <c r="B30" s="266"/>
      <c r="C30" s="220"/>
      <c r="D30" s="220"/>
      <c r="E30" s="220"/>
      <c r="F30" s="220"/>
      <c r="G30" s="223"/>
      <c r="H30" s="226"/>
      <c r="I30" s="226"/>
      <c r="J30" s="216"/>
      <c r="K30" s="216"/>
      <c r="L30" s="216"/>
      <c r="M30" s="230"/>
      <c r="N30" s="234"/>
      <c r="O30" s="238"/>
      <c r="P30" s="243"/>
      <c r="Q30" s="244"/>
      <c r="R30" s="301"/>
      <c r="S30" s="250"/>
      <c r="T30" s="301"/>
      <c r="U30" s="250"/>
      <c r="V30" s="301"/>
      <c r="W30" s="250"/>
      <c r="X30" s="254"/>
      <c r="Y30" s="301"/>
      <c r="Z30" s="258"/>
      <c r="AA30" s="250"/>
      <c r="AB30" s="301"/>
      <c r="AC30" s="305"/>
      <c r="AD30" s="262"/>
      <c r="AE30" s="262"/>
      <c r="AF30" s="283"/>
    </row>
    <row r="31" spans="2:32" hidden="1">
      <c r="B31" s="267"/>
      <c r="C31" s="219"/>
      <c r="D31" s="219"/>
      <c r="E31" s="219"/>
      <c r="F31" s="219"/>
      <c r="G31" s="222"/>
      <c r="H31" s="227"/>
      <c r="I31" s="227"/>
      <c r="J31" s="217"/>
      <c r="K31" s="217"/>
      <c r="L31" s="217"/>
      <c r="M31" s="231"/>
      <c r="N31" s="235"/>
      <c r="O31" s="239"/>
      <c r="P31" s="245"/>
      <c r="Q31" s="246"/>
      <c r="R31" s="302"/>
      <c r="S31" s="251"/>
      <c r="T31" s="302"/>
      <c r="U31" s="251"/>
      <c r="V31" s="302"/>
      <c r="W31" s="251"/>
      <c r="X31" s="255"/>
      <c r="Y31" s="302"/>
      <c r="Z31" s="259"/>
      <c r="AA31" s="251"/>
      <c r="AB31" s="302"/>
      <c r="AC31" s="306"/>
      <c r="AD31" s="261"/>
      <c r="AE31" s="261"/>
      <c r="AF31" s="282"/>
    </row>
    <row r="32" spans="2:32" hidden="1">
      <c r="B32" s="266"/>
      <c r="C32" s="220"/>
      <c r="D32" s="220"/>
      <c r="E32" s="220"/>
      <c r="F32" s="220"/>
      <c r="G32" s="223"/>
      <c r="H32" s="226"/>
      <c r="I32" s="226"/>
      <c r="J32" s="216"/>
      <c r="K32" s="216"/>
      <c r="L32" s="216"/>
      <c r="M32" s="230"/>
      <c r="N32" s="234"/>
      <c r="O32" s="238"/>
      <c r="P32" s="243"/>
      <c r="Q32" s="244"/>
      <c r="R32" s="301"/>
      <c r="S32" s="250"/>
      <c r="T32" s="301"/>
      <c r="U32" s="250"/>
      <c r="V32" s="301"/>
      <c r="W32" s="250"/>
      <c r="X32" s="254"/>
      <c r="Y32" s="301"/>
      <c r="Z32" s="258"/>
      <c r="AA32" s="250"/>
      <c r="AB32" s="301"/>
      <c r="AC32" s="305"/>
      <c r="AD32" s="262"/>
      <c r="AE32" s="262"/>
      <c r="AF32" s="283"/>
    </row>
    <row r="33" spans="2:32" hidden="1">
      <c r="B33" s="267"/>
      <c r="C33" s="219"/>
      <c r="D33" s="219"/>
      <c r="E33" s="219"/>
      <c r="F33" s="219"/>
      <c r="G33" s="222"/>
      <c r="H33" s="227"/>
      <c r="I33" s="227"/>
      <c r="J33" s="217"/>
      <c r="K33" s="217"/>
      <c r="L33" s="217"/>
      <c r="M33" s="231"/>
      <c r="N33" s="235"/>
      <c r="O33" s="239"/>
      <c r="P33" s="245"/>
      <c r="Q33" s="246"/>
      <c r="R33" s="302"/>
      <c r="S33" s="251"/>
      <c r="T33" s="302"/>
      <c r="U33" s="251"/>
      <c r="V33" s="302"/>
      <c r="W33" s="251"/>
      <c r="X33" s="255"/>
      <c r="Y33" s="302"/>
      <c r="Z33" s="259"/>
      <c r="AA33" s="251"/>
      <c r="AB33" s="302"/>
      <c r="AC33" s="306"/>
      <c r="AD33" s="261"/>
      <c r="AE33" s="261"/>
      <c r="AF33" s="282"/>
    </row>
    <row r="34" spans="2:32" hidden="1">
      <c r="B34" s="266"/>
      <c r="C34" s="220"/>
      <c r="D34" s="220"/>
      <c r="E34" s="220"/>
      <c r="F34" s="220"/>
      <c r="G34" s="223"/>
      <c r="H34" s="226"/>
      <c r="I34" s="226"/>
      <c r="J34" s="216"/>
      <c r="K34" s="216"/>
      <c r="L34" s="216"/>
      <c r="M34" s="230"/>
      <c r="N34" s="234"/>
      <c r="O34" s="238"/>
      <c r="P34" s="243"/>
      <c r="Q34" s="244"/>
      <c r="R34" s="301"/>
      <c r="S34" s="250"/>
      <c r="T34" s="301"/>
      <c r="U34" s="250"/>
      <c r="V34" s="301"/>
      <c r="W34" s="250"/>
      <c r="X34" s="254"/>
      <c r="Y34" s="301"/>
      <c r="Z34" s="258"/>
      <c r="AA34" s="250"/>
      <c r="AB34" s="301"/>
      <c r="AC34" s="305"/>
      <c r="AD34" s="262"/>
      <c r="AE34" s="262"/>
      <c r="AF34" s="283"/>
    </row>
    <row r="35" spans="2:32" hidden="1">
      <c r="B35" s="267"/>
      <c r="C35" s="219"/>
      <c r="D35" s="219"/>
      <c r="E35" s="219"/>
      <c r="F35" s="219"/>
      <c r="G35" s="222"/>
      <c r="H35" s="227"/>
      <c r="I35" s="227"/>
      <c r="J35" s="217"/>
      <c r="K35" s="217"/>
      <c r="L35" s="217"/>
      <c r="M35" s="231"/>
      <c r="N35" s="235"/>
      <c r="O35" s="239"/>
      <c r="P35" s="245"/>
      <c r="Q35" s="246"/>
      <c r="R35" s="302"/>
      <c r="S35" s="251"/>
      <c r="T35" s="302"/>
      <c r="U35" s="251"/>
      <c r="V35" s="302"/>
      <c r="W35" s="251"/>
      <c r="X35" s="255"/>
      <c r="Y35" s="302"/>
      <c r="Z35" s="259"/>
      <c r="AA35" s="251"/>
      <c r="AB35" s="302"/>
      <c r="AC35" s="306"/>
      <c r="AD35" s="261"/>
      <c r="AE35" s="261"/>
      <c r="AF35" s="282"/>
    </row>
    <row r="36" spans="2:32" hidden="1">
      <c r="B36" s="266"/>
      <c r="C36" s="220"/>
      <c r="D36" s="220"/>
      <c r="E36" s="220"/>
      <c r="F36" s="220"/>
      <c r="G36" s="223"/>
      <c r="H36" s="226"/>
      <c r="I36" s="226"/>
      <c r="J36" s="216"/>
      <c r="K36" s="216"/>
      <c r="L36" s="216"/>
      <c r="M36" s="230"/>
      <c r="N36" s="234"/>
      <c r="O36" s="238"/>
      <c r="P36" s="243"/>
      <c r="Q36" s="244"/>
      <c r="R36" s="301"/>
      <c r="S36" s="250"/>
      <c r="T36" s="301"/>
      <c r="U36" s="250"/>
      <c r="V36" s="301"/>
      <c r="W36" s="250"/>
      <c r="X36" s="254"/>
      <c r="Y36" s="301"/>
      <c r="Z36" s="258"/>
      <c r="AA36" s="250"/>
      <c r="AB36" s="301"/>
      <c r="AC36" s="305"/>
      <c r="AD36" s="262"/>
      <c r="AE36" s="262"/>
      <c r="AF36" s="283"/>
    </row>
    <row r="37" spans="2:32" hidden="1">
      <c r="B37" s="267"/>
      <c r="C37" s="219"/>
      <c r="D37" s="219"/>
      <c r="E37" s="219"/>
      <c r="F37" s="219"/>
      <c r="G37" s="222"/>
      <c r="H37" s="227"/>
      <c r="I37" s="227"/>
      <c r="J37" s="217"/>
      <c r="K37" s="217"/>
      <c r="L37" s="217"/>
      <c r="M37" s="231"/>
      <c r="N37" s="235"/>
      <c r="O37" s="239"/>
      <c r="P37" s="245"/>
      <c r="Q37" s="246"/>
      <c r="R37" s="302"/>
      <c r="S37" s="251"/>
      <c r="T37" s="302"/>
      <c r="U37" s="251"/>
      <c r="V37" s="302"/>
      <c r="W37" s="251"/>
      <c r="X37" s="255"/>
      <c r="Y37" s="302"/>
      <c r="Z37" s="259"/>
      <c r="AA37" s="251"/>
      <c r="AB37" s="302"/>
      <c r="AC37" s="306"/>
      <c r="AD37" s="261"/>
      <c r="AE37" s="261"/>
      <c r="AF37" s="282"/>
    </row>
    <row r="38" spans="2:32" hidden="1">
      <c r="B38" s="266"/>
      <c r="C38" s="220"/>
      <c r="D38" s="220"/>
      <c r="E38" s="220"/>
      <c r="F38" s="220"/>
      <c r="G38" s="223"/>
      <c r="H38" s="226"/>
      <c r="I38" s="226"/>
      <c r="J38" s="216"/>
      <c r="K38" s="216"/>
      <c r="L38" s="216"/>
      <c r="M38" s="230"/>
      <c r="N38" s="234"/>
      <c r="O38" s="238"/>
      <c r="P38" s="243"/>
      <c r="Q38" s="244"/>
      <c r="R38" s="301"/>
      <c r="S38" s="250"/>
      <c r="T38" s="301"/>
      <c r="U38" s="250"/>
      <c r="V38" s="301"/>
      <c r="W38" s="250"/>
      <c r="X38" s="254"/>
      <c r="Y38" s="301"/>
      <c r="Z38" s="258"/>
      <c r="AA38" s="250"/>
      <c r="AB38" s="301"/>
      <c r="AC38" s="305"/>
      <c r="AD38" s="262"/>
      <c r="AE38" s="262"/>
      <c r="AF38" s="283"/>
    </row>
    <row r="39" spans="2:32" hidden="1">
      <c r="B39" s="267"/>
      <c r="C39" s="219"/>
      <c r="D39" s="219"/>
      <c r="E39" s="219"/>
      <c r="F39" s="219"/>
      <c r="G39" s="222"/>
      <c r="H39" s="227"/>
      <c r="I39" s="227"/>
      <c r="J39" s="217"/>
      <c r="K39" s="217"/>
      <c r="L39" s="217"/>
      <c r="M39" s="231"/>
      <c r="N39" s="235"/>
      <c r="O39" s="239"/>
      <c r="P39" s="245"/>
      <c r="Q39" s="246"/>
      <c r="R39" s="302"/>
      <c r="S39" s="251"/>
      <c r="T39" s="302"/>
      <c r="U39" s="251"/>
      <c r="V39" s="302"/>
      <c r="W39" s="251"/>
      <c r="X39" s="255"/>
      <c r="Y39" s="302"/>
      <c r="Z39" s="259"/>
      <c r="AA39" s="251"/>
      <c r="AB39" s="302"/>
      <c r="AC39" s="306"/>
      <c r="AD39" s="261"/>
      <c r="AE39" s="261"/>
      <c r="AF39" s="282"/>
    </row>
    <row r="40" spans="2:32" hidden="1">
      <c r="B40" s="266"/>
      <c r="C40" s="220"/>
      <c r="D40" s="220"/>
      <c r="E40" s="220"/>
      <c r="F40" s="220"/>
      <c r="G40" s="223"/>
      <c r="H40" s="226"/>
      <c r="I40" s="226"/>
      <c r="J40" s="216"/>
      <c r="K40" s="216"/>
      <c r="L40" s="216"/>
      <c r="M40" s="230"/>
      <c r="N40" s="234"/>
      <c r="O40" s="238"/>
      <c r="P40" s="243"/>
      <c r="Q40" s="244"/>
      <c r="R40" s="301"/>
      <c r="S40" s="250"/>
      <c r="T40" s="301"/>
      <c r="U40" s="250"/>
      <c r="V40" s="301"/>
      <c r="W40" s="250"/>
      <c r="X40" s="254"/>
      <c r="Y40" s="301"/>
      <c r="Z40" s="258"/>
      <c r="AA40" s="250"/>
      <c r="AB40" s="301"/>
      <c r="AC40" s="305"/>
      <c r="AD40" s="262"/>
      <c r="AE40" s="262"/>
      <c r="AF40" s="283"/>
    </row>
    <row r="41" spans="2:32" hidden="1">
      <c r="B41" s="267"/>
      <c r="C41" s="219"/>
      <c r="D41" s="219"/>
      <c r="E41" s="219"/>
      <c r="F41" s="219"/>
      <c r="G41" s="222"/>
      <c r="H41" s="227"/>
      <c r="I41" s="227"/>
      <c r="J41" s="217"/>
      <c r="K41" s="217"/>
      <c r="L41" s="217"/>
      <c r="M41" s="231"/>
      <c r="N41" s="235"/>
      <c r="O41" s="239"/>
      <c r="P41" s="245"/>
      <c r="Q41" s="246"/>
      <c r="R41" s="302"/>
      <c r="S41" s="251"/>
      <c r="T41" s="302"/>
      <c r="U41" s="251"/>
      <c r="V41" s="302"/>
      <c r="W41" s="251"/>
      <c r="X41" s="255"/>
      <c r="Y41" s="302"/>
      <c r="Z41" s="259"/>
      <c r="AA41" s="251"/>
      <c r="AB41" s="302"/>
      <c r="AC41" s="306"/>
      <c r="AD41" s="261"/>
      <c r="AE41" s="261"/>
      <c r="AF41" s="282"/>
    </row>
    <row r="42" spans="2:32" hidden="1">
      <c r="B42" s="266"/>
      <c r="C42" s="220"/>
      <c r="D42" s="220"/>
      <c r="E42" s="220"/>
      <c r="F42" s="220"/>
      <c r="G42" s="223"/>
      <c r="H42" s="226"/>
      <c r="I42" s="226"/>
      <c r="J42" s="216"/>
      <c r="K42" s="216"/>
      <c r="L42" s="216"/>
      <c r="M42" s="230"/>
      <c r="N42" s="234"/>
      <c r="O42" s="238"/>
      <c r="P42" s="243"/>
      <c r="Q42" s="244"/>
      <c r="R42" s="301"/>
      <c r="S42" s="250"/>
      <c r="T42" s="301"/>
      <c r="U42" s="250"/>
      <c r="V42" s="301"/>
      <c r="W42" s="250"/>
      <c r="X42" s="254"/>
      <c r="Y42" s="301"/>
      <c r="Z42" s="258"/>
      <c r="AA42" s="250"/>
      <c r="AB42" s="301"/>
      <c r="AC42" s="305"/>
      <c r="AD42" s="262"/>
      <c r="AE42" s="262"/>
      <c r="AF42" s="283"/>
    </row>
    <row r="43" spans="2:32" hidden="1">
      <c r="B43" s="267"/>
      <c r="C43" s="219"/>
      <c r="D43" s="219"/>
      <c r="E43" s="219"/>
      <c r="F43" s="219"/>
      <c r="G43" s="222"/>
      <c r="H43" s="227"/>
      <c r="I43" s="227"/>
      <c r="J43" s="217"/>
      <c r="K43" s="217"/>
      <c r="L43" s="217"/>
      <c r="M43" s="231"/>
      <c r="N43" s="235"/>
      <c r="O43" s="239"/>
      <c r="P43" s="245"/>
      <c r="Q43" s="246"/>
      <c r="R43" s="302"/>
      <c r="S43" s="251"/>
      <c r="T43" s="302"/>
      <c r="U43" s="251"/>
      <c r="V43" s="302"/>
      <c r="W43" s="251"/>
      <c r="X43" s="255"/>
      <c r="Y43" s="302"/>
      <c r="Z43" s="259"/>
      <c r="AA43" s="251"/>
      <c r="AB43" s="302"/>
      <c r="AC43" s="306"/>
      <c r="AD43" s="261"/>
      <c r="AE43" s="261"/>
      <c r="AF43" s="282"/>
    </row>
    <row r="44" spans="2:32" hidden="1">
      <c r="B44" s="266"/>
      <c r="C44" s="220"/>
      <c r="D44" s="220"/>
      <c r="E44" s="220"/>
      <c r="F44" s="220"/>
      <c r="G44" s="223"/>
      <c r="H44" s="226"/>
      <c r="I44" s="226"/>
      <c r="J44" s="216"/>
      <c r="K44" s="216"/>
      <c r="L44" s="216"/>
      <c r="M44" s="230"/>
      <c r="N44" s="234"/>
      <c r="O44" s="238"/>
      <c r="P44" s="243"/>
      <c r="Q44" s="244"/>
      <c r="R44" s="301"/>
      <c r="S44" s="250"/>
      <c r="T44" s="301"/>
      <c r="U44" s="250"/>
      <c r="V44" s="301"/>
      <c r="W44" s="250"/>
      <c r="X44" s="254"/>
      <c r="Y44" s="301"/>
      <c r="Z44" s="258"/>
      <c r="AA44" s="250"/>
      <c r="AB44" s="301"/>
      <c r="AC44" s="305"/>
      <c r="AD44" s="262"/>
      <c r="AE44" s="262"/>
      <c r="AF44" s="283"/>
    </row>
    <row r="45" spans="2:32" hidden="1">
      <c r="B45" s="267"/>
      <c r="C45" s="219"/>
      <c r="D45" s="219"/>
      <c r="E45" s="219"/>
      <c r="F45" s="219"/>
      <c r="G45" s="222"/>
      <c r="H45" s="227"/>
      <c r="I45" s="227"/>
      <c r="J45" s="217"/>
      <c r="K45" s="217"/>
      <c r="L45" s="217"/>
      <c r="M45" s="231"/>
      <c r="N45" s="235"/>
      <c r="O45" s="239"/>
      <c r="P45" s="245"/>
      <c r="Q45" s="246"/>
      <c r="R45" s="302"/>
      <c r="S45" s="251"/>
      <c r="T45" s="302"/>
      <c r="U45" s="251"/>
      <c r="V45" s="302"/>
      <c r="W45" s="251"/>
      <c r="X45" s="255"/>
      <c r="Y45" s="302"/>
      <c r="Z45" s="259"/>
      <c r="AA45" s="251"/>
      <c r="AB45" s="302"/>
      <c r="AC45" s="306"/>
      <c r="AD45" s="261"/>
      <c r="AE45" s="261"/>
      <c r="AF45" s="282"/>
    </row>
    <row r="46" spans="2:32" hidden="1">
      <c r="B46" s="266"/>
      <c r="C46" s="220"/>
      <c r="D46" s="220"/>
      <c r="E46" s="220"/>
      <c r="F46" s="220"/>
      <c r="G46" s="223"/>
      <c r="H46" s="226"/>
      <c r="I46" s="226"/>
      <c r="J46" s="216"/>
      <c r="K46" s="216"/>
      <c r="L46" s="216"/>
      <c r="M46" s="230"/>
      <c r="N46" s="234"/>
      <c r="O46" s="238"/>
      <c r="P46" s="243"/>
      <c r="Q46" s="244"/>
      <c r="R46" s="301"/>
      <c r="S46" s="250"/>
      <c r="T46" s="301"/>
      <c r="U46" s="250"/>
      <c r="V46" s="301"/>
      <c r="W46" s="250"/>
      <c r="X46" s="254"/>
      <c r="Y46" s="301"/>
      <c r="Z46" s="258"/>
      <c r="AA46" s="250"/>
      <c r="AB46" s="301"/>
      <c r="AC46" s="305"/>
      <c r="AD46" s="262"/>
      <c r="AE46" s="262"/>
      <c r="AF46" s="283"/>
    </row>
    <row r="47" spans="2:32" hidden="1">
      <c r="B47" s="267"/>
      <c r="C47" s="219"/>
      <c r="D47" s="219"/>
      <c r="E47" s="219"/>
      <c r="F47" s="219"/>
      <c r="G47" s="222"/>
      <c r="H47" s="227"/>
      <c r="I47" s="227"/>
      <c r="J47" s="217"/>
      <c r="K47" s="217"/>
      <c r="L47" s="217"/>
      <c r="M47" s="231"/>
      <c r="N47" s="235"/>
      <c r="O47" s="239"/>
      <c r="P47" s="245"/>
      <c r="Q47" s="246"/>
      <c r="R47" s="302"/>
      <c r="S47" s="251"/>
      <c r="T47" s="302"/>
      <c r="U47" s="251"/>
      <c r="V47" s="302"/>
      <c r="W47" s="251"/>
      <c r="X47" s="255"/>
      <c r="Y47" s="302"/>
      <c r="Z47" s="259"/>
      <c r="AA47" s="251"/>
      <c r="AB47" s="302"/>
      <c r="AC47" s="306"/>
      <c r="AD47" s="261"/>
      <c r="AE47" s="261"/>
      <c r="AF47" s="282"/>
    </row>
    <row r="48" spans="2:32" hidden="1">
      <c r="B48" s="266"/>
      <c r="C48" s="220"/>
      <c r="D48" s="220"/>
      <c r="E48" s="220"/>
      <c r="F48" s="220"/>
      <c r="G48" s="223"/>
      <c r="H48" s="226"/>
      <c r="I48" s="226"/>
      <c r="J48" s="216"/>
      <c r="K48" s="216"/>
      <c r="L48" s="216"/>
      <c r="M48" s="230"/>
      <c r="N48" s="234"/>
      <c r="O48" s="238"/>
      <c r="P48" s="243"/>
      <c r="Q48" s="244"/>
      <c r="R48" s="301"/>
      <c r="S48" s="250"/>
      <c r="T48" s="301"/>
      <c r="U48" s="250"/>
      <c r="V48" s="301"/>
      <c r="W48" s="250"/>
      <c r="X48" s="254"/>
      <c r="Y48" s="301"/>
      <c r="Z48" s="258"/>
      <c r="AA48" s="250"/>
      <c r="AB48" s="301"/>
      <c r="AC48" s="305"/>
      <c r="AD48" s="262"/>
      <c r="AE48" s="262"/>
      <c r="AF48" s="283"/>
    </row>
    <row r="49" spans="2:32" hidden="1">
      <c r="B49" s="267"/>
      <c r="C49" s="219"/>
      <c r="D49" s="219"/>
      <c r="E49" s="219"/>
      <c r="F49" s="219"/>
      <c r="G49" s="222"/>
      <c r="H49" s="227"/>
      <c r="I49" s="227"/>
      <c r="J49" s="217"/>
      <c r="K49" s="217"/>
      <c r="L49" s="217"/>
      <c r="M49" s="231"/>
      <c r="N49" s="235"/>
      <c r="O49" s="239"/>
      <c r="P49" s="245"/>
      <c r="Q49" s="246"/>
      <c r="R49" s="302"/>
      <c r="S49" s="251"/>
      <c r="T49" s="302"/>
      <c r="U49" s="251"/>
      <c r="V49" s="302"/>
      <c r="W49" s="251"/>
      <c r="X49" s="255"/>
      <c r="Y49" s="302"/>
      <c r="Z49" s="259"/>
      <c r="AA49" s="251"/>
      <c r="AB49" s="302"/>
      <c r="AC49" s="306"/>
      <c r="AD49" s="261"/>
      <c r="AE49" s="261"/>
      <c r="AF49" s="282"/>
    </row>
    <row r="50" spans="2:32" hidden="1">
      <c r="B50" s="266"/>
      <c r="C50" s="220"/>
      <c r="D50" s="220"/>
      <c r="E50" s="220"/>
      <c r="F50" s="220"/>
      <c r="G50" s="223"/>
      <c r="H50" s="226"/>
      <c r="I50" s="226"/>
      <c r="J50" s="216"/>
      <c r="K50" s="216"/>
      <c r="L50" s="216"/>
      <c r="M50" s="230"/>
      <c r="N50" s="234"/>
      <c r="O50" s="238"/>
      <c r="P50" s="243"/>
      <c r="Q50" s="244"/>
      <c r="R50" s="301"/>
      <c r="S50" s="250"/>
      <c r="T50" s="301"/>
      <c r="U50" s="250"/>
      <c r="V50" s="301"/>
      <c r="W50" s="250"/>
      <c r="X50" s="254"/>
      <c r="Y50" s="301"/>
      <c r="Z50" s="258"/>
      <c r="AA50" s="250"/>
      <c r="AB50" s="301"/>
      <c r="AC50" s="305"/>
      <c r="AD50" s="262"/>
      <c r="AE50" s="262"/>
      <c r="AF50" s="283"/>
    </row>
    <row r="51" spans="2:32" hidden="1">
      <c r="B51" s="267"/>
      <c r="C51" s="219"/>
      <c r="D51" s="219"/>
      <c r="E51" s="219"/>
      <c r="F51" s="219"/>
      <c r="G51" s="222"/>
      <c r="H51" s="227"/>
      <c r="I51" s="227"/>
      <c r="J51" s="217"/>
      <c r="K51" s="217"/>
      <c r="L51" s="217"/>
      <c r="M51" s="231"/>
      <c r="N51" s="235"/>
      <c r="O51" s="239"/>
      <c r="P51" s="245"/>
      <c r="Q51" s="246"/>
      <c r="R51" s="302"/>
      <c r="S51" s="251"/>
      <c r="T51" s="302"/>
      <c r="U51" s="251"/>
      <c r="V51" s="302"/>
      <c r="W51" s="251"/>
      <c r="X51" s="255"/>
      <c r="Y51" s="302"/>
      <c r="Z51" s="259"/>
      <c r="AA51" s="251"/>
      <c r="AB51" s="302"/>
      <c r="AC51" s="306"/>
      <c r="AD51" s="261"/>
      <c r="AE51" s="261"/>
      <c r="AF51" s="282"/>
    </row>
    <row r="52" spans="2:32" hidden="1">
      <c r="B52" s="266"/>
      <c r="C52" s="220"/>
      <c r="D52" s="220"/>
      <c r="E52" s="220"/>
      <c r="F52" s="220"/>
      <c r="G52" s="223"/>
      <c r="H52" s="226"/>
      <c r="I52" s="226"/>
      <c r="J52" s="216"/>
      <c r="K52" s="216"/>
      <c r="L52" s="216"/>
      <c r="M52" s="230"/>
      <c r="N52" s="234"/>
      <c r="O52" s="238"/>
      <c r="P52" s="243"/>
      <c r="Q52" s="244"/>
      <c r="R52" s="301"/>
      <c r="S52" s="250"/>
      <c r="T52" s="301"/>
      <c r="U52" s="250"/>
      <c r="V52" s="301"/>
      <c r="W52" s="250"/>
      <c r="X52" s="254"/>
      <c r="Y52" s="301"/>
      <c r="Z52" s="258"/>
      <c r="AA52" s="250"/>
      <c r="AB52" s="301"/>
      <c r="AC52" s="305"/>
      <c r="AD52" s="262"/>
      <c r="AE52" s="262"/>
      <c r="AF52" s="283"/>
    </row>
    <row r="53" spans="2:32" hidden="1">
      <c r="B53" s="267"/>
      <c r="C53" s="219"/>
      <c r="D53" s="219"/>
      <c r="E53" s="219"/>
      <c r="F53" s="219"/>
      <c r="G53" s="222"/>
      <c r="H53" s="227"/>
      <c r="I53" s="227"/>
      <c r="J53" s="217"/>
      <c r="K53" s="217"/>
      <c r="L53" s="217"/>
      <c r="M53" s="231"/>
      <c r="N53" s="235"/>
      <c r="O53" s="239"/>
      <c r="P53" s="245"/>
      <c r="Q53" s="246"/>
      <c r="R53" s="302"/>
      <c r="S53" s="251"/>
      <c r="T53" s="302"/>
      <c r="U53" s="251"/>
      <c r="V53" s="302"/>
      <c r="W53" s="251"/>
      <c r="X53" s="255"/>
      <c r="Y53" s="302"/>
      <c r="Z53" s="259"/>
      <c r="AA53" s="251"/>
      <c r="AB53" s="302"/>
      <c r="AC53" s="306"/>
      <c r="AD53" s="261"/>
      <c r="AE53" s="261"/>
      <c r="AF53" s="282"/>
    </row>
    <row r="54" spans="2:32" hidden="1">
      <c r="B54" s="266"/>
      <c r="C54" s="220"/>
      <c r="D54" s="220"/>
      <c r="E54" s="220"/>
      <c r="F54" s="220"/>
      <c r="G54" s="223"/>
      <c r="H54" s="226"/>
      <c r="I54" s="226"/>
      <c r="J54" s="216"/>
      <c r="K54" s="216"/>
      <c r="L54" s="216"/>
      <c r="M54" s="230"/>
      <c r="N54" s="234"/>
      <c r="O54" s="238"/>
      <c r="P54" s="243"/>
      <c r="Q54" s="244"/>
      <c r="R54" s="301"/>
      <c r="S54" s="250"/>
      <c r="T54" s="301"/>
      <c r="U54" s="250"/>
      <c r="V54" s="301"/>
      <c r="W54" s="250"/>
      <c r="X54" s="254"/>
      <c r="Y54" s="301"/>
      <c r="Z54" s="258"/>
      <c r="AA54" s="250"/>
      <c r="AB54" s="301"/>
      <c r="AC54" s="305"/>
      <c r="AD54" s="262"/>
      <c r="AE54" s="262"/>
      <c r="AF54" s="283"/>
    </row>
    <row r="55" spans="2:32" hidden="1">
      <c r="B55" s="267"/>
      <c r="C55" s="219"/>
      <c r="D55" s="219"/>
      <c r="E55" s="219"/>
      <c r="F55" s="219"/>
      <c r="G55" s="222"/>
      <c r="H55" s="227"/>
      <c r="I55" s="227"/>
      <c r="J55" s="217"/>
      <c r="K55" s="217"/>
      <c r="L55" s="217"/>
      <c r="M55" s="231"/>
      <c r="N55" s="235"/>
      <c r="O55" s="239"/>
      <c r="P55" s="245"/>
      <c r="Q55" s="246"/>
      <c r="R55" s="302"/>
      <c r="S55" s="251"/>
      <c r="T55" s="302"/>
      <c r="U55" s="251"/>
      <c r="V55" s="302"/>
      <c r="W55" s="251"/>
      <c r="X55" s="255"/>
      <c r="Y55" s="302"/>
      <c r="Z55" s="259"/>
      <c r="AA55" s="251"/>
      <c r="AB55" s="302"/>
      <c r="AC55" s="306"/>
      <c r="AD55" s="261"/>
      <c r="AE55" s="261"/>
      <c r="AF55" s="282"/>
    </row>
    <row r="56" spans="2:32" hidden="1">
      <c r="B56" s="266"/>
      <c r="C56" s="220"/>
      <c r="D56" s="220"/>
      <c r="E56" s="220"/>
      <c r="F56" s="220"/>
      <c r="G56" s="223"/>
      <c r="H56" s="226"/>
      <c r="I56" s="226"/>
      <c r="J56" s="216"/>
      <c r="K56" s="216"/>
      <c r="L56" s="216"/>
      <c r="M56" s="230"/>
      <c r="N56" s="234"/>
      <c r="O56" s="238"/>
      <c r="P56" s="243"/>
      <c r="Q56" s="244"/>
      <c r="R56" s="301"/>
      <c r="S56" s="250"/>
      <c r="T56" s="301"/>
      <c r="U56" s="250"/>
      <c r="V56" s="301"/>
      <c r="W56" s="250"/>
      <c r="X56" s="254"/>
      <c r="Y56" s="301"/>
      <c r="Z56" s="258"/>
      <c r="AA56" s="250"/>
      <c r="AB56" s="301"/>
      <c r="AC56" s="305"/>
      <c r="AD56" s="262"/>
      <c r="AE56" s="262"/>
      <c r="AF56" s="283"/>
    </row>
    <row r="57" spans="2:32" hidden="1">
      <c r="B57" s="267"/>
      <c r="C57" s="219"/>
      <c r="D57" s="219"/>
      <c r="E57" s="219"/>
      <c r="F57" s="219"/>
      <c r="G57" s="222"/>
      <c r="H57" s="227"/>
      <c r="I57" s="227"/>
      <c r="J57" s="217"/>
      <c r="K57" s="217"/>
      <c r="L57" s="217"/>
      <c r="M57" s="231"/>
      <c r="N57" s="235"/>
      <c r="O57" s="239"/>
      <c r="P57" s="245"/>
      <c r="Q57" s="246"/>
      <c r="R57" s="302"/>
      <c r="S57" s="251"/>
      <c r="T57" s="302"/>
      <c r="U57" s="251"/>
      <c r="V57" s="302"/>
      <c r="W57" s="251"/>
      <c r="X57" s="255"/>
      <c r="Y57" s="302"/>
      <c r="Z57" s="259"/>
      <c r="AA57" s="251"/>
      <c r="AB57" s="302"/>
      <c r="AC57" s="306"/>
      <c r="AD57" s="261"/>
      <c r="AE57" s="261"/>
      <c r="AF57" s="282"/>
    </row>
    <row r="58" spans="2:32" hidden="1">
      <c r="B58" s="266"/>
      <c r="C58" s="220"/>
      <c r="D58" s="220"/>
      <c r="E58" s="220"/>
      <c r="F58" s="220"/>
      <c r="G58" s="223"/>
      <c r="H58" s="226"/>
      <c r="I58" s="226"/>
      <c r="J58" s="216"/>
      <c r="K58" s="216"/>
      <c r="L58" s="216"/>
      <c r="M58" s="230"/>
      <c r="N58" s="234"/>
      <c r="O58" s="238"/>
      <c r="P58" s="243"/>
      <c r="Q58" s="244"/>
      <c r="R58" s="301"/>
      <c r="S58" s="250"/>
      <c r="T58" s="301"/>
      <c r="U58" s="250"/>
      <c r="V58" s="301"/>
      <c r="W58" s="250"/>
      <c r="X58" s="254"/>
      <c r="Y58" s="301"/>
      <c r="Z58" s="258"/>
      <c r="AA58" s="250"/>
      <c r="AB58" s="301"/>
      <c r="AC58" s="305"/>
      <c r="AD58" s="262"/>
      <c r="AE58" s="262"/>
      <c r="AF58" s="283"/>
    </row>
    <row r="59" spans="2:32" hidden="1">
      <c r="B59" s="267"/>
      <c r="C59" s="219"/>
      <c r="D59" s="219"/>
      <c r="E59" s="219"/>
      <c r="F59" s="219"/>
      <c r="G59" s="222"/>
      <c r="H59" s="227"/>
      <c r="I59" s="227"/>
      <c r="J59" s="217"/>
      <c r="K59" s="217"/>
      <c r="L59" s="217"/>
      <c r="M59" s="231"/>
      <c r="N59" s="235"/>
      <c r="O59" s="239"/>
      <c r="P59" s="245"/>
      <c r="Q59" s="246"/>
      <c r="R59" s="302"/>
      <c r="S59" s="251"/>
      <c r="T59" s="302"/>
      <c r="U59" s="251"/>
      <c r="V59" s="302"/>
      <c r="W59" s="251"/>
      <c r="X59" s="255"/>
      <c r="Y59" s="302"/>
      <c r="Z59" s="259"/>
      <c r="AA59" s="251"/>
      <c r="AB59" s="302"/>
      <c r="AC59" s="306"/>
      <c r="AD59" s="261"/>
      <c r="AE59" s="261"/>
      <c r="AF59" s="282"/>
    </row>
    <row r="60" spans="2:32" hidden="1">
      <c r="B60" s="266"/>
      <c r="C60" s="220"/>
      <c r="D60" s="220"/>
      <c r="E60" s="220"/>
      <c r="F60" s="220"/>
      <c r="G60" s="223"/>
      <c r="H60" s="226"/>
      <c r="I60" s="226"/>
      <c r="J60" s="216"/>
      <c r="K60" s="216"/>
      <c r="L60" s="216"/>
      <c r="M60" s="230"/>
      <c r="N60" s="234"/>
      <c r="O60" s="238"/>
      <c r="P60" s="243"/>
      <c r="Q60" s="244"/>
      <c r="R60" s="301"/>
      <c r="S60" s="250"/>
      <c r="T60" s="301"/>
      <c r="U60" s="250"/>
      <c r="V60" s="301"/>
      <c r="W60" s="250"/>
      <c r="X60" s="254"/>
      <c r="Y60" s="301"/>
      <c r="Z60" s="258"/>
      <c r="AA60" s="250"/>
      <c r="AB60" s="301"/>
      <c r="AC60" s="305"/>
      <c r="AD60" s="262"/>
      <c r="AE60" s="262"/>
      <c r="AF60" s="283"/>
    </row>
    <row r="61" spans="2:32" hidden="1">
      <c r="B61" s="267"/>
      <c r="C61" s="219"/>
      <c r="D61" s="219"/>
      <c r="E61" s="219"/>
      <c r="F61" s="219"/>
      <c r="G61" s="222"/>
      <c r="H61" s="227"/>
      <c r="I61" s="227"/>
      <c r="J61" s="217"/>
      <c r="K61" s="217"/>
      <c r="L61" s="217"/>
      <c r="M61" s="231"/>
      <c r="N61" s="235"/>
      <c r="O61" s="239"/>
      <c r="P61" s="245"/>
      <c r="Q61" s="246"/>
      <c r="R61" s="302"/>
      <c r="S61" s="251"/>
      <c r="T61" s="302"/>
      <c r="U61" s="251"/>
      <c r="V61" s="302"/>
      <c r="W61" s="251"/>
      <c r="X61" s="255"/>
      <c r="Y61" s="302"/>
      <c r="Z61" s="259"/>
      <c r="AA61" s="251"/>
      <c r="AB61" s="302"/>
      <c r="AC61" s="306"/>
      <c r="AD61" s="261"/>
      <c r="AE61" s="261"/>
      <c r="AF61" s="282"/>
    </row>
    <row r="62" spans="2:32" hidden="1">
      <c r="B62" s="266"/>
      <c r="C62" s="220"/>
      <c r="D62" s="220"/>
      <c r="E62" s="220"/>
      <c r="F62" s="220"/>
      <c r="G62" s="223"/>
      <c r="H62" s="226"/>
      <c r="I62" s="226"/>
      <c r="J62" s="216"/>
      <c r="K62" s="216"/>
      <c r="L62" s="216"/>
      <c r="M62" s="230"/>
      <c r="N62" s="234"/>
      <c r="O62" s="238"/>
      <c r="P62" s="243"/>
      <c r="Q62" s="244"/>
      <c r="R62" s="301"/>
      <c r="S62" s="250"/>
      <c r="T62" s="301"/>
      <c r="U62" s="250"/>
      <c r="V62" s="301"/>
      <c r="W62" s="250"/>
      <c r="X62" s="254"/>
      <c r="Y62" s="301"/>
      <c r="Z62" s="258"/>
      <c r="AA62" s="250"/>
      <c r="AB62" s="301"/>
      <c r="AC62" s="305"/>
      <c r="AD62" s="262"/>
      <c r="AE62" s="262"/>
      <c r="AF62" s="283"/>
    </row>
    <row r="63" spans="2:32" hidden="1">
      <c r="B63" s="267"/>
      <c r="C63" s="219"/>
      <c r="D63" s="219"/>
      <c r="E63" s="219"/>
      <c r="F63" s="219"/>
      <c r="G63" s="222"/>
      <c r="H63" s="227"/>
      <c r="I63" s="227"/>
      <c r="J63" s="217"/>
      <c r="K63" s="217"/>
      <c r="L63" s="217"/>
      <c r="M63" s="231"/>
      <c r="N63" s="235"/>
      <c r="O63" s="239"/>
      <c r="P63" s="245"/>
      <c r="Q63" s="246"/>
      <c r="R63" s="302"/>
      <c r="S63" s="251"/>
      <c r="T63" s="302"/>
      <c r="U63" s="251"/>
      <c r="V63" s="302"/>
      <c r="W63" s="251"/>
      <c r="X63" s="255"/>
      <c r="Y63" s="302"/>
      <c r="Z63" s="259"/>
      <c r="AA63" s="251"/>
      <c r="AB63" s="302"/>
      <c r="AC63" s="306"/>
      <c r="AD63" s="261"/>
      <c r="AE63" s="261"/>
      <c r="AF63" s="282"/>
    </row>
    <row r="64" spans="2:32" hidden="1">
      <c r="B64" s="266"/>
      <c r="C64" s="220"/>
      <c r="D64" s="220"/>
      <c r="E64" s="220"/>
      <c r="F64" s="220"/>
      <c r="G64" s="223"/>
      <c r="H64" s="226"/>
      <c r="I64" s="226"/>
      <c r="J64" s="216"/>
      <c r="K64" s="216"/>
      <c r="L64" s="216"/>
      <c r="M64" s="230"/>
      <c r="N64" s="234"/>
      <c r="O64" s="238"/>
      <c r="P64" s="243"/>
      <c r="Q64" s="244"/>
      <c r="R64" s="301"/>
      <c r="S64" s="250"/>
      <c r="T64" s="301"/>
      <c r="U64" s="250"/>
      <c r="V64" s="301"/>
      <c r="W64" s="250"/>
      <c r="X64" s="254"/>
      <c r="Y64" s="301"/>
      <c r="Z64" s="258"/>
      <c r="AA64" s="250"/>
      <c r="AB64" s="301"/>
      <c r="AC64" s="305"/>
      <c r="AD64" s="262"/>
      <c r="AE64" s="262"/>
      <c r="AF64" s="283"/>
    </row>
    <row r="65" spans="2:32" hidden="1">
      <c r="B65" s="267"/>
      <c r="C65" s="219"/>
      <c r="D65" s="219"/>
      <c r="E65" s="219"/>
      <c r="F65" s="219"/>
      <c r="G65" s="222"/>
      <c r="H65" s="227"/>
      <c r="I65" s="227"/>
      <c r="J65" s="217"/>
      <c r="K65" s="217"/>
      <c r="L65" s="217"/>
      <c r="M65" s="231"/>
      <c r="N65" s="235"/>
      <c r="O65" s="239"/>
      <c r="P65" s="245"/>
      <c r="Q65" s="246"/>
      <c r="R65" s="302"/>
      <c r="S65" s="251"/>
      <c r="T65" s="302"/>
      <c r="U65" s="251"/>
      <c r="V65" s="302"/>
      <c r="W65" s="251"/>
      <c r="X65" s="255"/>
      <c r="Y65" s="302"/>
      <c r="Z65" s="259"/>
      <c r="AA65" s="251"/>
      <c r="AB65" s="302"/>
      <c r="AC65" s="306"/>
      <c r="AD65" s="261"/>
      <c r="AE65" s="261"/>
      <c r="AF65" s="282"/>
    </row>
    <row r="66" spans="2:32" hidden="1">
      <c r="B66" s="266"/>
      <c r="C66" s="220"/>
      <c r="D66" s="220"/>
      <c r="E66" s="220"/>
      <c r="F66" s="220"/>
      <c r="G66" s="223"/>
      <c r="H66" s="226"/>
      <c r="I66" s="226"/>
      <c r="J66" s="216"/>
      <c r="K66" s="216"/>
      <c r="L66" s="216"/>
      <c r="M66" s="230"/>
      <c r="N66" s="234"/>
      <c r="O66" s="238"/>
      <c r="P66" s="243"/>
      <c r="Q66" s="244"/>
      <c r="R66" s="301"/>
      <c r="S66" s="250"/>
      <c r="T66" s="301"/>
      <c r="U66" s="250"/>
      <c r="V66" s="301"/>
      <c r="W66" s="250"/>
      <c r="X66" s="254"/>
      <c r="Y66" s="301"/>
      <c r="Z66" s="258"/>
      <c r="AA66" s="250"/>
      <c r="AB66" s="301"/>
      <c r="AC66" s="305"/>
      <c r="AD66" s="262"/>
      <c r="AE66" s="262"/>
      <c r="AF66" s="283"/>
    </row>
    <row r="67" spans="2:32" hidden="1">
      <c r="B67" s="267"/>
      <c r="C67" s="219"/>
      <c r="D67" s="219"/>
      <c r="E67" s="219"/>
      <c r="F67" s="219"/>
      <c r="G67" s="222"/>
      <c r="H67" s="227"/>
      <c r="I67" s="227"/>
      <c r="J67" s="217"/>
      <c r="K67" s="217"/>
      <c r="L67" s="217"/>
      <c r="M67" s="231"/>
      <c r="N67" s="235"/>
      <c r="O67" s="239"/>
      <c r="P67" s="245"/>
      <c r="Q67" s="246"/>
      <c r="R67" s="302"/>
      <c r="S67" s="251"/>
      <c r="T67" s="302"/>
      <c r="U67" s="251"/>
      <c r="V67" s="302"/>
      <c r="W67" s="251"/>
      <c r="X67" s="255"/>
      <c r="Y67" s="302"/>
      <c r="Z67" s="259"/>
      <c r="AA67" s="251"/>
      <c r="AB67" s="302"/>
      <c r="AC67" s="306"/>
      <c r="AD67" s="261"/>
      <c r="AE67" s="261"/>
      <c r="AF67" s="282"/>
    </row>
    <row r="68" spans="2:32" hidden="1">
      <c r="B68" s="266"/>
      <c r="C68" s="220"/>
      <c r="D68" s="220"/>
      <c r="E68" s="220"/>
      <c r="F68" s="220"/>
      <c r="G68" s="223"/>
      <c r="H68" s="226"/>
      <c r="I68" s="226"/>
      <c r="J68" s="216"/>
      <c r="K68" s="216"/>
      <c r="L68" s="216"/>
      <c r="M68" s="230"/>
      <c r="N68" s="234"/>
      <c r="O68" s="238"/>
      <c r="P68" s="243"/>
      <c r="Q68" s="244"/>
      <c r="R68" s="301"/>
      <c r="S68" s="250"/>
      <c r="T68" s="301"/>
      <c r="U68" s="250"/>
      <c r="V68" s="301"/>
      <c r="W68" s="250"/>
      <c r="X68" s="254"/>
      <c r="Y68" s="301"/>
      <c r="Z68" s="258"/>
      <c r="AA68" s="250"/>
      <c r="AB68" s="301"/>
      <c r="AC68" s="305"/>
      <c r="AD68" s="262"/>
      <c r="AE68" s="262"/>
      <c r="AF68" s="283"/>
    </row>
    <row r="69" spans="2:32" hidden="1">
      <c r="B69" s="267"/>
      <c r="C69" s="219"/>
      <c r="D69" s="219"/>
      <c r="E69" s="219"/>
      <c r="F69" s="219"/>
      <c r="G69" s="222"/>
      <c r="H69" s="227"/>
      <c r="I69" s="227"/>
      <c r="J69" s="217"/>
      <c r="K69" s="217"/>
      <c r="L69" s="217"/>
      <c r="M69" s="231"/>
      <c r="N69" s="235"/>
      <c r="O69" s="239"/>
      <c r="P69" s="245"/>
      <c r="Q69" s="246"/>
      <c r="R69" s="302"/>
      <c r="S69" s="251"/>
      <c r="T69" s="302"/>
      <c r="U69" s="251"/>
      <c r="V69" s="302"/>
      <c r="W69" s="251"/>
      <c r="X69" s="255"/>
      <c r="Y69" s="302"/>
      <c r="Z69" s="259"/>
      <c r="AA69" s="251"/>
      <c r="AB69" s="302"/>
      <c r="AC69" s="306"/>
      <c r="AD69" s="261"/>
      <c r="AE69" s="261"/>
      <c r="AF69" s="282"/>
    </row>
    <row r="70" spans="2:32" hidden="1">
      <c r="B70" s="266"/>
      <c r="C70" s="220"/>
      <c r="D70" s="220"/>
      <c r="E70" s="220"/>
      <c r="F70" s="220"/>
      <c r="G70" s="223"/>
      <c r="H70" s="226"/>
      <c r="I70" s="226"/>
      <c r="J70" s="216"/>
      <c r="K70" s="216"/>
      <c r="L70" s="216"/>
      <c r="M70" s="230"/>
      <c r="N70" s="234"/>
      <c r="O70" s="238"/>
      <c r="P70" s="243"/>
      <c r="Q70" s="244"/>
      <c r="R70" s="301"/>
      <c r="S70" s="250"/>
      <c r="T70" s="301"/>
      <c r="U70" s="250"/>
      <c r="V70" s="301"/>
      <c r="W70" s="250"/>
      <c r="X70" s="254"/>
      <c r="Y70" s="301"/>
      <c r="Z70" s="258"/>
      <c r="AA70" s="250"/>
      <c r="AB70" s="301"/>
      <c r="AC70" s="305"/>
      <c r="AD70" s="262"/>
      <c r="AE70" s="262"/>
      <c r="AF70" s="283"/>
    </row>
    <row r="71" spans="2:32" hidden="1">
      <c r="B71" s="267"/>
      <c r="C71" s="219"/>
      <c r="D71" s="219"/>
      <c r="E71" s="219"/>
      <c r="F71" s="219"/>
      <c r="G71" s="222"/>
      <c r="H71" s="227"/>
      <c r="I71" s="227"/>
      <c r="J71" s="217"/>
      <c r="K71" s="217"/>
      <c r="L71" s="217"/>
      <c r="M71" s="231"/>
      <c r="N71" s="235"/>
      <c r="O71" s="239"/>
      <c r="P71" s="245"/>
      <c r="Q71" s="246"/>
      <c r="R71" s="302"/>
      <c r="S71" s="251"/>
      <c r="T71" s="302"/>
      <c r="U71" s="251"/>
      <c r="V71" s="302"/>
      <c r="W71" s="251"/>
      <c r="X71" s="255"/>
      <c r="Y71" s="302"/>
      <c r="Z71" s="259"/>
      <c r="AA71" s="251"/>
      <c r="AB71" s="302"/>
      <c r="AC71" s="306"/>
      <c r="AD71" s="261"/>
      <c r="AE71" s="261"/>
      <c r="AF71" s="282"/>
    </row>
    <row r="72" spans="2:32" hidden="1">
      <c r="B72" s="266"/>
      <c r="C72" s="220"/>
      <c r="D72" s="220"/>
      <c r="E72" s="220"/>
      <c r="F72" s="220"/>
      <c r="G72" s="223"/>
      <c r="H72" s="226"/>
      <c r="I72" s="226"/>
      <c r="J72" s="216"/>
      <c r="K72" s="216"/>
      <c r="L72" s="216"/>
      <c r="M72" s="230"/>
      <c r="N72" s="234"/>
      <c r="O72" s="238"/>
      <c r="P72" s="243"/>
      <c r="Q72" s="244"/>
      <c r="R72" s="301"/>
      <c r="S72" s="250"/>
      <c r="T72" s="301"/>
      <c r="U72" s="250"/>
      <c r="V72" s="301"/>
      <c r="W72" s="250"/>
      <c r="X72" s="254"/>
      <c r="Y72" s="301"/>
      <c r="Z72" s="258"/>
      <c r="AA72" s="250"/>
      <c r="AB72" s="301"/>
      <c r="AC72" s="305"/>
      <c r="AD72" s="262"/>
      <c r="AE72" s="262"/>
      <c r="AF72" s="283"/>
    </row>
    <row r="73" spans="2:32" hidden="1">
      <c r="B73" s="267"/>
      <c r="C73" s="219"/>
      <c r="D73" s="219"/>
      <c r="E73" s="219"/>
      <c r="F73" s="219"/>
      <c r="G73" s="222"/>
      <c r="H73" s="227"/>
      <c r="I73" s="227"/>
      <c r="J73" s="217"/>
      <c r="K73" s="217"/>
      <c r="L73" s="217"/>
      <c r="M73" s="231"/>
      <c r="N73" s="235"/>
      <c r="O73" s="239"/>
      <c r="P73" s="245"/>
      <c r="Q73" s="246"/>
      <c r="R73" s="302"/>
      <c r="S73" s="251"/>
      <c r="T73" s="302"/>
      <c r="U73" s="251"/>
      <c r="V73" s="302"/>
      <c r="W73" s="251"/>
      <c r="X73" s="255"/>
      <c r="Y73" s="302"/>
      <c r="Z73" s="259"/>
      <c r="AA73" s="251"/>
      <c r="AB73" s="302"/>
      <c r="AC73" s="306"/>
      <c r="AD73" s="261"/>
      <c r="AE73" s="261"/>
      <c r="AF73" s="282"/>
    </row>
    <row r="74" spans="2:32" hidden="1">
      <c r="B74" s="266"/>
      <c r="C74" s="220"/>
      <c r="D74" s="220"/>
      <c r="E74" s="220"/>
      <c r="F74" s="220"/>
      <c r="G74" s="223"/>
      <c r="H74" s="226"/>
      <c r="I74" s="226"/>
      <c r="J74" s="216"/>
      <c r="K74" s="216"/>
      <c r="L74" s="216"/>
      <c r="M74" s="230"/>
      <c r="N74" s="234"/>
      <c r="O74" s="238"/>
      <c r="P74" s="243"/>
      <c r="Q74" s="244"/>
      <c r="R74" s="301"/>
      <c r="S74" s="250"/>
      <c r="T74" s="301"/>
      <c r="U74" s="250"/>
      <c r="V74" s="301"/>
      <c r="W74" s="250"/>
      <c r="X74" s="254"/>
      <c r="Y74" s="301"/>
      <c r="Z74" s="258"/>
      <c r="AA74" s="250"/>
      <c r="AB74" s="301"/>
      <c r="AC74" s="305"/>
      <c r="AD74" s="262"/>
      <c r="AE74" s="262"/>
      <c r="AF74" s="283"/>
    </row>
    <row r="75" spans="2:32" hidden="1">
      <c r="B75" s="267"/>
      <c r="C75" s="219"/>
      <c r="D75" s="219"/>
      <c r="E75" s="219"/>
      <c r="F75" s="219"/>
      <c r="G75" s="222"/>
      <c r="H75" s="227"/>
      <c r="I75" s="227"/>
      <c r="J75" s="217"/>
      <c r="K75" s="217"/>
      <c r="L75" s="217"/>
      <c r="M75" s="231"/>
      <c r="N75" s="235"/>
      <c r="O75" s="239"/>
      <c r="P75" s="245"/>
      <c r="Q75" s="246"/>
      <c r="R75" s="302"/>
      <c r="S75" s="251"/>
      <c r="T75" s="302"/>
      <c r="U75" s="251"/>
      <c r="V75" s="302"/>
      <c r="W75" s="251"/>
      <c r="X75" s="255"/>
      <c r="Y75" s="302"/>
      <c r="Z75" s="259"/>
      <c r="AA75" s="251"/>
      <c r="AB75" s="302"/>
      <c r="AC75" s="306"/>
      <c r="AD75" s="261"/>
      <c r="AE75" s="261"/>
      <c r="AF75" s="282"/>
    </row>
    <row r="76" spans="2:32" hidden="1">
      <c r="B76" s="266"/>
      <c r="C76" s="220"/>
      <c r="D76" s="220"/>
      <c r="E76" s="220"/>
      <c r="F76" s="220"/>
      <c r="G76" s="223"/>
      <c r="H76" s="226"/>
      <c r="I76" s="226"/>
      <c r="J76" s="216"/>
      <c r="K76" s="216"/>
      <c r="L76" s="216"/>
      <c r="M76" s="230"/>
      <c r="N76" s="234"/>
      <c r="O76" s="238"/>
      <c r="P76" s="243"/>
      <c r="Q76" s="244"/>
      <c r="R76" s="301"/>
      <c r="S76" s="250"/>
      <c r="T76" s="301"/>
      <c r="U76" s="250"/>
      <c r="V76" s="301"/>
      <c r="W76" s="250"/>
      <c r="X76" s="254"/>
      <c r="Y76" s="301"/>
      <c r="Z76" s="258"/>
      <c r="AA76" s="250"/>
      <c r="AB76" s="301"/>
      <c r="AC76" s="305"/>
      <c r="AD76" s="262"/>
      <c r="AE76" s="262"/>
      <c r="AF76" s="283"/>
    </row>
    <row r="77" spans="2:32" hidden="1">
      <c r="B77" s="267"/>
      <c r="C77" s="219"/>
      <c r="D77" s="219"/>
      <c r="E77" s="219"/>
      <c r="F77" s="219"/>
      <c r="G77" s="222"/>
      <c r="H77" s="227"/>
      <c r="I77" s="227"/>
      <c r="J77" s="217"/>
      <c r="K77" s="217"/>
      <c r="L77" s="217"/>
      <c r="M77" s="231"/>
      <c r="N77" s="235"/>
      <c r="O77" s="239"/>
      <c r="P77" s="245"/>
      <c r="Q77" s="246"/>
      <c r="R77" s="302"/>
      <c r="S77" s="251"/>
      <c r="T77" s="302"/>
      <c r="U77" s="251"/>
      <c r="V77" s="302"/>
      <c r="W77" s="251"/>
      <c r="X77" s="255"/>
      <c r="Y77" s="302"/>
      <c r="Z77" s="259"/>
      <c r="AA77" s="251"/>
      <c r="AB77" s="302"/>
      <c r="AC77" s="306"/>
      <c r="AD77" s="261"/>
      <c r="AE77" s="261"/>
      <c r="AF77" s="282"/>
    </row>
    <row r="78" spans="2:32" hidden="1">
      <c r="B78" s="266"/>
      <c r="C78" s="220"/>
      <c r="D78" s="220"/>
      <c r="E78" s="220"/>
      <c r="F78" s="220"/>
      <c r="G78" s="223"/>
      <c r="H78" s="226"/>
      <c r="I78" s="226"/>
      <c r="J78" s="216"/>
      <c r="K78" s="216"/>
      <c r="L78" s="216"/>
      <c r="M78" s="230"/>
      <c r="N78" s="234"/>
      <c r="O78" s="238"/>
      <c r="P78" s="243"/>
      <c r="Q78" s="244"/>
      <c r="R78" s="301"/>
      <c r="S78" s="250"/>
      <c r="T78" s="301"/>
      <c r="U78" s="250"/>
      <c r="V78" s="301"/>
      <c r="W78" s="250"/>
      <c r="X78" s="254"/>
      <c r="Y78" s="301"/>
      <c r="Z78" s="258"/>
      <c r="AA78" s="250"/>
      <c r="AB78" s="301"/>
      <c r="AC78" s="305"/>
      <c r="AD78" s="262"/>
      <c r="AE78" s="262"/>
      <c r="AF78" s="283"/>
    </row>
    <row r="79" spans="2:32" hidden="1">
      <c r="B79" s="267"/>
      <c r="C79" s="219"/>
      <c r="D79" s="219"/>
      <c r="E79" s="219"/>
      <c r="F79" s="219"/>
      <c r="G79" s="222"/>
      <c r="H79" s="227"/>
      <c r="I79" s="227"/>
      <c r="J79" s="217"/>
      <c r="K79" s="217"/>
      <c r="L79" s="217"/>
      <c r="M79" s="231"/>
      <c r="N79" s="235"/>
      <c r="O79" s="239"/>
      <c r="P79" s="245"/>
      <c r="Q79" s="246"/>
      <c r="R79" s="302"/>
      <c r="S79" s="251"/>
      <c r="T79" s="302"/>
      <c r="U79" s="251"/>
      <c r="V79" s="302"/>
      <c r="W79" s="251"/>
      <c r="X79" s="255"/>
      <c r="Y79" s="302"/>
      <c r="Z79" s="259"/>
      <c r="AA79" s="251"/>
      <c r="AB79" s="302"/>
      <c r="AC79" s="306"/>
      <c r="AD79" s="261"/>
      <c r="AE79" s="261"/>
      <c r="AF79" s="282"/>
    </row>
    <row r="80" spans="2:32" hidden="1">
      <c r="B80" s="266"/>
      <c r="C80" s="220"/>
      <c r="D80" s="220"/>
      <c r="E80" s="220"/>
      <c r="F80" s="220"/>
      <c r="G80" s="223"/>
      <c r="H80" s="226"/>
      <c r="I80" s="226"/>
      <c r="J80" s="216"/>
      <c r="K80" s="216"/>
      <c r="L80" s="216"/>
      <c r="M80" s="230"/>
      <c r="N80" s="234"/>
      <c r="O80" s="238"/>
      <c r="P80" s="243"/>
      <c r="Q80" s="244"/>
      <c r="R80" s="301"/>
      <c r="S80" s="250"/>
      <c r="T80" s="301"/>
      <c r="U80" s="250"/>
      <c r="V80" s="301"/>
      <c r="W80" s="250"/>
      <c r="X80" s="254"/>
      <c r="Y80" s="301"/>
      <c r="Z80" s="258"/>
      <c r="AA80" s="250"/>
      <c r="AB80" s="301"/>
      <c r="AC80" s="305"/>
      <c r="AD80" s="262"/>
      <c r="AE80" s="262"/>
      <c r="AF80" s="283"/>
    </row>
    <row r="81" spans="2:32" hidden="1">
      <c r="B81" s="267"/>
      <c r="C81" s="219"/>
      <c r="D81" s="219"/>
      <c r="E81" s="219"/>
      <c r="F81" s="219"/>
      <c r="G81" s="222"/>
      <c r="H81" s="227"/>
      <c r="I81" s="227"/>
      <c r="J81" s="217"/>
      <c r="K81" s="217"/>
      <c r="L81" s="217"/>
      <c r="M81" s="231"/>
      <c r="N81" s="235"/>
      <c r="O81" s="239"/>
      <c r="P81" s="245"/>
      <c r="Q81" s="246"/>
      <c r="R81" s="302"/>
      <c r="S81" s="251"/>
      <c r="T81" s="302"/>
      <c r="U81" s="251"/>
      <c r="V81" s="302"/>
      <c r="W81" s="251"/>
      <c r="X81" s="255"/>
      <c r="Y81" s="302"/>
      <c r="Z81" s="259"/>
      <c r="AA81" s="251"/>
      <c r="AB81" s="302"/>
      <c r="AC81" s="306"/>
      <c r="AD81" s="261"/>
      <c r="AE81" s="261"/>
      <c r="AF81" s="282"/>
    </row>
    <row r="82" spans="2:32" hidden="1">
      <c r="B82" s="266"/>
      <c r="C82" s="220"/>
      <c r="D82" s="220"/>
      <c r="E82" s="220"/>
      <c r="F82" s="220"/>
      <c r="G82" s="223"/>
      <c r="H82" s="226"/>
      <c r="I82" s="226"/>
      <c r="J82" s="216"/>
      <c r="K82" s="216"/>
      <c r="L82" s="216"/>
      <c r="M82" s="230"/>
      <c r="N82" s="234"/>
      <c r="O82" s="238"/>
      <c r="P82" s="243"/>
      <c r="Q82" s="244"/>
      <c r="R82" s="301"/>
      <c r="S82" s="250"/>
      <c r="T82" s="301"/>
      <c r="U82" s="250"/>
      <c r="V82" s="301"/>
      <c r="W82" s="250"/>
      <c r="X82" s="254"/>
      <c r="Y82" s="301"/>
      <c r="Z82" s="258"/>
      <c r="AA82" s="250"/>
      <c r="AB82" s="301"/>
      <c r="AC82" s="305"/>
      <c r="AD82" s="262"/>
      <c r="AE82" s="262"/>
      <c r="AF82" s="283"/>
    </row>
    <row r="83" spans="2:32" hidden="1">
      <c r="B83" s="267"/>
      <c r="C83" s="219"/>
      <c r="D83" s="219"/>
      <c r="E83" s="219"/>
      <c r="F83" s="219"/>
      <c r="G83" s="222"/>
      <c r="H83" s="227"/>
      <c r="I83" s="227"/>
      <c r="J83" s="217"/>
      <c r="K83" s="217"/>
      <c r="L83" s="217"/>
      <c r="M83" s="231"/>
      <c r="N83" s="235"/>
      <c r="O83" s="239"/>
      <c r="P83" s="245"/>
      <c r="Q83" s="246"/>
      <c r="R83" s="302"/>
      <c r="S83" s="251"/>
      <c r="T83" s="302"/>
      <c r="U83" s="251"/>
      <c r="V83" s="302"/>
      <c r="W83" s="251"/>
      <c r="X83" s="255"/>
      <c r="Y83" s="302"/>
      <c r="Z83" s="259"/>
      <c r="AA83" s="251"/>
      <c r="AB83" s="302"/>
      <c r="AC83" s="306"/>
      <c r="AD83" s="261"/>
      <c r="AE83" s="261"/>
      <c r="AF83" s="282"/>
    </row>
    <row r="84" spans="2:32" hidden="1">
      <c r="B84" s="266"/>
      <c r="C84" s="220"/>
      <c r="D84" s="220"/>
      <c r="E84" s="220"/>
      <c r="F84" s="220"/>
      <c r="G84" s="223"/>
      <c r="H84" s="226"/>
      <c r="I84" s="226"/>
      <c r="J84" s="216"/>
      <c r="K84" s="216"/>
      <c r="L84" s="216"/>
      <c r="M84" s="230"/>
      <c r="N84" s="234"/>
      <c r="O84" s="238"/>
      <c r="P84" s="243"/>
      <c r="Q84" s="244"/>
      <c r="R84" s="301"/>
      <c r="S84" s="250"/>
      <c r="T84" s="301"/>
      <c r="U84" s="250"/>
      <c r="V84" s="301"/>
      <c r="W84" s="250"/>
      <c r="X84" s="254"/>
      <c r="Y84" s="301"/>
      <c r="Z84" s="258"/>
      <c r="AA84" s="250"/>
      <c r="AB84" s="301"/>
      <c r="AC84" s="305"/>
      <c r="AD84" s="262"/>
      <c r="AE84" s="262"/>
      <c r="AF84" s="283"/>
    </row>
    <row r="85" spans="2:32" hidden="1">
      <c r="B85" s="267"/>
      <c r="C85" s="219"/>
      <c r="D85" s="219"/>
      <c r="E85" s="219"/>
      <c r="F85" s="219"/>
      <c r="G85" s="222"/>
      <c r="H85" s="227"/>
      <c r="I85" s="227"/>
      <c r="J85" s="217"/>
      <c r="K85" s="217"/>
      <c r="L85" s="217"/>
      <c r="M85" s="231"/>
      <c r="N85" s="235"/>
      <c r="O85" s="239"/>
      <c r="P85" s="245"/>
      <c r="Q85" s="246"/>
      <c r="R85" s="302"/>
      <c r="S85" s="251"/>
      <c r="T85" s="302"/>
      <c r="U85" s="251"/>
      <c r="V85" s="302"/>
      <c r="W85" s="251"/>
      <c r="X85" s="255"/>
      <c r="Y85" s="302"/>
      <c r="Z85" s="259"/>
      <c r="AA85" s="251"/>
      <c r="AB85" s="302"/>
      <c r="AC85" s="306"/>
      <c r="AD85" s="261"/>
      <c r="AE85" s="261"/>
      <c r="AF85" s="282"/>
    </row>
    <row r="86" spans="2:32" hidden="1">
      <c r="B86" s="266"/>
      <c r="C86" s="220"/>
      <c r="D86" s="220"/>
      <c r="E86" s="220"/>
      <c r="F86" s="220"/>
      <c r="G86" s="223"/>
      <c r="H86" s="226"/>
      <c r="I86" s="226"/>
      <c r="J86" s="216"/>
      <c r="K86" s="216"/>
      <c r="L86" s="216"/>
      <c r="M86" s="230"/>
      <c r="N86" s="234"/>
      <c r="O86" s="238"/>
      <c r="P86" s="243"/>
      <c r="Q86" s="244"/>
      <c r="R86" s="301"/>
      <c r="S86" s="250"/>
      <c r="T86" s="301"/>
      <c r="U86" s="250"/>
      <c r="V86" s="301"/>
      <c r="W86" s="250"/>
      <c r="X86" s="254"/>
      <c r="Y86" s="301"/>
      <c r="Z86" s="258"/>
      <c r="AA86" s="250"/>
      <c r="AB86" s="301"/>
      <c r="AC86" s="305"/>
      <c r="AD86" s="262"/>
      <c r="AE86" s="262"/>
      <c r="AF86" s="283"/>
    </row>
    <row r="87" spans="2:32" hidden="1">
      <c r="B87" s="267"/>
      <c r="C87" s="219"/>
      <c r="D87" s="219"/>
      <c r="E87" s="219"/>
      <c r="F87" s="219"/>
      <c r="G87" s="222"/>
      <c r="H87" s="227"/>
      <c r="I87" s="227"/>
      <c r="J87" s="217"/>
      <c r="K87" s="217"/>
      <c r="L87" s="217"/>
      <c r="M87" s="231"/>
      <c r="N87" s="235"/>
      <c r="O87" s="239"/>
      <c r="P87" s="245"/>
      <c r="Q87" s="246"/>
      <c r="R87" s="302"/>
      <c r="S87" s="251"/>
      <c r="T87" s="302"/>
      <c r="U87" s="251"/>
      <c r="V87" s="302"/>
      <c r="W87" s="251"/>
      <c r="X87" s="255"/>
      <c r="Y87" s="302"/>
      <c r="Z87" s="259"/>
      <c r="AA87" s="251"/>
      <c r="AB87" s="302"/>
      <c r="AC87" s="306"/>
      <c r="AD87" s="261"/>
      <c r="AE87" s="261"/>
      <c r="AF87" s="282"/>
    </row>
    <row r="88" spans="2:32" hidden="1">
      <c r="B88" s="266"/>
      <c r="C88" s="220"/>
      <c r="D88" s="220"/>
      <c r="E88" s="220"/>
      <c r="F88" s="220"/>
      <c r="G88" s="223"/>
      <c r="H88" s="226"/>
      <c r="I88" s="226"/>
      <c r="J88" s="216"/>
      <c r="K88" s="216"/>
      <c r="L88" s="216"/>
      <c r="M88" s="230"/>
      <c r="N88" s="234"/>
      <c r="O88" s="238"/>
      <c r="P88" s="243"/>
      <c r="Q88" s="244"/>
      <c r="R88" s="301"/>
      <c r="S88" s="250"/>
      <c r="T88" s="301"/>
      <c r="U88" s="250"/>
      <c r="V88" s="301"/>
      <c r="W88" s="250"/>
      <c r="X88" s="254"/>
      <c r="Y88" s="301"/>
      <c r="Z88" s="258"/>
      <c r="AA88" s="250"/>
      <c r="AB88" s="301"/>
      <c r="AC88" s="305"/>
      <c r="AD88" s="262"/>
      <c r="AE88" s="262"/>
      <c r="AF88" s="283"/>
    </row>
    <row r="89" spans="2:32" hidden="1">
      <c r="B89" s="267"/>
      <c r="C89" s="219"/>
      <c r="D89" s="219"/>
      <c r="E89" s="219"/>
      <c r="F89" s="219"/>
      <c r="G89" s="222"/>
      <c r="H89" s="227"/>
      <c r="I89" s="227"/>
      <c r="J89" s="217"/>
      <c r="K89" s="217"/>
      <c r="L89" s="217"/>
      <c r="M89" s="231"/>
      <c r="N89" s="235"/>
      <c r="O89" s="239"/>
      <c r="P89" s="245"/>
      <c r="Q89" s="246"/>
      <c r="R89" s="302"/>
      <c r="S89" s="251"/>
      <c r="T89" s="302"/>
      <c r="U89" s="251"/>
      <c r="V89" s="302"/>
      <c r="W89" s="251"/>
      <c r="X89" s="255"/>
      <c r="Y89" s="302"/>
      <c r="Z89" s="259"/>
      <c r="AA89" s="251"/>
      <c r="AB89" s="302"/>
      <c r="AC89" s="306"/>
      <c r="AD89" s="261"/>
      <c r="AE89" s="261"/>
      <c r="AF89" s="282"/>
    </row>
    <row r="90" spans="2:32" hidden="1">
      <c r="B90" s="266"/>
      <c r="C90" s="220"/>
      <c r="D90" s="220"/>
      <c r="E90" s="220"/>
      <c r="F90" s="220"/>
      <c r="G90" s="223"/>
      <c r="H90" s="226"/>
      <c r="I90" s="226"/>
      <c r="J90" s="216"/>
      <c r="K90" s="216"/>
      <c r="L90" s="216"/>
      <c r="M90" s="230"/>
      <c r="N90" s="234"/>
      <c r="O90" s="238"/>
      <c r="P90" s="243"/>
      <c r="Q90" s="244"/>
      <c r="R90" s="301"/>
      <c r="S90" s="250"/>
      <c r="T90" s="301"/>
      <c r="U90" s="250"/>
      <c r="V90" s="301"/>
      <c r="W90" s="250"/>
      <c r="X90" s="254"/>
      <c r="Y90" s="301"/>
      <c r="Z90" s="258"/>
      <c r="AA90" s="250"/>
      <c r="AB90" s="301"/>
      <c r="AC90" s="305"/>
      <c r="AD90" s="262"/>
      <c r="AE90" s="262"/>
      <c r="AF90" s="283"/>
    </row>
    <row r="91" spans="2:32" hidden="1">
      <c r="B91" s="267"/>
      <c r="C91" s="219"/>
      <c r="D91" s="219"/>
      <c r="E91" s="219"/>
      <c r="F91" s="219"/>
      <c r="G91" s="222"/>
      <c r="H91" s="227"/>
      <c r="I91" s="227"/>
      <c r="J91" s="217"/>
      <c r="K91" s="217"/>
      <c r="L91" s="217"/>
      <c r="M91" s="231"/>
      <c r="N91" s="235"/>
      <c r="O91" s="239"/>
      <c r="P91" s="245"/>
      <c r="Q91" s="246"/>
      <c r="R91" s="302"/>
      <c r="S91" s="251"/>
      <c r="T91" s="302"/>
      <c r="U91" s="251"/>
      <c r="V91" s="302"/>
      <c r="W91" s="251"/>
      <c r="X91" s="255"/>
      <c r="Y91" s="302"/>
      <c r="Z91" s="259"/>
      <c r="AA91" s="251"/>
      <c r="AB91" s="302"/>
      <c r="AC91" s="306"/>
      <c r="AD91" s="261"/>
      <c r="AE91" s="261"/>
      <c r="AF91" s="282"/>
    </row>
    <row r="92" spans="2:32" hidden="1">
      <c r="B92" s="266"/>
      <c r="C92" s="220"/>
      <c r="D92" s="220"/>
      <c r="E92" s="220"/>
      <c r="F92" s="220"/>
      <c r="G92" s="223"/>
      <c r="H92" s="226"/>
      <c r="I92" s="226"/>
      <c r="J92" s="216"/>
      <c r="K92" s="216"/>
      <c r="L92" s="216"/>
      <c r="M92" s="230"/>
      <c r="N92" s="234"/>
      <c r="O92" s="238"/>
      <c r="P92" s="243"/>
      <c r="Q92" s="244"/>
      <c r="R92" s="301"/>
      <c r="S92" s="250"/>
      <c r="T92" s="301"/>
      <c r="U92" s="250"/>
      <c r="V92" s="301"/>
      <c r="W92" s="250"/>
      <c r="X92" s="254"/>
      <c r="Y92" s="301"/>
      <c r="Z92" s="258"/>
      <c r="AA92" s="250"/>
      <c r="AB92" s="301"/>
      <c r="AC92" s="305"/>
      <c r="AD92" s="262"/>
      <c r="AE92" s="262"/>
      <c r="AF92" s="283"/>
    </row>
    <row r="93" spans="2:32" hidden="1">
      <c r="B93" s="267"/>
      <c r="C93" s="219"/>
      <c r="D93" s="219"/>
      <c r="E93" s="219"/>
      <c r="F93" s="219"/>
      <c r="G93" s="222"/>
      <c r="H93" s="227"/>
      <c r="I93" s="227"/>
      <c r="J93" s="217"/>
      <c r="K93" s="217"/>
      <c r="L93" s="217"/>
      <c r="M93" s="231"/>
      <c r="N93" s="235"/>
      <c r="O93" s="239"/>
      <c r="P93" s="245"/>
      <c r="Q93" s="246"/>
      <c r="R93" s="302"/>
      <c r="S93" s="251"/>
      <c r="T93" s="302"/>
      <c r="U93" s="251"/>
      <c r="V93" s="302"/>
      <c r="W93" s="251"/>
      <c r="X93" s="255"/>
      <c r="Y93" s="302"/>
      <c r="Z93" s="259"/>
      <c r="AA93" s="251"/>
      <c r="AB93" s="302"/>
      <c r="AC93" s="306"/>
      <c r="AD93" s="261"/>
      <c r="AE93" s="261"/>
      <c r="AF93" s="282"/>
    </row>
    <row r="94" spans="2:32" hidden="1">
      <c r="B94" s="266"/>
      <c r="C94" s="220"/>
      <c r="D94" s="220"/>
      <c r="E94" s="220"/>
      <c r="F94" s="220"/>
      <c r="G94" s="223"/>
      <c r="H94" s="226"/>
      <c r="I94" s="226"/>
      <c r="J94" s="216"/>
      <c r="K94" s="216"/>
      <c r="L94" s="216"/>
      <c r="M94" s="230"/>
      <c r="N94" s="234"/>
      <c r="O94" s="238"/>
      <c r="P94" s="243"/>
      <c r="Q94" s="244"/>
      <c r="R94" s="301"/>
      <c r="S94" s="250"/>
      <c r="T94" s="301"/>
      <c r="U94" s="250"/>
      <c r="V94" s="301"/>
      <c r="W94" s="250"/>
      <c r="X94" s="254"/>
      <c r="Y94" s="301"/>
      <c r="Z94" s="258"/>
      <c r="AA94" s="250"/>
      <c r="AB94" s="301"/>
      <c r="AC94" s="305"/>
      <c r="AD94" s="262"/>
      <c r="AE94" s="262"/>
      <c r="AF94" s="283"/>
    </row>
    <row r="95" spans="2:32" hidden="1">
      <c r="B95" s="267"/>
      <c r="C95" s="219"/>
      <c r="D95" s="219"/>
      <c r="E95" s="219"/>
      <c r="F95" s="219"/>
      <c r="G95" s="222"/>
      <c r="H95" s="227"/>
      <c r="I95" s="227"/>
      <c r="J95" s="217"/>
      <c r="K95" s="217"/>
      <c r="L95" s="217"/>
      <c r="M95" s="231"/>
      <c r="N95" s="235"/>
      <c r="O95" s="239"/>
      <c r="P95" s="245"/>
      <c r="Q95" s="246"/>
      <c r="R95" s="302"/>
      <c r="S95" s="251"/>
      <c r="T95" s="302"/>
      <c r="U95" s="251"/>
      <c r="V95" s="302"/>
      <c r="W95" s="251"/>
      <c r="X95" s="255"/>
      <c r="Y95" s="302"/>
      <c r="Z95" s="259"/>
      <c r="AA95" s="251"/>
      <c r="AB95" s="302"/>
      <c r="AC95" s="306"/>
      <c r="AD95" s="261"/>
      <c r="AE95" s="261"/>
      <c r="AF95" s="282"/>
    </row>
    <row r="96" spans="2:32" hidden="1">
      <c r="B96" s="266"/>
      <c r="C96" s="220"/>
      <c r="D96" s="220"/>
      <c r="E96" s="220"/>
      <c r="F96" s="220"/>
      <c r="G96" s="223"/>
      <c r="H96" s="226"/>
      <c r="I96" s="226"/>
      <c r="J96" s="216"/>
      <c r="K96" s="216"/>
      <c r="L96" s="216"/>
      <c r="M96" s="230"/>
      <c r="N96" s="234"/>
      <c r="O96" s="238"/>
      <c r="P96" s="243"/>
      <c r="Q96" s="244"/>
      <c r="R96" s="301"/>
      <c r="S96" s="250"/>
      <c r="T96" s="301"/>
      <c r="U96" s="250"/>
      <c r="V96" s="301"/>
      <c r="W96" s="250"/>
      <c r="X96" s="254"/>
      <c r="Y96" s="301"/>
      <c r="Z96" s="258"/>
      <c r="AA96" s="250"/>
      <c r="AB96" s="301"/>
      <c r="AC96" s="305"/>
      <c r="AD96" s="262"/>
      <c r="AE96" s="262"/>
      <c r="AF96" s="283"/>
    </row>
    <row r="97" spans="2:32" hidden="1">
      <c r="B97" s="267"/>
      <c r="C97" s="219"/>
      <c r="D97" s="219"/>
      <c r="E97" s="219"/>
      <c r="F97" s="219"/>
      <c r="G97" s="222"/>
      <c r="H97" s="227"/>
      <c r="I97" s="227"/>
      <c r="J97" s="217"/>
      <c r="K97" s="217"/>
      <c r="L97" s="217"/>
      <c r="M97" s="231"/>
      <c r="N97" s="235"/>
      <c r="O97" s="239"/>
      <c r="P97" s="245"/>
      <c r="Q97" s="246"/>
      <c r="R97" s="302"/>
      <c r="S97" s="251"/>
      <c r="T97" s="302"/>
      <c r="U97" s="251"/>
      <c r="V97" s="302"/>
      <c r="W97" s="251"/>
      <c r="X97" s="255"/>
      <c r="Y97" s="302"/>
      <c r="Z97" s="259"/>
      <c r="AA97" s="251"/>
      <c r="AB97" s="302"/>
      <c r="AC97" s="306"/>
      <c r="AD97" s="261"/>
      <c r="AE97" s="261"/>
      <c r="AF97" s="282"/>
    </row>
    <row r="98" spans="2:32" hidden="1">
      <c r="B98" s="266"/>
      <c r="C98" s="220"/>
      <c r="D98" s="220"/>
      <c r="E98" s="220"/>
      <c r="F98" s="220"/>
      <c r="G98" s="223"/>
      <c r="H98" s="226"/>
      <c r="I98" s="226"/>
      <c r="J98" s="216"/>
      <c r="K98" s="216"/>
      <c r="L98" s="216"/>
      <c r="M98" s="230"/>
      <c r="N98" s="234"/>
      <c r="O98" s="238"/>
      <c r="P98" s="243"/>
      <c r="Q98" s="244"/>
      <c r="R98" s="301"/>
      <c r="S98" s="250"/>
      <c r="T98" s="301"/>
      <c r="U98" s="250"/>
      <c r="V98" s="301"/>
      <c r="W98" s="250"/>
      <c r="X98" s="254"/>
      <c r="Y98" s="301"/>
      <c r="Z98" s="258"/>
      <c r="AA98" s="250"/>
      <c r="AB98" s="301"/>
      <c r="AC98" s="305"/>
      <c r="AD98" s="262"/>
      <c r="AE98" s="262"/>
      <c r="AF98" s="283"/>
    </row>
    <row r="99" spans="2:32" hidden="1">
      <c r="B99" s="267"/>
      <c r="C99" s="219"/>
      <c r="D99" s="219"/>
      <c r="E99" s="219"/>
      <c r="F99" s="219"/>
      <c r="G99" s="222"/>
      <c r="H99" s="227"/>
      <c r="I99" s="227"/>
      <c r="J99" s="217"/>
      <c r="K99" s="217"/>
      <c r="L99" s="217"/>
      <c r="M99" s="231"/>
      <c r="N99" s="235"/>
      <c r="O99" s="239"/>
      <c r="P99" s="245"/>
      <c r="Q99" s="246"/>
      <c r="R99" s="302"/>
      <c r="S99" s="251"/>
      <c r="T99" s="302"/>
      <c r="U99" s="251"/>
      <c r="V99" s="302"/>
      <c r="W99" s="251"/>
      <c r="X99" s="255"/>
      <c r="Y99" s="302"/>
      <c r="Z99" s="259"/>
      <c r="AA99" s="251"/>
      <c r="AB99" s="302"/>
      <c r="AC99" s="306"/>
      <c r="AD99" s="261"/>
      <c r="AE99" s="261"/>
      <c r="AF99" s="282"/>
    </row>
    <row r="100" spans="2:32" hidden="1">
      <c r="B100" s="266"/>
      <c r="C100" s="220"/>
      <c r="D100" s="220"/>
      <c r="E100" s="220"/>
      <c r="F100" s="220"/>
      <c r="G100" s="223"/>
      <c r="H100" s="226"/>
      <c r="I100" s="226"/>
      <c r="J100" s="216"/>
      <c r="K100" s="216"/>
      <c r="L100" s="216"/>
      <c r="M100" s="230"/>
      <c r="N100" s="234"/>
      <c r="O100" s="238"/>
      <c r="P100" s="243"/>
      <c r="Q100" s="244"/>
      <c r="R100" s="301"/>
      <c r="S100" s="250"/>
      <c r="T100" s="301"/>
      <c r="U100" s="250"/>
      <c r="V100" s="301"/>
      <c r="W100" s="250"/>
      <c r="X100" s="254"/>
      <c r="Y100" s="301"/>
      <c r="Z100" s="258"/>
      <c r="AA100" s="250"/>
      <c r="AB100" s="301"/>
      <c r="AC100" s="305"/>
      <c r="AD100" s="262"/>
      <c r="AE100" s="262"/>
      <c r="AF100" s="283"/>
    </row>
    <row r="101" spans="2:32" hidden="1">
      <c r="B101" s="267"/>
      <c r="C101" s="219"/>
      <c r="D101" s="219"/>
      <c r="E101" s="219"/>
      <c r="F101" s="219"/>
      <c r="G101" s="222"/>
      <c r="H101" s="227"/>
      <c r="I101" s="227"/>
      <c r="J101" s="217"/>
      <c r="K101" s="217"/>
      <c r="L101" s="217"/>
      <c r="M101" s="231"/>
      <c r="N101" s="235"/>
      <c r="O101" s="239"/>
      <c r="P101" s="245"/>
      <c r="Q101" s="246"/>
      <c r="R101" s="302"/>
      <c r="S101" s="251"/>
      <c r="T101" s="302"/>
      <c r="U101" s="251"/>
      <c r="V101" s="302"/>
      <c r="W101" s="251"/>
      <c r="X101" s="255"/>
      <c r="Y101" s="302"/>
      <c r="Z101" s="259"/>
      <c r="AA101" s="251"/>
      <c r="AB101" s="302"/>
      <c r="AC101" s="306"/>
      <c r="AD101" s="261"/>
      <c r="AE101" s="261"/>
      <c r="AF101" s="282"/>
    </row>
    <row r="102" spans="2:32" hidden="1">
      <c r="B102" s="266"/>
      <c r="C102" s="220"/>
      <c r="D102" s="220"/>
      <c r="E102" s="220"/>
      <c r="F102" s="220"/>
      <c r="G102" s="223"/>
      <c r="H102" s="226"/>
      <c r="I102" s="226"/>
      <c r="J102" s="216"/>
      <c r="K102" s="216"/>
      <c r="L102" s="216"/>
      <c r="M102" s="230"/>
      <c r="N102" s="234"/>
      <c r="O102" s="238"/>
      <c r="P102" s="243"/>
      <c r="Q102" s="244"/>
      <c r="R102" s="301"/>
      <c r="S102" s="250"/>
      <c r="T102" s="301"/>
      <c r="U102" s="250"/>
      <c r="V102" s="301"/>
      <c r="W102" s="250"/>
      <c r="X102" s="254"/>
      <c r="Y102" s="301"/>
      <c r="Z102" s="258"/>
      <c r="AA102" s="250"/>
      <c r="AB102" s="301"/>
      <c r="AC102" s="305"/>
      <c r="AD102" s="262"/>
      <c r="AE102" s="262"/>
      <c r="AF102" s="283"/>
    </row>
    <row r="103" spans="2:32" hidden="1">
      <c r="B103" s="267"/>
      <c r="C103" s="219"/>
      <c r="D103" s="219"/>
      <c r="E103" s="219"/>
      <c r="F103" s="219"/>
      <c r="G103" s="222"/>
      <c r="H103" s="227"/>
      <c r="I103" s="227"/>
      <c r="J103" s="217"/>
      <c r="K103" s="217"/>
      <c r="L103" s="217"/>
      <c r="M103" s="231"/>
      <c r="N103" s="235"/>
      <c r="O103" s="239"/>
      <c r="P103" s="245"/>
      <c r="Q103" s="246"/>
      <c r="R103" s="302"/>
      <c r="S103" s="251"/>
      <c r="T103" s="302"/>
      <c r="U103" s="251"/>
      <c r="V103" s="302"/>
      <c r="W103" s="251"/>
      <c r="X103" s="255"/>
      <c r="Y103" s="302"/>
      <c r="Z103" s="259"/>
      <c r="AA103" s="251"/>
      <c r="AB103" s="302"/>
      <c r="AC103" s="306"/>
      <c r="AD103" s="261"/>
      <c r="AE103" s="261"/>
      <c r="AF103" s="282"/>
    </row>
    <row r="104" spans="2:32" hidden="1">
      <c r="B104" s="266"/>
      <c r="C104" s="220"/>
      <c r="D104" s="220"/>
      <c r="E104" s="220"/>
      <c r="F104" s="220"/>
      <c r="G104" s="223"/>
      <c r="H104" s="226"/>
      <c r="I104" s="226"/>
      <c r="J104" s="216"/>
      <c r="K104" s="216"/>
      <c r="L104" s="216"/>
      <c r="M104" s="230"/>
      <c r="N104" s="234"/>
      <c r="O104" s="238"/>
      <c r="P104" s="243"/>
      <c r="Q104" s="244"/>
      <c r="R104" s="301"/>
      <c r="S104" s="250"/>
      <c r="T104" s="301"/>
      <c r="U104" s="250"/>
      <c r="V104" s="301"/>
      <c r="W104" s="250"/>
      <c r="X104" s="254"/>
      <c r="Y104" s="301"/>
      <c r="Z104" s="258"/>
      <c r="AA104" s="250"/>
      <c r="AB104" s="301"/>
      <c r="AC104" s="305"/>
      <c r="AD104" s="262"/>
      <c r="AE104" s="262"/>
      <c r="AF104" s="283"/>
    </row>
    <row r="105" spans="2:32" hidden="1">
      <c r="B105" s="267"/>
      <c r="C105" s="219"/>
      <c r="D105" s="219"/>
      <c r="E105" s="219"/>
      <c r="F105" s="219"/>
      <c r="G105" s="222"/>
      <c r="H105" s="227"/>
      <c r="I105" s="227"/>
      <c r="J105" s="217"/>
      <c r="K105" s="217"/>
      <c r="L105" s="217"/>
      <c r="M105" s="231"/>
      <c r="N105" s="235"/>
      <c r="O105" s="239"/>
      <c r="P105" s="245"/>
      <c r="Q105" s="246"/>
      <c r="R105" s="302"/>
      <c r="S105" s="251"/>
      <c r="T105" s="302"/>
      <c r="U105" s="251"/>
      <c r="V105" s="302"/>
      <c r="W105" s="251"/>
      <c r="X105" s="255"/>
      <c r="Y105" s="302"/>
      <c r="Z105" s="259"/>
      <c r="AA105" s="251"/>
      <c r="AB105" s="302"/>
      <c r="AC105" s="306"/>
      <c r="AD105" s="261"/>
      <c r="AE105" s="261"/>
      <c r="AF105" s="282"/>
    </row>
    <row r="106" spans="2:32" hidden="1">
      <c r="B106" s="266"/>
      <c r="C106" s="220"/>
      <c r="D106" s="220"/>
      <c r="E106" s="220"/>
      <c r="F106" s="220"/>
      <c r="G106" s="223"/>
      <c r="H106" s="226"/>
      <c r="I106" s="226"/>
      <c r="J106" s="216"/>
      <c r="K106" s="216"/>
      <c r="L106" s="216"/>
      <c r="M106" s="230"/>
      <c r="N106" s="234"/>
      <c r="O106" s="238"/>
      <c r="P106" s="243"/>
      <c r="Q106" s="244"/>
      <c r="R106" s="301"/>
      <c r="S106" s="250"/>
      <c r="T106" s="301"/>
      <c r="U106" s="250"/>
      <c r="V106" s="301"/>
      <c r="W106" s="250"/>
      <c r="X106" s="254"/>
      <c r="Y106" s="301"/>
      <c r="Z106" s="258"/>
      <c r="AA106" s="250"/>
      <c r="AB106" s="301"/>
      <c r="AC106" s="305"/>
      <c r="AD106" s="262"/>
      <c r="AE106" s="262"/>
      <c r="AF106" s="283"/>
    </row>
    <row r="107" spans="2:32" hidden="1">
      <c r="B107" s="267"/>
      <c r="C107" s="219"/>
      <c r="D107" s="219"/>
      <c r="E107" s="219"/>
      <c r="F107" s="219"/>
      <c r="G107" s="222"/>
      <c r="H107" s="227"/>
      <c r="I107" s="227"/>
      <c r="J107" s="217"/>
      <c r="K107" s="217"/>
      <c r="L107" s="217"/>
      <c r="M107" s="231"/>
      <c r="N107" s="235"/>
      <c r="O107" s="239"/>
      <c r="P107" s="245"/>
      <c r="Q107" s="246"/>
      <c r="R107" s="302"/>
      <c r="S107" s="251"/>
      <c r="T107" s="302"/>
      <c r="U107" s="251"/>
      <c r="V107" s="302"/>
      <c r="W107" s="251"/>
      <c r="X107" s="255"/>
      <c r="Y107" s="302"/>
      <c r="Z107" s="259"/>
      <c r="AA107" s="251"/>
      <c r="AB107" s="302"/>
      <c r="AC107" s="306"/>
      <c r="AD107" s="261"/>
      <c r="AE107" s="261"/>
      <c r="AF107" s="282"/>
    </row>
    <row r="108" spans="2:32" hidden="1">
      <c r="B108" s="266"/>
      <c r="C108" s="220"/>
      <c r="D108" s="220"/>
      <c r="E108" s="220"/>
      <c r="F108" s="220"/>
      <c r="G108" s="223"/>
      <c r="H108" s="226"/>
      <c r="I108" s="226"/>
      <c r="J108" s="216"/>
      <c r="K108" s="216"/>
      <c r="L108" s="216"/>
      <c r="M108" s="230"/>
      <c r="N108" s="234"/>
      <c r="O108" s="238"/>
      <c r="P108" s="243"/>
      <c r="Q108" s="244"/>
      <c r="R108" s="301"/>
      <c r="S108" s="250"/>
      <c r="T108" s="301"/>
      <c r="U108" s="250"/>
      <c r="V108" s="301"/>
      <c r="W108" s="250"/>
      <c r="X108" s="254"/>
      <c r="Y108" s="301"/>
      <c r="Z108" s="258"/>
      <c r="AA108" s="250"/>
      <c r="AB108" s="301"/>
      <c r="AC108" s="305"/>
      <c r="AD108" s="262"/>
      <c r="AE108" s="262"/>
      <c r="AF108" s="283"/>
    </row>
    <row r="109" spans="2:32" hidden="1">
      <c r="B109" s="267"/>
      <c r="C109" s="219"/>
      <c r="D109" s="219"/>
      <c r="E109" s="219"/>
      <c r="F109" s="219"/>
      <c r="G109" s="222"/>
      <c r="H109" s="227"/>
      <c r="I109" s="227"/>
      <c r="J109" s="217"/>
      <c r="K109" s="217"/>
      <c r="L109" s="217"/>
      <c r="M109" s="231"/>
      <c r="N109" s="235"/>
      <c r="O109" s="239"/>
      <c r="P109" s="245"/>
      <c r="Q109" s="246"/>
      <c r="R109" s="302"/>
      <c r="S109" s="251"/>
      <c r="T109" s="302"/>
      <c r="U109" s="251"/>
      <c r="V109" s="302"/>
      <c r="W109" s="251"/>
      <c r="X109" s="255"/>
      <c r="Y109" s="302"/>
      <c r="Z109" s="259"/>
      <c r="AA109" s="251"/>
      <c r="AB109" s="302"/>
      <c r="AC109" s="306"/>
      <c r="AD109" s="261"/>
      <c r="AE109" s="261"/>
      <c r="AF109" s="282"/>
    </row>
    <row r="110" spans="2:32" hidden="1">
      <c r="B110" s="266"/>
      <c r="C110" s="220"/>
      <c r="D110" s="220"/>
      <c r="E110" s="220"/>
      <c r="F110" s="220"/>
      <c r="G110" s="223"/>
      <c r="H110" s="226"/>
      <c r="I110" s="226"/>
      <c r="J110" s="216"/>
      <c r="K110" s="216"/>
      <c r="L110" s="216"/>
      <c r="M110" s="230"/>
      <c r="N110" s="234"/>
      <c r="O110" s="238"/>
      <c r="P110" s="243"/>
      <c r="Q110" s="244"/>
      <c r="R110" s="301"/>
      <c r="S110" s="250"/>
      <c r="T110" s="301"/>
      <c r="U110" s="250"/>
      <c r="V110" s="301"/>
      <c r="W110" s="250"/>
      <c r="X110" s="254"/>
      <c r="Y110" s="301"/>
      <c r="Z110" s="258"/>
      <c r="AA110" s="250"/>
      <c r="AB110" s="301"/>
      <c r="AC110" s="305"/>
      <c r="AD110" s="262"/>
      <c r="AE110" s="262"/>
      <c r="AF110" s="283"/>
    </row>
    <row r="111" spans="2:32" hidden="1">
      <c r="B111" s="267"/>
      <c r="C111" s="219"/>
      <c r="D111" s="219"/>
      <c r="E111" s="219"/>
      <c r="F111" s="219"/>
      <c r="G111" s="222"/>
      <c r="H111" s="227"/>
      <c r="I111" s="227"/>
      <c r="J111" s="217"/>
      <c r="K111" s="217"/>
      <c r="L111" s="217"/>
      <c r="M111" s="231"/>
      <c r="N111" s="235"/>
      <c r="O111" s="239"/>
      <c r="P111" s="245"/>
      <c r="Q111" s="246"/>
      <c r="R111" s="302"/>
      <c r="S111" s="251"/>
      <c r="T111" s="302"/>
      <c r="U111" s="251"/>
      <c r="V111" s="302"/>
      <c r="W111" s="251"/>
      <c r="X111" s="255"/>
      <c r="Y111" s="302"/>
      <c r="Z111" s="259"/>
      <c r="AA111" s="251"/>
      <c r="AB111" s="302"/>
      <c r="AC111" s="306"/>
      <c r="AD111" s="261"/>
      <c r="AE111" s="261"/>
      <c r="AF111" s="282"/>
    </row>
    <row r="112" spans="2:32" hidden="1">
      <c r="B112" s="266"/>
      <c r="C112" s="220"/>
      <c r="D112" s="220"/>
      <c r="E112" s="220"/>
      <c r="F112" s="220"/>
      <c r="G112" s="223"/>
      <c r="H112" s="226"/>
      <c r="I112" s="226"/>
      <c r="J112" s="216"/>
      <c r="K112" s="216"/>
      <c r="L112" s="216"/>
      <c r="M112" s="230"/>
      <c r="N112" s="234"/>
      <c r="O112" s="238"/>
      <c r="P112" s="243"/>
      <c r="Q112" s="244"/>
      <c r="R112" s="301"/>
      <c r="S112" s="250"/>
      <c r="T112" s="301"/>
      <c r="U112" s="250"/>
      <c r="V112" s="301"/>
      <c r="W112" s="250"/>
      <c r="X112" s="254"/>
      <c r="Y112" s="301"/>
      <c r="Z112" s="258"/>
      <c r="AA112" s="250"/>
      <c r="AB112" s="301"/>
      <c r="AC112" s="305"/>
      <c r="AD112" s="262"/>
      <c r="AE112" s="262"/>
      <c r="AF112" s="283"/>
    </row>
    <row r="113" spans="2:32" hidden="1">
      <c r="B113" s="267"/>
      <c r="C113" s="219"/>
      <c r="D113" s="219"/>
      <c r="E113" s="219"/>
      <c r="F113" s="219"/>
      <c r="G113" s="222"/>
      <c r="H113" s="227"/>
      <c r="I113" s="227"/>
      <c r="J113" s="217"/>
      <c r="K113" s="217"/>
      <c r="L113" s="217"/>
      <c r="M113" s="231"/>
      <c r="N113" s="235"/>
      <c r="O113" s="239"/>
      <c r="P113" s="245"/>
      <c r="Q113" s="246"/>
      <c r="R113" s="302"/>
      <c r="S113" s="251"/>
      <c r="T113" s="302"/>
      <c r="U113" s="251"/>
      <c r="V113" s="302"/>
      <c r="W113" s="251"/>
      <c r="X113" s="255"/>
      <c r="Y113" s="302"/>
      <c r="Z113" s="259"/>
      <c r="AA113" s="251"/>
      <c r="AB113" s="302"/>
      <c r="AC113" s="306"/>
      <c r="AD113" s="261"/>
      <c r="AE113" s="261"/>
      <c r="AF113" s="282"/>
    </row>
    <row r="114" spans="2:32" hidden="1">
      <c r="B114" s="266"/>
      <c r="C114" s="220"/>
      <c r="D114" s="220"/>
      <c r="E114" s="220"/>
      <c r="F114" s="220"/>
      <c r="G114" s="223"/>
      <c r="H114" s="226"/>
      <c r="I114" s="226"/>
      <c r="J114" s="216"/>
      <c r="K114" s="216"/>
      <c r="L114" s="216"/>
      <c r="M114" s="230"/>
      <c r="N114" s="234"/>
      <c r="O114" s="238"/>
      <c r="P114" s="243"/>
      <c r="Q114" s="244"/>
      <c r="R114" s="301"/>
      <c r="S114" s="250"/>
      <c r="T114" s="301"/>
      <c r="U114" s="250"/>
      <c r="V114" s="301"/>
      <c r="W114" s="250"/>
      <c r="X114" s="254"/>
      <c r="Y114" s="301"/>
      <c r="Z114" s="258"/>
      <c r="AA114" s="250"/>
      <c r="AB114" s="301"/>
      <c r="AC114" s="305"/>
      <c r="AD114" s="262"/>
      <c r="AE114" s="262"/>
      <c r="AF114" s="283"/>
    </row>
    <row r="115" spans="2:32" hidden="1">
      <c r="B115" s="267"/>
      <c r="C115" s="219"/>
      <c r="D115" s="219"/>
      <c r="E115" s="219"/>
      <c r="F115" s="219"/>
      <c r="G115" s="222"/>
      <c r="H115" s="227"/>
      <c r="I115" s="227"/>
      <c r="J115" s="217"/>
      <c r="K115" s="217"/>
      <c r="L115" s="217"/>
      <c r="M115" s="231"/>
      <c r="N115" s="235"/>
      <c r="O115" s="239"/>
      <c r="P115" s="245"/>
      <c r="Q115" s="246"/>
      <c r="R115" s="302"/>
      <c r="S115" s="251"/>
      <c r="T115" s="302"/>
      <c r="U115" s="251"/>
      <c r="V115" s="302"/>
      <c r="W115" s="251"/>
      <c r="X115" s="255"/>
      <c r="Y115" s="302"/>
      <c r="Z115" s="259"/>
      <c r="AA115" s="251"/>
      <c r="AB115" s="302"/>
      <c r="AC115" s="306"/>
      <c r="AD115" s="261"/>
      <c r="AE115" s="261"/>
      <c r="AF115" s="282"/>
    </row>
    <row r="116" spans="2:32" hidden="1">
      <c r="B116" s="266"/>
      <c r="C116" s="220"/>
      <c r="D116" s="220"/>
      <c r="E116" s="220"/>
      <c r="F116" s="220"/>
      <c r="G116" s="223"/>
      <c r="H116" s="226"/>
      <c r="I116" s="226"/>
      <c r="J116" s="216"/>
      <c r="K116" s="216"/>
      <c r="L116" s="216"/>
      <c r="M116" s="230"/>
      <c r="N116" s="234"/>
      <c r="O116" s="238"/>
      <c r="P116" s="243"/>
      <c r="Q116" s="244"/>
      <c r="R116" s="301"/>
      <c r="S116" s="250"/>
      <c r="T116" s="301"/>
      <c r="U116" s="250"/>
      <c r="V116" s="301"/>
      <c r="W116" s="250"/>
      <c r="X116" s="254"/>
      <c r="Y116" s="301"/>
      <c r="Z116" s="258"/>
      <c r="AA116" s="250"/>
      <c r="AB116" s="301"/>
      <c r="AC116" s="305"/>
      <c r="AD116" s="262"/>
      <c r="AE116" s="262"/>
      <c r="AF116" s="283"/>
    </row>
    <row r="117" spans="2:32" hidden="1">
      <c r="B117" s="267"/>
      <c r="C117" s="219"/>
      <c r="D117" s="219"/>
      <c r="E117" s="219"/>
      <c r="F117" s="219"/>
      <c r="G117" s="222"/>
      <c r="H117" s="227"/>
      <c r="I117" s="227"/>
      <c r="J117" s="217"/>
      <c r="K117" s="217"/>
      <c r="L117" s="217"/>
      <c r="M117" s="231"/>
      <c r="N117" s="235"/>
      <c r="O117" s="239"/>
      <c r="P117" s="245"/>
      <c r="Q117" s="246"/>
      <c r="R117" s="302"/>
      <c r="S117" s="251"/>
      <c r="T117" s="302"/>
      <c r="U117" s="251"/>
      <c r="V117" s="302"/>
      <c r="W117" s="251"/>
      <c r="X117" s="255"/>
      <c r="Y117" s="302"/>
      <c r="Z117" s="259"/>
      <c r="AA117" s="251"/>
      <c r="AB117" s="302"/>
      <c r="AC117" s="306"/>
      <c r="AD117" s="261"/>
      <c r="AE117" s="261"/>
      <c r="AF117" s="282"/>
    </row>
    <row r="118" spans="2:32" hidden="1">
      <c r="B118" s="266"/>
      <c r="C118" s="220"/>
      <c r="D118" s="220"/>
      <c r="E118" s="220"/>
      <c r="F118" s="220"/>
      <c r="G118" s="223"/>
      <c r="H118" s="226"/>
      <c r="I118" s="226"/>
      <c r="J118" s="216"/>
      <c r="K118" s="216"/>
      <c r="L118" s="216"/>
      <c r="M118" s="230"/>
      <c r="N118" s="234"/>
      <c r="O118" s="238"/>
      <c r="P118" s="243"/>
      <c r="Q118" s="244"/>
      <c r="R118" s="301"/>
      <c r="S118" s="250"/>
      <c r="T118" s="301"/>
      <c r="U118" s="250"/>
      <c r="V118" s="301"/>
      <c r="W118" s="250"/>
      <c r="X118" s="254"/>
      <c r="Y118" s="301"/>
      <c r="Z118" s="258"/>
      <c r="AA118" s="250"/>
      <c r="AB118" s="301"/>
      <c r="AC118" s="305"/>
      <c r="AD118" s="262"/>
      <c r="AE118" s="262"/>
      <c r="AF118" s="283"/>
    </row>
    <row r="119" spans="2:32" hidden="1">
      <c r="B119" s="267"/>
      <c r="C119" s="219"/>
      <c r="D119" s="219"/>
      <c r="E119" s="219"/>
      <c r="F119" s="219"/>
      <c r="G119" s="222"/>
      <c r="H119" s="227"/>
      <c r="I119" s="227"/>
      <c r="J119" s="217"/>
      <c r="K119" s="217"/>
      <c r="L119" s="217"/>
      <c r="M119" s="231"/>
      <c r="N119" s="235"/>
      <c r="O119" s="239"/>
      <c r="P119" s="245"/>
      <c r="Q119" s="246"/>
      <c r="R119" s="302"/>
      <c r="S119" s="251"/>
      <c r="T119" s="302"/>
      <c r="U119" s="251"/>
      <c r="V119" s="302"/>
      <c r="W119" s="251"/>
      <c r="X119" s="255"/>
      <c r="Y119" s="302"/>
      <c r="Z119" s="259"/>
      <c r="AA119" s="251"/>
      <c r="AB119" s="302"/>
      <c r="AC119" s="306"/>
      <c r="AD119" s="261"/>
      <c r="AE119" s="261"/>
      <c r="AF119" s="282"/>
    </row>
    <row r="120" spans="2:32" hidden="1">
      <c r="B120" s="266"/>
      <c r="C120" s="220"/>
      <c r="D120" s="220"/>
      <c r="E120" s="220"/>
      <c r="F120" s="220"/>
      <c r="G120" s="223"/>
      <c r="H120" s="226"/>
      <c r="I120" s="226"/>
      <c r="J120" s="216"/>
      <c r="K120" s="216"/>
      <c r="L120" s="216"/>
      <c r="M120" s="230"/>
      <c r="N120" s="234"/>
      <c r="O120" s="238"/>
      <c r="P120" s="243"/>
      <c r="Q120" s="244"/>
      <c r="R120" s="301"/>
      <c r="S120" s="250"/>
      <c r="T120" s="301"/>
      <c r="U120" s="250"/>
      <c r="V120" s="301"/>
      <c r="W120" s="250"/>
      <c r="X120" s="254"/>
      <c r="Y120" s="301"/>
      <c r="Z120" s="258"/>
      <c r="AA120" s="250"/>
      <c r="AB120" s="301"/>
      <c r="AC120" s="305"/>
      <c r="AD120" s="262"/>
      <c r="AE120" s="262"/>
      <c r="AF120" s="283"/>
    </row>
    <row r="121" spans="2:32" hidden="1">
      <c r="B121" s="267"/>
      <c r="C121" s="219"/>
      <c r="D121" s="219"/>
      <c r="E121" s="219"/>
      <c r="F121" s="219"/>
      <c r="G121" s="222"/>
      <c r="H121" s="227"/>
      <c r="I121" s="227"/>
      <c r="J121" s="217"/>
      <c r="K121" s="217"/>
      <c r="L121" s="217"/>
      <c r="M121" s="231"/>
      <c r="N121" s="235"/>
      <c r="O121" s="239"/>
      <c r="P121" s="245"/>
      <c r="Q121" s="246"/>
      <c r="R121" s="302"/>
      <c r="S121" s="251"/>
      <c r="T121" s="302"/>
      <c r="U121" s="251"/>
      <c r="V121" s="302"/>
      <c r="W121" s="251"/>
      <c r="X121" s="255"/>
      <c r="Y121" s="302"/>
      <c r="Z121" s="259"/>
      <c r="AA121" s="251"/>
      <c r="AB121" s="302"/>
      <c r="AC121" s="306"/>
      <c r="AD121" s="261"/>
      <c r="AE121" s="261"/>
      <c r="AF121" s="282"/>
    </row>
    <row r="122" spans="2:32" hidden="1">
      <c r="B122" s="266"/>
      <c r="C122" s="220"/>
      <c r="D122" s="220"/>
      <c r="E122" s="220"/>
      <c r="F122" s="220"/>
      <c r="G122" s="223"/>
      <c r="H122" s="226"/>
      <c r="I122" s="226"/>
      <c r="J122" s="216"/>
      <c r="K122" s="216"/>
      <c r="L122" s="216"/>
      <c r="M122" s="230"/>
      <c r="N122" s="234"/>
      <c r="O122" s="238"/>
      <c r="P122" s="243"/>
      <c r="Q122" s="244"/>
      <c r="R122" s="301"/>
      <c r="S122" s="250"/>
      <c r="T122" s="301"/>
      <c r="U122" s="250"/>
      <c r="V122" s="301"/>
      <c r="W122" s="250"/>
      <c r="X122" s="254"/>
      <c r="Y122" s="301"/>
      <c r="Z122" s="258"/>
      <c r="AA122" s="250"/>
      <c r="AB122" s="301"/>
      <c r="AC122" s="305"/>
      <c r="AD122" s="262"/>
      <c r="AE122" s="262"/>
      <c r="AF122" s="283"/>
    </row>
    <row r="123" spans="2:32" hidden="1">
      <c r="B123" s="267"/>
      <c r="C123" s="219"/>
      <c r="D123" s="219"/>
      <c r="E123" s="219"/>
      <c r="F123" s="219"/>
      <c r="G123" s="222"/>
      <c r="H123" s="227"/>
      <c r="I123" s="227"/>
      <c r="J123" s="217"/>
      <c r="K123" s="217"/>
      <c r="L123" s="217"/>
      <c r="M123" s="231"/>
      <c r="N123" s="235"/>
      <c r="O123" s="239"/>
      <c r="P123" s="245"/>
      <c r="Q123" s="246"/>
      <c r="R123" s="302"/>
      <c r="S123" s="251"/>
      <c r="T123" s="302"/>
      <c r="U123" s="251"/>
      <c r="V123" s="302"/>
      <c r="W123" s="251"/>
      <c r="X123" s="255"/>
      <c r="Y123" s="302"/>
      <c r="Z123" s="259"/>
      <c r="AA123" s="251"/>
      <c r="AB123" s="302"/>
      <c r="AC123" s="306"/>
      <c r="AD123" s="261"/>
      <c r="AE123" s="261"/>
      <c r="AF123" s="282"/>
    </row>
    <row r="124" spans="2:32" hidden="1">
      <c r="B124" s="266"/>
      <c r="C124" s="220"/>
      <c r="D124" s="220"/>
      <c r="E124" s="220"/>
      <c r="F124" s="220"/>
      <c r="G124" s="223"/>
      <c r="H124" s="226"/>
      <c r="I124" s="226"/>
      <c r="J124" s="216"/>
      <c r="K124" s="216"/>
      <c r="L124" s="216"/>
      <c r="M124" s="230"/>
      <c r="N124" s="234"/>
      <c r="O124" s="238"/>
      <c r="P124" s="243"/>
      <c r="Q124" s="244"/>
      <c r="R124" s="301"/>
      <c r="S124" s="250"/>
      <c r="T124" s="301"/>
      <c r="U124" s="250"/>
      <c r="V124" s="301"/>
      <c r="W124" s="250"/>
      <c r="X124" s="254"/>
      <c r="Y124" s="301"/>
      <c r="Z124" s="258"/>
      <c r="AA124" s="250"/>
      <c r="AB124" s="301"/>
      <c r="AC124" s="305"/>
      <c r="AD124" s="262"/>
      <c r="AE124" s="262"/>
      <c r="AF124" s="283"/>
    </row>
    <row r="125" spans="2:32" hidden="1">
      <c r="B125" s="267"/>
      <c r="C125" s="219"/>
      <c r="D125" s="219"/>
      <c r="E125" s="219"/>
      <c r="F125" s="219"/>
      <c r="G125" s="222"/>
      <c r="H125" s="227"/>
      <c r="I125" s="227"/>
      <c r="J125" s="217"/>
      <c r="K125" s="217"/>
      <c r="L125" s="217"/>
      <c r="M125" s="231"/>
      <c r="N125" s="235"/>
      <c r="O125" s="239"/>
      <c r="P125" s="245"/>
      <c r="Q125" s="246"/>
      <c r="R125" s="302"/>
      <c r="S125" s="251"/>
      <c r="T125" s="302"/>
      <c r="U125" s="251"/>
      <c r="V125" s="302"/>
      <c r="W125" s="251"/>
      <c r="X125" s="255"/>
      <c r="Y125" s="302"/>
      <c r="Z125" s="259"/>
      <c r="AA125" s="251"/>
      <c r="AB125" s="302"/>
      <c r="AC125" s="306"/>
      <c r="AD125" s="261"/>
      <c r="AE125" s="261"/>
      <c r="AF125" s="282"/>
    </row>
    <row r="126" spans="2:32" hidden="1">
      <c r="B126" s="266"/>
      <c r="C126" s="220"/>
      <c r="D126" s="220"/>
      <c r="E126" s="220"/>
      <c r="F126" s="220"/>
      <c r="G126" s="223"/>
      <c r="H126" s="226"/>
      <c r="I126" s="226"/>
      <c r="J126" s="216"/>
      <c r="K126" s="216"/>
      <c r="L126" s="216"/>
      <c r="M126" s="230"/>
      <c r="N126" s="234"/>
      <c r="O126" s="238"/>
      <c r="P126" s="243"/>
      <c r="Q126" s="244"/>
      <c r="R126" s="301"/>
      <c r="S126" s="250"/>
      <c r="T126" s="301"/>
      <c r="U126" s="250"/>
      <c r="V126" s="301"/>
      <c r="W126" s="250"/>
      <c r="X126" s="254"/>
      <c r="Y126" s="301"/>
      <c r="Z126" s="258"/>
      <c r="AA126" s="250"/>
      <c r="AB126" s="301"/>
      <c r="AC126" s="305"/>
      <c r="AD126" s="262"/>
      <c r="AE126" s="262"/>
      <c r="AF126" s="283"/>
    </row>
    <row r="127" spans="2:32" hidden="1">
      <c r="B127" s="267"/>
      <c r="C127" s="219"/>
      <c r="D127" s="219"/>
      <c r="E127" s="219"/>
      <c r="F127" s="219"/>
      <c r="G127" s="222"/>
      <c r="H127" s="227"/>
      <c r="I127" s="227"/>
      <c r="J127" s="217"/>
      <c r="K127" s="217"/>
      <c r="L127" s="217"/>
      <c r="M127" s="231"/>
      <c r="N127" s="235"/>
      <c r="O127" s="239"/>
      <c r="P127" s="245"/>
      <c r="Q127" s="246"/>
      <c r="R127" s="302"/>
      <c r="S127" s="251"/>
      <c r="T127" s="302"/>
      <c r="U127" s="251"/>
      <c r="V127" s="302"/>
      <c r="W127" s="251"/>
      <c r="X127" s="255"/>
      <c r="Y127" s="302"/>
      <c r="Z127" s="259"/>
      <c r="AA127" s="251"/>
      <c r="AB127" s="302"/>
      <c r="AC127" s="306"/>
      <c r="AD127" s="261"/>
      <c r="AE127" s="261"/>
      <c r="AF127" s="282"/>
    </row>
    <row r="128" spans="2:32" hidden="1">
      <c r="B128" s="266"/>
      <c r="C128" s="220"/>
      <c r="D128" s="220"/>
      <c r="E128" s="220"/>
      <c r="F128" s="220"/>
      <c r="G128" s="223"/>
      <c r="H128" s="226"/>
      <c r="I128" s="226"/>
      <c r="J128" s="216"/>
      <c r="K128" s="216"/>
      <c r="L128" s="216"/>
      <c r="M128" s="230"/>
      <c r="N128" s="234"/>
      <c r="O128" s="238"/>
      <c r="P128" s="243"/>
      <c r="Q128" s="244"/>
      <c r="R128" s="301"/>
      <c r="S128" s="250"/>
      <c r="T128" s="301"/>
      <c r="U128" s="250"/>
      <c r="V128" s="301"/>
      <c r="W128" s="250"/>
      <c r="X128" s="254"/>
      <c r="Y128" s="301"/>
      <c r="Z128" s="258"/>
      <c r="AA128" s="250"/>
      <c r="AB128" s="301"/>
      <c r="AC128" s="305"/>
      <c r="AD128" s="262"/>
      <c r="AE128" s="262"/>
      <c r="AF128" s="283"/>
    </row>
    <row r="129" spans="2:32" hidden="1">
      <c r="B129" s="267"/>
      <c r="C129" s="219"/>
      <c r="D129" s="219"/>
      <c r="E129" s="219"/>
      <c r="F129" s="219"/>
      <c r="G129" s="222"/>
      <c r="H129" s="227"/>
      <c r="I129" s="227"/>
      <c r="J129" s="217"/>
      <c r="K129" s="217"/>
      <c r="L129" s="217"/>
      <c r="M129" s="231"/>
      <c r="N129" s="235"/>
      <c r="O129" s="239"/>
      <c r="P129" s="245"/>
      <c r="Q129" s="246"/>
      <c r="R129" s="302"/>
      <c r="S129" s="251"/>
      <c r="T129" s="302"/>
      <c r="U129" s="251"/>
      <c r="V129" s="302"/>
      <c r="W129" s="251"/>
      <c r="X129" s="255"/>
      <c r="Y129" s="302"/>
      <c r="Z129" s="259"/>
      <c r="AA129" s="251"/>
      <c r="AB129" s="302"/>
      <c r="AC129" s="306"/>
      <c r="AD129" s="261"/>
      <c r="AE129" s="261"/>
      <c r="AF129" s="282"/>
    </row>
    <row r="130" spans="2:32" hidden="1">
      <c r="B130" s="266"/>
      <c r="C130" s="220"/>
      <c r="D130" s="220"/>
      <c r="E130" s="220"/>
      <c r="F130" s="220"/>
      <c r="G130" s="223"/>
      <c r="H130" s="226"/>
      <c r="I130" s="226"/>
      <c r="J130" s="216"/>
      <c r="K130" s="216"/>
      <c r="L130" s="216"/>
      <c r="M130" s="230"/>
      <c r="N130" s="234"/>
      <c r="O130" s="238"/>
      <c r="P130" s="243"/>
      <c r="Q130" s="244"/>
      <c r="R130" s="301"/>
      <c r="S130" s="250"/>
      <c r="T130" s="301"/>
      <c r="U130" s="250"/>
      <c r="V130" s="301"/>
      <c r="W130" s="250"/>
      <c r="X130" s="254"/>
      <c r="Y130" s="301"/>
      <c r="Z130" s="258"/>
      <c r="AA130" s="250"/>
      <c r="AB130" s="301"/>
      <c r="AC130" s="305"/>
      <c r="AD130" s="262"/>
      <c r="AE130" s="262"/>
      <c r="AF130" s="283"/>
    </row>
    <row r="131" spans="2:32" hidden="1">
      <c r="B131" s="267"/>
      <c r="C131" s="219"/>
      <c r="D131" s="219"/>
      <c r="E131" s="219"/>
      <c r="F131" s="219"/>
      <c r="G131" s="222"/>
      <c r="H131" s="227"/>
      <c r="I131" s="227"/>
      <c r="J131" s="217"/>
      <c r="K131" s="217"/>
      <c r="L131" s="217"/>
      <c r="M131" s="231"/>
      <c r="N131" s="235"/>
      <c r="O131" s="239"/>
      <c r="P131" s="245"/>
      <c r="Q131" s="246"/>
      <c r="R131" s="302"/>
      <c r="S131" s="251"/>
      <c r="T131" s="302"/>
      <c r="U131" s="251"/>
      <c r="V131" s="302"/>
      <c r="W131" s="251"/>
      <c r="X131" s="255"/>
      <c r="Y131" s="302"/>
      <c r="Z131" s="259"/>
      <c r="AA131" s="251"/>
      <c r="AB131" s="302"/>
      <c r="AC131" s="306"/>
      <c r="AD131" s="261"/>
      <c r="AE131" s="261"/>
      <c r="AF131" s="282"/>
    </row>
    <row r="132" spans="2:32" hidden="1">
      <c r="B132" s="266"/>
      <c r="C132" s="220"/>
      <c r="D132" s="220"/>
      <c r="E132" s="220"/>
      <c r="F132" s="220"/>
      <c r="G132" s="223"/>
      <c r="H132" s="226"/>
      <c r="I132" s="226"/>
      <c r="J132" s="216"/>
      <c r="K132" s="216"/>
      <c r="L132" s="216"/>
      <c r="M132" s="230"/>
      <c r="N132" s="234"/>
      <c r="O132" s="238"/>
      <c r="P132" s="243"/>
      <c r="Q132" s="244"/>
      <c r="R132" s="301"/>
      <c r="S132" s="250"/>
      <c r="T132" s="301"/>
      <c r="U132" s="250"/>
      <c r="V132" s="301"/>
      <c r="W132" s="250"/>
      <c r="X132" s="254"/>
      <c r="Y132" s="301"/>
      <c r="Z132" s="258"/>
      <c r="AA132" s="250"/>
      <c r="AB132" s="301"/>
      <c r="AC132" s="305"/>
      <c r="AD132" s="262"/>
      <c r="AE132" s="262"/>
      <c r="AF132" s="283"/>
    </row>
    <row r="133" spans="2:32" hidden="1">
      <c r="B133" s="267"/>
      <c r="C133" s="219"/>
      <c r="D133" s="219"/>
      <c r="E133" s="219"/>
      <c r="F133" s="219"/>
      <c r="G133" s="222"/>
      <c r="H133" s="227"/>
      <c r="I133" s="227"/>
      <c r="J133" s="217"/>
      <c r="K133" s="217"/>
      <c r="L133" s="217"/>
      <c r="M133" s="231"/>
      <c r="N133" s="235"/>
      <c r="O133" s="239"/>
      <c r="P133" s="245"/>
      <c r="Q133" s="246"/>
      <c r="R133" s="302"/>
      <c r="S133" s="251"/>
      <c r="T133" s="302"/>
      <c r="U133" s="251"/>
      <c r="V133" s="302"/>
      <c r="W133" s="251"/>
      <c r="X133" s="255"/>
      <c r="Y133" s="302"/>
      <c r="Z133" s="259"/>
      <c r="AA133" s="251"/>
      <c r="AB133" s="302"/>
      <c r="AC133" s="306"/>
      <c r="AD133" s="261"/>
      <c r="AE133" s="261"/>
      <c r="AF133" s="282"/>
    </row>
    <row r="134" spans="2:32" hidden="1">
      <c r="B134" s="266"/>
      <c r="C134" s="220"/>
      <c r="D134" s="220"/>
      <c r="E134" s="220"/>
      <c r="F134" s="220"/>
      <c r="G134" s="223"/>
      <c r="H134" s="226"/>
      <c r="I134" s="226"/>
      <c r="J134" s="216"/>
      <c r="K134" s="216"/>
      <c r="L134" s="216"/>
      <c r="M134" s="230"/>
      <c r="N134" s="234"/>
      <c r="O134" s="238"/>
      <c r="P134" s="243"/>
      <c r="Q134" s="244"/>
      <c r="R134" s="301"/>
      <c r="S134" s="250"/>
      <c r="T134" s="301"/>
      <c r="U134" s="250"/>
      <c r="V134" s="301"/>
      <c r="W134" s="250"/>
      <c r="X134" s="254"/>
      <c r="Y134" s="301"/>
      <c r="Z134" s="258"/>
      <c r="AA134" s="250"/>
      <c r="AB134" s="301"/>
      <c r="AC134" s="305"/>
      <c r="AD134" s="262"/>
      <c r="AE134" s="262"/>
      <c r="AF134" s="283"/>
    </row>
    <row r="135" spans="2:32" hidden="1">
      <c r="B135" s="267"/>
      <c r="C135" s="219"/>
      <c r="D135" s="219"/>
      <c r="E135" s="219"/>
      <c r="F135" s="219"/>
      <c r="G135" s="222"/>
      <c r="H135" s="227"/>
      <c r="I135" s="227"/>
      <c r="J135" s="217"/>
      <c r="K135" s="217"/>
      <c r="L135" s="217"/>
      <c r="M135" s="231"/>
      <c r="N135" s="235"/>
      <c r="O135" s="239"/>
      <c r="P135" s="245"/>
      <c r="Q135" s="246"/>
      <c r="R135" s="302"/>
      <c r="S135" s="251"/>
      <c r="T135" s="302"/>
      <c r="U135" s="251"/>
      <c r="V135" s="302"/>
      <c r="W135" s="251"/>
      <c r="X135" s="255"/>
      <c r="Y135" s="302"/>
      <c r="Z135" s="259"/>
      <c r="AA135" s="251"/>
      <c r="AB135" s="302"/>
      <c r="AC135" s="306"/>
      <c r="AD135" s="261"/>
      <c r="AE135" s="261"/>
      <c r="AF135" s="282"/>
    </row>
    <row r="136" spans="2:32" hidden="1">
      <c r="B136" s="266"/>
      <c r="C136" s="220"/>
      <c r="D136" s="220"/>
      <c r="E136" s="220"/>
      <c r="F136" s="220"/>
      <c r="G136" s="223"/>
      <c r="H136" s="226"/>
      <c r="I136" s="226"/>
      <c r="J136" s="216"/>
      <c r="K136" s="216"/>
      <c r="L136" s="216"/>
      <c r="M136" s="230"/>
      <c r="N136" s="234"/>
      <c r="O136" s="238"/>
      <c r="P136" s="243"/>
      <c r="Q136" s="244"/>
      <c r="R136" s="301"/>
      <c r="S136" s="250"/>
      <c r="T136" s="301"/>
      <c r="U136" s="250"/>
      <c r="V136" s="301"/>
      <c r="W136" s="250"/>
      <c r="X136" s="254"/>
      <c r="Y136" s="301"/>
      <c r="Z136" s="258"/>
      <c r="AA136" s="250"/>
      <c r="AB136" s="301"/>
      <c r="AC136" s="305"/>
      <c r="AD136" s="262"/>
      <c r="AE136" s="262"/>
      <c r="AF136" s="283"/>
    </row>
    <row r="137" spans="2:32" hidden="1">
      <c r="B137" s="267"/>
      <c r="C137" s="219"/>
      <c r="D137" s="219"/>
      <c r="E137" s="219"/>
      <c r="F137" s="219"/>
      <c r="G137" s="222"/>
      <c r="H137" s="227"/>
      <c r="I137" s="227"/>
      <c r="J137" s="217"/>
      <c r="K137" s="217"/>
      <c r="L137" s="217"/>
      <c r="M137" s="231"/>
      <c r="N137" s="235"/>
      <c r="O137" s="239"/>
      <c r="P137" s="245"/>
      <c r="Q137" s="246"/>
      <c r="R137" s="302"/>
      <c r="S137" s="251"/>
      <c r="T137" s="302"/>
      <c r="U137" s="251"/>
      <c r="V137" s="302"/>
      <c r="W137" s="251"/>
      <c r="X137" s="255"/>
      <c r="Y137" s="302"/>
      <c r="Z137" s="259"/>
      <c r="AA137" s="251"/>
      <c r="AB137" s="302"/>
      <c r="AC137" s="306"/>
      <c r="AD137" s="261"/>
      <c r="AE137" s="261"/>
      <c r="AF137" s="282"/>
    </row>
    <row r="138" spans="2:32" hidden="1">
      <c r="B138" s="266"/>
      <c r="C138" s="220"/>
      <c r="D138" s="220"/>
      <c r="E138" s="220"/>
      <c r="F138" s="220"/>
      <c r="G138" s="223"/>
      <c r="H138" s="226"/>
      <c r="I138" s="226"/>
      <c r="J138" s="216"/>
      <c r="K138" s="216"/>
      <c r="L138" s="216"/>
      <c r="M138" s="230"/>
      <c r="N138" s="234"/>
      <c r="O138" s="238"/>
      <c r="P138" s="243"/>
      <c r="Q138" s="244"/>
      <c r="R138" s="301"/>
      <c r="S138" s="250"/>
      <c r="T138" s="301"/>
      <c r="U138" s="250"/>
      <c r="V138" s="301"/>
      <c r="W138" s="250"/>
      <c r="X138" s="254"/>
      <c r="Y138" s="301"/>
      <c r="Z138" s="258"/>
      <c r="AA138" s="250"/>
      <c r="AB138" s="301"/>
      <c r="AC138" s="305"/>
      <c r="AD138" s="262"/>
      <c r="AE138" s="262"/>
      <c r="AF138" s="283"/>
    </row>
    <row r="139" spans="2:32" hidden="1">
      <c r="B139" s="267"/>
      <c r="C139" s="219"/>
      <c r="D139" s="219"/>
      <c r="E139" s="219"/>
      <c r="F139" s="219"/>
      <c r="G139" s="222"/>
      <c r="H139" s="227"/>
      <c r="I139" s="227"/>
      <c r="J139" s="217"/>
      <c r="K139" s="217"/>
      <c r="L139" s="217"/>
      <c r="M139" s="231"/>
      <c r="N139" s="235"/>
      <c r="O139" s="239"/>
      <c r="P139" s="245"/>
      <c r="Q139" s="246"/>
      <c r="R139" s="302"/>
      <c r="S139" s="251"/>
      <c r="T139" s="302"/>
      <c r="U139" s="251"/>
      <c r="V139" s="302"/>
      <c r="W139" s="251"/>
      <c r="X139" s="255"/>
      <c r="Y139" s="302"/>
      <c r="Z139" s="259"/>
      <c r="AA139" s="251"/>
      <c r="AB139" s="302"/>
      <c r="AC139" s="306"/>
      <c r="AD139" s="261"/>
      <c r="AE139" s="261"/>
      <c r="AF139" s="282"/>
    </row>
    <row r="140" spans="2:32" hidden="1">
      <c r="B140" s="266"/>
      <c r="C140" s="220"/>
      <c r="D140" s="220"/>
      <c r="E140" s="220"/>
      <c r="F140" s="220"/>
      <c r="G140" s="223"/>
      <c r="H140" s="226"/>
      <c r="I140" s="226"/>
      <c r="J140" s="216"/>
      <c r="K140" s="216"/>
      <c r="L140" s="216"/>
      <c r="M140" s="230"/>
      <c r="N140" s="234"/>
      <c r="O140" s="238"/>
      <c r="P140" s="243"/>
      <c r="Q140" s="244"/>
      <c r="R140" s="301"/>
      <c r="S140" s="250"/>
      <c r="T140" s="301"/>
      <c r="U140" s="250"/>
      <c r="V140" s="301"/>
      <c r="W140" s="250"/>
      <c r="X140" s="254"/>
      <c r="Y140" s="301"/>
      <c r="Z140" s="258"/>
      <c r="AA140" s="250"/>
      <c r="AB140" s="301"/>
      <c r="AC140" s="305"/>
      <c r="AD140" s="262"/>
      <c r="AE140" s="262"/>
      <c r="AF140" s="283"/>
    </row>
    <row r="141" spans="2:32" hidden="1">
      <c r="B141" s="267"/>
      <c r="C141" s="219"/>
      <c r="D141" s="219"/>
      <c r="E141" s="219"/>
      <c r="F141" s="219"/>
      <c r="G141" s="222"/>
      <c r="H141" s="227"/>
      <c r="I141" s="227"/>
      <c r="J141" s="217"/>
      <c r="K141" s="217"/>
      <c r="L141" s="217"/>
      <c r="M141" s="231"/>
      <c r="N141" s="235"/>
      <c r="O141" s="239"/>
      <c r="P141" s="245"/>
      <c r="Q141" s="246"/>
      <c r="R141" s="302"/>
      <c r="S141" s="251"/>
      <c r="T141" s="302"/>
      <c r="U141" s="251"/>
      <c r="V141" s="302"/>
      <c r="W141" s="251"/>
      <c r="X141" s="255"/>
      <c r="Y141" s="302"/>
      <c r="Z141" s="259"/>
      <c r="AA141" s="251"/>
      <c r="AB141" s="302"/>
      <c r="AC141" s="306"/>
      <c r="AD141" s="261"/>
      <c r="AE141" s="261"/>
      <c r="AF141" s="282"/>
    </row>
    <row r="142" spans="2:32" hidden="1">
      <c r="B142" s="266"/>
      <c r="C142" s="220"/>
      <c r="D142" s="220"/>
      <c r="E142" s="220"/>
      <c r="F142" s="220"/>
      <c r="G142" s="223"/>
      <c r="H142" s="226"/>
      <c r="I142" s="226"/>
      <c r="J142" s="216"/>
      <c r="K142" s="216"/>
      <c r="L142" s="216"/>
      <c r="M142" s="230"/>
      <c r="N142" s="234"/>
      <c r="O142" s="238"/>
      <c r="P142" s="243"/>
      <c r="Q142" s="244"/>
      <c r="R142" s="301"/>
      <c r="S142" s="250"/>
      <c r="T142" s="301"/>
      <c r="U142" s="250"/>
      <c r="V142" s="301"/>
      <c r="W142" s="250"/>
      <c r="X142" s="254"/>
      <c r="Y142" s="301"/>
      <c r="Z142" s="258"/>
      <c r="AA142" s="250"/>
      <c r="AB142" s="301"/>
      <c r="AC142" s="305"/>
      <c r="AD142" s="262"/>
      <c r="AE142" s="262"/>
      <c r="AF142" s="283"/>
    </row>
    <row r="143" spans="2:32" hidden="1">
      <c r="B143" s="267"/>
      <c r="C143" s="219"/>
      <c r="D143" s="219"/>
      <c r="E143" s="219"/>
      <c r="F143" s="219"/>
      <c r="G143" s="222"/>
      <c r="H143" s="227"/>
      <c r="I143" s="227"/>
      <c r="J143" s="217"/>
      <c r="K143" s="217"/>
      <c r="L143" s="217"/>
      <c r="M143" s="231"/>
      <c r="N143" s="235"/>
      <c r="O143" s="239"/>
      <c r="P143" s="245"/>
      <c r="Q143" s="246"/>
      <c r="R143" s="302"/>
      <c r="S143" s="251"/>
      <c r="T143" s="302"/>
      <c r="U143" s="251"/>
      <c r="V143" s="302"/>
      <c r="W143" s="251"/>
      <c r="X143" s="255"/>
      <c r="Y143" s="302"/>
      <c r="Z143" s="259"/>
      <c r="AA143" s="251"/>
      <c r="AB143" s="302"/>
      <c r="AC143" s="306"/>
      <c r="AD143" s="261"/>
      <c r="AE143" s="261"/>
      <c r="AF143" s="282"/>
    </row>
    <row r="144" spans="2:32" hidden="1">
      <c r="B144" s="266"/>
      <c r="C144" s="220"/>
      <c r="D144" s="220"/>
      <c r="E144" s="220"/>
      <c r="F144" s="220"/>
      <c r="G144" s="223"/>
      <c r="H144" s="226"/>
      <c r="I144" s="226"/>
      <c r="J144" s="216"/>
      <c r="K144" s="216"/>
      <c r="L144" s="216"/>
      <c r="M144" s="230"/>
      <c r="N144" s="234"/>
      <c r="O144" s="238"/>
      <c r="P144" s="243"/>
      <c r="Q144" s="244"/>
      <c r="R144" s="301"/>
      <c r="S144" s="250"/>
      <c r="T144" s="301"/>
      <c r="U144" s="250"/>
      <c r="V144" s="301"/>
      <c r="W144" s="250"/>
      <c r="X144" s="254"/>
      <c r="Y144" s="301"/>
      <c r="Z144" s="258"/>
      <c r="AA144" s="250"/>
      <c r="AB144" s="301"/>
      <c r="AC144" s="305"/>
      <c r="AD144" s="262"/>
      <c r="AE144" s="262"/>
      <c r="AF144" s="283"/>
    </row>
    <row r="145" spans="2:32" hidden="1">
      <c r="B145" s="267"/>
      <c r="C145" s="219"/>
      <c r="D145" s="219"/>
      <c r="E145" s="219"/>
      <c r="F145" s="219"/>
      <c r="G145" s="222"/>
      <c r="H145" s="227"/>
      <c r="I145" s="227"/>
      <c r="J145" s="217"/>
      <c r="K145" s="217"/>
      <c r="L145" s="217"/>
      <c r="M145" s="231"/>
      <c r="N145" s="235"/>
      <c r="O145" s="239"/>
      <c r="P145" s="245"/>
      <c r="Q145" s="246"/>
      <c r="R145" s="302"/>
      <c r="S145" s="251"/>
      <c r="T145" s="302"/>
      <c r="U145" s="251"/>
      <c r="V145" s="302"/>
      <c r="W145" s="251"/>
      <c r="X145" s="255"/>
      <c r="Y145" s="302"/>
      <c r="Z145" s="259"/>
      <c r="AA145" s="251"/>
      <c r="AB145" s="302"/>
      <c r="AC145" s="306"/>
      <c r="AD145" s="261"/>
      <c r="AE145" s="261"/>
      <c r="AF145" s="282"/>
    </row>
    <row r="146" spans="2:32" hidden="1">
      <c r="B146" s="266"/>
      <c r="C146" s="220"/>
      <c r="D146" s="220"/>
      <c r="E146" s="220"/>
      <c r="F146" s="220"/>
      <c r="G146" s="223"/>
      <c r="H146" s="226"/>
      <c r="I146" s="226"/>
      <c r="J146" s="216"/>
      <c r="K146" s="216"/>
      <c r="L146" s="216"/>
      <c r="M146" s="230"/>
      <c r="N146" s="234"/>
      <c r="O146" s="238"/>
      <c r="P146" s="243"/>
      <c r="Q146" s="244"/>
      <c r="R146" s="301"/>
      <c r="S146" s="250"/>
      <c r="T146" s="301"/>
      <c r="U146" s="250"/>
      <c r="V146" s="301"/>
      <c r="W146" s="250"/>
      <c r="X146" s="254"/>
      <c r="Y146" s="301"/>
      <c r="Z146" s="258"/>
      <c r="AA146" s="250"/>
      <c r="AB146" s="301"/>
      <c r="AC146" s="305"/>
      <c r="AD146" s="262"/>
      <c r="AE146" s="262"/>
      <c r="AF146" s="283"/>
    </row>
    <row r="147" spans="2:32" hidden="1">
      <c r="B147" s="267"/>
      <c r="C147" s="219"/>
      <c r="D147" s="219"/>
      <c r="E147" s="219"/>
      <c r="F147" s="219"/>
      <c r="G147" s="222"/>
      <c r="H147" s="227"/>
      <c r="I147" s="227"/>
      <c r="J147" s="217"/>
      <c r="K147" s="217"/>
      <c r="L147" s="217"/>
      <c r="M147" s="231"/>
      <c r="N147" s="235"/>
      <c r="O147" s="239"/>
      <c r="P147" s="245"/>
      <c r="Q147" s="246"/>
      <c r="R147" s="302"/>
      <c r="S147" s="251"/>
      <c r="T147" s="302"/>
      <c r="U147" s="251"/>
      <c r="V147" s="302"/>
      <c r="W147" s="251"/>
      <c r="X147" s="255"/>
      <c r="Y147" s="302"/>
      <c r="Z147" s="259"/>
      <c r="AA147" s="251"/>
      <c r="AB147" s="302"/>
      <c r="AC147" s="306"/>
      <c r="AD147" s="261"/>
      <c r="AE147" s="261"/>
      <c r="AF147" s="282"/>
    </row>
    <row r="148" spans="2:32" hidden="1">
      <c r="B148" s="266"/>
      <c r="C148" s="220"/>
      <c r="D148" s="220"/>
      <c r="E148" s="220"/>
      <c r="F148" s="220"/>
      <c r="G148" s="223"/>
      <c r="H148" s="226"/>
      <c r="I148" s="226"/>
      <c r="J148" s="216"/>
      <c r="K148" s="216"/>
      <c r="L148" s="216"/>
      <c r="M148" s="230"/>
      <c r="N148" s="234"/>
      <c r="O148" s="238"/>
      <c r="P148" s="243"/>
      <c r="Q148" s="244"/>
      <c r="R148" s="301"/>
      <c r="S148" s="250"/>
      <c r="T148" s="301"/>
      <c r="U148" s="250"/>
      <c r="V148" s="301"/>
      <c r="W148" s="250"/>
      <c r="X148" s="254"/>
      <c r="Y148" s="301"/>
      <c r="Z148" s="258"/>
      <c r="AA148" s="250"/>
      <c r="AB148" s="301"/>
      <c r="AC148" s="305"/>
      <c r="AD148" s="262"/>
      <c r="AE148" s="262"/>
      <c r="AF148" s="283"/>
    </row>
    <row r="149" spans="2:32" hidden="1">
      <c r="B149" s="267"/>
      <c r="C149" s="219"/>
      <c r="D149" s="219"/>
      <c r="E149" s="219"/>
      <c r="F149" s="219"/>
      <c r="G149" s="222"/>
      <c r="H149" s="227"/>
      <c r="I149" s="227"/>
      <c r="J149" s="217"/>
      <c r="K149" s="217"/>
      <c r="L149" s="217"/>
      <c r="M149" s="231"/>
      <c r="N149" s="235"/>
      <c r="O149" s="239"/>
      <c r="P149" s="245"/>
      <c r="Q149" s="246"/>
      <c r="R149" s="302"/>
      <c r="S149" s="251"/>
      <c r="T149" s="302"/>
      <c r="U149" s="251"/>
      <c r="V149" s="302"/>
      <c r="W149" s="251"/>
      <c r="X149" s="255"/>
      <c r="Y149" s="302"/>
      <c r="Z149" s="259"/>
      <c r="AA149" s="251"/>
      <c r="AB149" s="302"/>
      <c r="AC149" s="306"/>
      <c r="AD149" s="261"/>
      <c r="AE149" s="261"/>
      <c r="AF149" s="282"/>
    </row>
    <row r="150" spans="2:32" hidden="1">
      <c r="B150" s="266"/>
      <c r="C150" s="220"/>
      <c r="D150" s="220"/>
      <c r="E150" s="220"/>
      <c r="F150" s="220"/>
      <c r="G150" s="223"/>
      <c r="H150" s="226"/>
      <c r="I150" s="226"/>
      <c r="J150" s="216"/>
      <c r="K150" s="216"/>
      <c r="L150" s="216"/>
      <c r="M150" s="230"/>
      <c r="N150" s="234"/>
      <c r="O150" s="238"/>
      <c r="P150" s="243"/>
      <c r="Q150" s="244"/>
      <c r="R150" s="301"/>
      <c r="S150" s="250"/>
      <c r="T150" s="301"/>
      <c r="U150" s="250"/>
      <c r="V150" s="301"/>
      <c r="W150" s="250"/>
      <c r="X150" s="254"/>
      <c r="Y150" s="301"/>
      <c r="Z150" s="258"/>
      <c r="AA150" s="250"/>
      <c r="AB150" s="301"/>
      <c r="AC150" s="305"/>
      <c r="AD150" s="262"/>
      <c r="AE150" s="262"/>
      <c r="AF150" s="283"/>
    </row>
    <row r="151" spans="2:32" hidden="1">
      <c r="B151" s="267"/>
      <c r="C151" s="219"/>
      <c r="D151" s="219"/>
      <c r="E151" s="219"/>
      <c r="F151" s="219"/>
      <c r="G151" s="222"/>
      <c r="H151" s="227"/>
      <c r="I151" s="227"/>
      <c r="J151" s="217"/>
      <c r="K151" s="217"/>
      <c r="L151" s="217"/>
      <c r="M151" s="231"/>
      <c r="N151" s="235"/>
      <c r="O151" s="239"/>
      <c r="P151" s="245"/>
      <c r="Q151" s="246"/>
      <c r="R151" s="302"/>
      <c r="S151" s="251"/>
      <c r="T151" s="302"/>
      <c r="U151" s="251"/>
      <c r="V151" s="302"/>
      <c r="W151" s="251"/>
      <c r="X151" s="255"/>
      <c r="Y151" s="302"/>
      <c r="Z151" s="259"/>
      <c r="AA151" s="251"/>
      <c r="AB151" s="302"/>
      <c r="AC151" s="306"/>
      <c r="AD151" s="261"/>
      <c r="AE151" s="261"/>
      <c r="AF151" s="282"/>
    </row>
    <row r="152" spans="2:32" hidden="1">
      <c r="B152" s="266"/>
      <c r="C152" s="220"/>
      <c r="D152" s="220"/>
      <c r="E152" s="220"/>
      <c r="F152" s="220"/>
      <c r="G152" s="223"/>
      <c r="H152" s="226"/>
      <c r="I152" s="226"/>
      <c r="J152" s="216"/>
      <c r="K152" s="216"/>
      <c r="L152" s="216"/>
      <c r="M152" s="230"/>
      <c r="N152" s="234"/>
      <c r="O152" s="238"/>
      <c r="P152" s="243"/>
      <c r="Q152" s="244"/>
      <c r="R152" s="301"/>
      <c r="S152" s="250"/>
      <c r="T152" s="301"/>
      <c r="U152" s="250"/>
      <c r="V152" s="301"/>
      <c r="W152" s="250"/>
      <c r="X152" s="254"/>
      <c r="Y152" s="301"/>
      <c r="Z152" s="258"/>
      <c r="AA152" s="250"/>
      <c r="AB152" s="301"/>
      <c r="AC152" s="305"/>
      <c r="AD152" s="262"/>
      <c r="AE152" s="262"/>
      <c r="AF152" s="283"/>
    </row>
    <row r="153" spans="2:32" hidden="1">
      <c r="B153" s="267"/>
      <c r="C153" s="219"/>
      <c r="D153" s="219"/>
      <c r="E153" s="219"/>
      <c r="F153" s="219"/>
      <c r="G153" s="222"/>
      <c r="H153" s="227"/>
      <c r="I153" s="227"/>
      <c r="J153" s="217"/>
      <c r="K153" s="217"/>
      <c r="L153" s="217"/>
      <c r="M153" s="231"/>
      <c r="N153" s="235"/>
      <c r="O153" s="239"/>
      <c r="P153" s="245"/>
      <c r="Q153" s="246"/>
      <c r="R153" s="302"/>
      <c r="S153" s="251"/>
      <c r="T153" s="302"/>
      <c r="U153" s="251"/>
      <c r="V153" s="302"/>
      <c r="W153" s="251"/>
      <c r="X153" s="255"/>
      <c r="Y153" s="302"/>
      <c r="Z153" s="259"/>
      <c r="AA153" s="251"/>
      <c r="AB153" s="302"/>
      <c r="AC153" s="306"/>
      <c r="AD153" s="261"/>
      <c r="AE153" s="261"/>
      <c r="AF153" s="282"/>
    </row>
    <row r="154" spans="2:32" hidden="1">
      <c r="B154" s="266"/>
      <c r="C154" s="220"/>
      <c r="D154" s="220"/>
      <c r="E154" s="220"/>
      <c r="F154" s="220"/>
      <c r="G154" s="223"/>
      <c r="H154" s="226"/>
      <c r="I154" s="226"/>
      <c r="J154" s="216"/>
      <c r="K154" s="216"/>
      <c r="L154" s="216"/>
      <c r="M154" s="230"/>
      <c r="N154" s="234"/>
      <c r="O154" s="238"/>
      <c r="P154" s="243"/>
      <c r="Q154" s="244"/>
      <c r="R154" s="301"/>
      <c r="S154" s="250"/>
      <c r="T154" s="301"/>
      <c r="U154" s="250"/>
      <c r="V154" s="301"/>
      <c r="W154" s="250"/>
      <c r="X154" s="254"/>
      <c r="Y154" s="301"/>
      <c r="Z154" s="258"/>
      <c r="AA154" s="250"/>
      <c r="AB154" s="301"/>
      <c r="AC154" s="305"/>
      <c r="AD154" s="262"/>
      <c r="AE154" s="262"/>
      <c r="AF154" s="283"/>
    </row>
    <row r="155" spans="2:32" hidden="1">
      <c r="B155" s="267"/>
      <c r="C155" s="219"/>
      <c r="D155" s="219"/>
      <c r="E155" s="219"/>
      <c r="F155" s="219"/>
      <c r="G155" s="222"/>
      <c r="H155" s="227"/>
      <c r="I155" s="227"/>
      <c r="J155" s="217"/>
      <c r="K155" s="217"/>
      <c r="L155" s="217"/>
      <c r="M155" s="231"/>
      <c r="N155" s="235"/>
      <c r="O155" s="239"/>
      <c r="P155" s="245"/>
      <c r="Q155" s="246"/>
      <c r="R155" s="302"/>
      <c r="S155" s="251"/>
      <c r="T155" s="302"/>
      <c r="U155" s="251"/>
      <c r="V155" s="302"/>
      <c r="W155" s="251"/>
      <c r="X155" s="255"/>
      <c r="Y155" s="302"/>
      <c r="Z155" s="259"/>
      <c r="AA155" s="251"/>
      <c r="AB155" s="302"/>
      <c r="AC155" s="306"/>
      <c r="AD155" s="261"/>
      <c r="AE155" s="261"/>
      <c r="AF155" s="282"/>
    </row>
    <row r="156" spans="2:32" hidden="1">
      <c r="B156" s="266"/>
      <c r="C156" s="220"/>
      <c r="D156" s="220"/>
      <c r="E156" s="220"/>
      <c r="F156" s="220"/>
      <c r="G156" s="223"/>
      <c r="H156" s="226"/>
      <c r="I156" s="226"/>
      <c r="J156" s="216"/>
      <c r="K156" s="216"/>
      <c r="L156" s="216"/>
      <c r="M156" s="230"/>
      <c r="N156" s="234"/>
      <c r="O156" s="238"/>
      <c r="P156" s="243"/>
      <c r="Q156" s="244"/>
      <c r="R156" s="301"/>
      <c r="S156" s="250"/>
      <c r="T156" s="301"/>
      <c r="U156" s="250"/>
      <c r="V156" s="301"/>
      <c r="W156" s="250"/>
      <c r="X156" s="254"/>
      <c r="Y156" s="301"/>
      <c r="Z156" s="258"/>
      <c r="AA156" s="250"/>
      <c r="AB156" s="301"/>
      <c r="AC156" s="305"/>
      <c r="AD156" s="262"/>
      <c r="AE156" s="262"/>
      <c r="AF156" s="283"/>
    </row>
    <row r="157" spans="2:32" hidden="1">
      <c r="B157" s="267"/>
      <c r="C157" s="219"/>
      <c r="D157" s="219"/>
      <c r="E157" s="219"/>
      <c r="F157" s="219"/>
      <c r="G157" s="222"/>
      <c r="H157" s="227"/>
      <c r="I157" s="227"/>
      <c r="J157" s="217"/>
      <c r="K157" s="217"/>
      <c r="L157" s="217"/>
      <c r="M157" s="231"/>
      <c r="N157" s="235"/>
      <c r="O157" s="239"/>
      <c r="P157" s="245"/>
      <c r="Q157" s="246"/>
      <c r="R157" s="302"/>
      <c r="S157" s="251"/>
      <c r="T157" s="302"/>
      <c r="U157" s="251"/>
      <c r="V157" s="302"/>
      <c r="W157" s="251"/>
      <c r="X157" s="255"/>
      <c r="Y157" s="302"/>
      <c r="Z157" s="259"/>
      <c r="AA157" s="251"/>
      <c r="AB157" s="302"/>
      <c r="AC157" s="306"/>
      <c r="AD157" s="261"/>
      <c r="AE157" s="261"/>
      <c r="AF157" s="282"/>
    </row>
    <row r="158" spans="2:32" hidden="1">
      <c r="B158" s="266"/>
      <c r="C158" s="220"/>
      <c r="D158" s="220"/>
      <c r="E158" s="220"/>
      <c r="F158" s="220"/>
      <c r="G158" s="223"/>
      <c r="H158" s="226"/>
      <c r="I158" s="226"/>
      <c r="J158" s="216"/>
      <c r="K158" s="216"/>
      <c r="L158" s="216"/>
      <c r="M158" s="230"/>
      <c r="N158" s="234"/>
      <c r="O158" s="238"/>
      <c r="P158" s="243"/>
      <c r="Q158" s="244"/>
      <c r="R158" s="301"/>
      <c r="S158" s="250"/>
      <c r="T158" s="301"/>
      <c r="U158" s="250"/>
      <c r="V158" s="301"/>
      <c r="W158" s="250"/>
      <c r="X158" s="254"/>
      <c r="Y158" s="301"/>
      <c r="Z158" s="258"/>
      <c r="AA158" s="250"/>
      <c r="AB158" s="301"/>
      <c r="AC158" s="305"/>
      <c r="AD158" s="262"/>
      <c r="AE158" s="262"/>
      <c r="AF158" s="283"/>
    </row>
    <row r="159" spans="2:32" hidden="1">
      <c r="B159" s="267"/>
      <c r="C159" s="219"/>
      <c r="D159" s="219"/>
      <c r="E159" s="219"/>
      <c r="F159" s="219"/>
      <c r="G159" s="222"/>
      <c r="H159" s="227"/>
      <c r="I159" s="227"/>
      <c r="J159" s="217"/>
      <c r="K159" s="217"/>
      <c r="L159" s="217"/>
      <c r="M159" s="231"/>
      <c r="N159" s="235"/>
      <c r="O159" s="239"/>
      <c r="P159" s="245"/>
      <c r="Q159" s="246"/>
      <c r="R159" s="302"/>
      <c r="S159" s="251"/>
      <c r="T159" s="302"/>
      <c r="U159" s="251"/>
      <c r="V159" s="302"/>
      <c r="W159" s="251"/>
      <c r="X159" s="255"/>
      <c r="Y159" s="302"/>
      <c r="Z159" s="259"/>
      <c r="AA159" s="251"/>
      <c r="AB159" s="302"/>
      <c r="AC159" s="306"/>
      <c r="AD159" s="261"/>
      <c r="AE159" s="261"/>
      <c r="AF159" s="282"/>
    </row>
    <row r="160" spans="2:32" hidden="1">
      <c r="B160" s="266"/>
      <c r="C160" s="220"/>
      <c r="D160" s="220"/>
      <c r="E160" s="220"/>
      <c r="F160" s="220"/>
      <c r="G160" s="223"/>
      <c r="H160" s="226"/>
      <c r="I160" s="226"/>
      <c r="J160" s="216"/>
      <c r="K160" s="216"/>
      <c r="L160" s="216"/>
      <c r="M160" s="230"/>
      <c r="N160" s="234"/>
      <c r="O160" s="238"/>
      <c r="P160" s="243"/>
      <c r="Q160" s="244"/>
      <c r="R160" s="301"/>
      <c r="S160" s="250"/>
      <c r="T160" s="301"/>
      <c r="U160" s="250"/>
      <c r="V160" s="301"/>
      <c r="W160" s="250"/>
      <c r="X160" s="254"/>
      <c r="Y160" s="301"/>
      <c r="Z160" s="258"/>
      <c r="AA160" s="250"/>
      <c r="AB160" s="301"/>
      <c r="AC160" s="305"/>
      <c r="AD160" s="262"/>
      <c r="AE160" s="262"/>
      <c r="AF160" s="283"/>
    </row>
    <row r="161" spans="2:32" hidden="1">
      <c r="B161" s="267"/>
      <c r="C161" s="219"/>
      <c r="D161" s="219"/>
      <c r="E161" s="219"/>
      <c r="F161" s="219"/>
      <c r="G161" s="222"/>
      <c r="H161" s="227"/>
      <c r="I161" s="227"/>
      <c r="J161" s="217"/>
      <c r="K161" s="217"/>
      <c r="L161" s="217"/>
      <c r="M161" s="231"/>
      <c r="N161" s="235"/>
      <c r="O161" s="239"/>
      <c r="P161" s="245"/>
      <c r="Q161" s="246"/>
      <c r="R161" s="302"/>
      <c r="S161" s="251"/>
      <c r="T161" s="302"/>
      <c r="U161" s="251"/>
      <c r="V161" s="302"/>
      <c r="W161" s="251"/>
      <c r="X161" s="255"/>
      <c r="Y161" s="302"/>
      <c r="Z161" s="259"/>
      <c r="AA161" s="251"/>
      <c r="AB161" s="302"/>
      <c r="AC161" s="306"/>
      <c r="AD161" s="261"/>
      <c r="AE161" s="261"/>
      <c r="AF161" s="282"/>
    </row>
    <row r="162" spans="2:32" hidden="1">
      <c r="B162" s="266"/>
      <c r="C162" s="220"/>
      <c r="D162" s="220"/>
      <c r="E162" s="220"/>
      <c r="F162" s="220"/>
      <c r="G162" s="223"/>
      <c r="H162" s="226"/>
      <c r="I162" s="226"/>
      <c r="J162" s="216"/>
      <c r="K162" s="216"/>
      <c r="L162" s="216"/>
      <c r="M162" s="230"/>
      <c r="N162" s="234"/>
      <c r="O162" s="238"/>
      <c r="P162" s="243"/>
      <c r="Q162" s="244"/>
      <c r="R162" s="301"/>
      <c r="S162" s="250"/>
      <c r="T162" s="301"/>
      <c r="U162" s="250"/>
      <c r="V162" s="301"/>
      <c r="W162" s="250"/>
      <c r="X162" s="254"/>
      <c r="Y162" s="301"/>
      <c r="Z162" s="258"/>
      <c r="AA162" s="250"/>
      <c r="AB162" s="301"/>
      <c r="AC162" s="305"/>
      <c r="AD162" s="262"/>
      <c r="AE162" s="262"/>
      <c r="AF162" s="283"/>
    </row>
    <row r="163" spans="2:32" hidden="1">
      <c r="B163" s="267"/>
      <c r="C163" s="219"/>
      <c r="D163" s="219"/>
      <c r="E163" s="219"/>
      <c r="F163" s="219"/>
      <c r="G163" s="222"/>
      <c r="H163" s="227"/>
      <c r="I163" s="227"/>
      <c r="J163" s="217"/>
      <c r="K163" s="217"/>
      <c r="L163" s="217"/>
      <c r="M163" s="231"/>
      <c r="N163" s="235"/>
      <c r="O163" s="239"/>
      <c r="P163" s="245"/>
      <c r="Q163" s="246"/>
      <c r="R163" s="302"/>
      <c r="S163" s="251"/>
      <c r="T163" s="302"/>
      <c r="U163" s="251"/>
      <c r="V163" s="302"/>
      <c r="W163" s="251"/>
      <c r="X163" s="255"/>
      <c r="Y163" s="302"/>
      <c r="Z163" s="259"/>
      <c r="AA163" s="251"/>
      <c r="AB163" s="302"/>
      <c r="AC163" s="306"/>
      <c r="AD163" s="261"/>
      <c r="AE163" s="261"/>
      <c r="AF163" s="282"/>
    </row>
    <row r="164" spans="2:32" hidden="1">
      <c r="B164" s="266"/>
      <c r="C164" s="220"/>
      <c r="D164" s="220"/>
      <c r="E164" s="220"/>
      <c r="F164" s="220"/>
      <c r="G164" s="223"/>
      <c r="H164" s="226"/>
      <c r="I164" s="226"/>
      <c r="J164" s="216"/>
      <c r="K164" s="216"/>
      <c r="L164" s="216"/>
      <c r="M164" s="230"/>
      <c r="N164" s="234"/>
      <c r="O164" s="238"/>
      <c r="P164" s="243"/>
      <c r="Q164" s="244"/>
      <c r="R164" s="301"/>
      <c r="S164" s="250"/>
      <c r="T164" s="301"/>
      <c r="U164" s="250"/>
      <c r="V164" s="301"/>
      <c r="W164" s="250"/>
      <c r="X164" s="254"/>
      <c r="Y164" s="301"/>
      <c r="Z164" s="258"/>
      <c r="AA164" s="250"/>
      <c r="AB164" s="301"/>
      <c r="AC164" s="305"/>
      <c r="AD164" s="262"/>
      <c r="AE164" s="262"/>
      <c r="AF164" s="283"/>
    </row>
    <row r="165" spans="2:32" hidden="1">
      <c r="B165" s="267"/>
      <c r="C165" s="219"/>
      <c r="D165" s="219"/>
      <c r="E165" s="219"/>
      <c r="F165" s="219"/>
      <c r="G165" s="222"/>
      <c r="H165" s="227"/>
      <c r="I165" s="227"/>
      <c r="J165" s="217"/>
      <c r="K165" s="217"/>
      <c r="L165" s="217"/>
      <c r="M165" s="231"/>
      <c r="N165" s="235"/>
      <c r="O165" s="239"/>
      <c r="P165" s="245"/>
      <c r="Q165" s="246"/>
      <c r="R165" s="302"/>
      <c r="S165" s="251"/>
      <c r="T165" s="302"/>
      <c r="U165" s="251"/>
      <c r="V165" s="302"/>
      <c r="W165" s="251"/>
      <c r="X165" s="255"/>
      <c r="Y165" s="302"/>
      <c r="Z165" s="259"/>
      <c r="AA165" s="251"/>
      <c r="AB165" s="302"/>
      <c r="AC165" s="306"/>
      <c r="AD165" s="261"/>
      <c r="AE165" s="261"/>
      <c r="AF165" s="282"/>
    </row>
    <row r="166" spans="2:32" hidden="1">
      <c r="B166" s="266"/>
      <c r="C166" s="220"/>
      <c r="D166" s="220"/>
      <c r="E166" s="220"/>
      <c r="F166" s="220"/>
      <c r="G166" s="223"/>
      <c r="H166" s="226"/>
      <c r="I166" s="226"/>
      <c r="J166" s="216"/>
      <c r="K166" s="216"/>
      <c r="L166" s="216"/>
      <c r="M166" s="230"/>
      <c r="N166" s="234"/>
      <c r="O166" s="238"/>
      <c r="P166" s="243"/>
      <c r="Q166" s="244"/>
      <c r="R166" s="301"/>
      <c r="S166" s="250"/>
      <c r="T166" s="301"/>
      <c r="U166" s="250"/>
      <c r="V166" s="301"/>
      <c r="W166" s="250"/>
      <c r="X166" s="254"/>
      <c r="Y166" s="301"/>
      <c r="Z166" s="258"/>
      <c r="AA166" s="250"/>
      <c r="AB166" s="301"/>
      <c r="AC166" s="305"/>
      <c r="AD166" s="262"/>
      <c r="AE166" s="262"/>
      <c r="AF166" s="283"/>
    </row>
    <row r="167" spans="2:32" hidden="1">
      <c r="B167" s="267"/>
      <c r="C167" s="219"/>
      <c r="D167" s="219"/>
      <c r="E167" s="219"/>
      <c r="F167" s="219"/>
      <c r="G167" s="222"/>
      <c r="H167" s="227"/>
      <c r="I167" s="227"/>
      <c r="J167" s="217"/>
      <c r="K167" s="217"/>
      <c r="L167" s="217"/>
      <c r="M167" s="231"/>
      <c r="N167" s="235"/>
      <c r="O167" s="239"/>
      <c r="P167" s="245"/>
      <c r="Q167" s="246"/>
      <c r="R167" s="302"/>
      <c r="S167" s="251"/>
      <c r="T167" s="302"/>
      <c r="U167" s="251"/>
      <c r="V167" s="302"/>
      <c r="W167" s="251"/>
      <c r="X167" s="255"/>
      <c r="Y167" s="302"/>
      <c r="Z167" s="259"/>
      <c r="AA167" s="251"/>
      <c r="AB167" s="302"/>
      <c r="AC167" s="306"/>
      <c r="AD167" s="261"/>
      <c r="AE167" s="261"/>
      <c r="AF167" s="282"/>
    </row>
    <row r="168" spans="2:32" hidden="1">
      <c r="B168" s="266"/>
      <c r="C168" s="220"/>
      <c r="D168" s="220"/>
      <c r="E168" s="220"/>
      <c r="F168" s="220"/>
      <c r="G168" s="223"/>
      <c r="H168" s="226"/>
      <c r="I168" s="226"/>
      <c r="J168" s="216"/>
      <c r="K168" s="216"/>
      <c r="L168" s="216"/>
      <c r="M168" s="230"/>
      <c r="N168" s="234"/>
      <c r="O168" s="238"/>
      <c r="P168" s="243"/>
      <c r="Q168" s="244"/>
      <c r="R168" s="301"/>
      <c r="S168" s="250"/>
      <c r="T168" s="301"/>
      <c r="U168" s="250"/>
      <c r="V168" s="301"/>
      <c r="W168" s="250"/>
      <c r="X168" s="254"/>
      <c r="Y168" s="301"/>
      <c r="Z168" s="258"/>
      <c r="AA168" s="250"/>
      <c r="AB168" s="301"/>
      <c r="AC168" s="305"/>
      <c r="AD168" s="262"/>
      <c r="AE168" s="262"/>
      <c r="AF168" s="283"/>
    </row>
    <row r="169" spans="2:32" hidden="1">
      <c r="B169" s="267"/>
      <c r="C169" s="219"/>
      <c r="D169" s="219"/>
      <c r="E169" s="219"/>
      <c r="F169" s="219"/>
      <c r="G169" s="222"/>
      <c r="H169" s="227"/>
      <c r="I169" s="227"/>
      <c r="J169" s="217"/>
      <c r="K169" s="217"/>
      <c r="L169" s="217"/>
      <c r="M169" s="231"/>
      <c r="N169" s="235"/>
      <c r="O169" s="239"/>
      <c r="P169" s="245"/>
      <c r="Q169" s="246"/>
      <c r="R169" s="302"/>
      <c r="S169" s="251"/>
      <c r="T169" s="302"/>
      <c r="U169" s="251"/>
      <c r="V169" s="302"/>
      <c r="W169" s="251"/>
      <c r="X169" s="255"/>
      <c r="Y169" s="302"/>
      <c r="Z169" s="259"/>
      <c r="AA169" s="251"/>
      <c r="AB169" s="302"/>
      <c r="AC169" s="306"/>
      <c r="AD169" s="261"/>
      <c r="AE169" s="261"/>
      <c r="AF169" s="282"/>
    </row>
    <row r="170" spans="2:32" hidden="1">
      <c r="B170" s="266"/>
      <c r="C170" s="220"/>
      <c r="D170" s="220"/>
      <c r="E170" s="220"/>
      <c r="F170" s="220"/>
      <c r="G170" s="223"/>
      <c r="H170" s="226"/>
      <c r="I170" s="226"/>
      <c r="J170" s="216"/>
      <c r="K170" s="216"/>
      <c r="L170" s="216"/>
      <c r="M170" s="230"/>
      <c r="N170" s="234"/>
      <c r="O170" s="238"/>
      <c r="P170" s="243"/>
      <c r="Q170" s="244"/>
      <c r="R170" s="301"/>
      <c r="S170" s="250"/>
      <c r="T170" s="301"/>
      <c r="U170" s="250"/>
      <c r="V170" s="301"/>
      <c r="W170" s="250"/>
      <c r="X170" s="254"/>
      <c r="Y170" s="301"/>
      <c r="Z170" s="258"/>
      <c r="AA170" s="250"/>
      <c r="AB170" s="301"/>
      <c r="AC170" s="305"/>
      <c r="AD170" s="262"/>
      <c r="AE170" s="262"/>
      <c r="AF170" s="283"/>
    </row>
    <row r="171" spans="2:32" hidden="1">
      <c r="B171" s="267"/>
      <c r="C171" s="219"/>
      <c r="D171" s="219"/>
      <c r="E171" s="219"/>
      <c r="F171" s="219"/>
      <c r="G171" s="222"/>
      <c r="H171" s="227"/>
      <c r="I171" s="227"/>
      <c r="J171" s="217"/>
      <c r="K171" s="217"/>
      <c r="L171" s="217"/>
      <c r="M171" s="231"/>
      <c r="N171" s="235"/>
      <c r="O171" s="239"/>
      <c r="P171" s="245"/>
      <c r="Q171" s="246"/>
      <c r="R171" s="302"/>
      <c r="S171" s="251"/>
      <c r="T171" s="302"/>
      <c r="U171" s="251"/>
      <c r="V171" s="302"/>
      <c r="W171" s="251"/>
      <c r="X171" s="255"/>
      <c r="Y171" s="302"/>
      <c r="Z171" s="259"/>
      <c r="AA171" s="251"/>
      <c r="AB171" s="302"/>
      <c r="AC171" s="306"/>
      <c r="AD171" s="261"/>
      <c r="AE171" s="261"/>
      <c r="AF171" s="282"/>
    </row>
    <row r="172" spans="2:32" hidden="1">
      <c r="B172" s="266"/>
      <c r="C172" s="220"/>
      <c r="D172" s="220"/>
      <c r="E172" s="220"/>
      <c r="F172" s="220"/>
      <c r="G172" s="223"/>
      <c r="H172" s="226"/>
      <c r="I172" s="226"/>
      <c r="J172" s="216"/>
      <c r="K172" s="216"/>
      <c r="L172" s="216"/>
      <c r="M172" s="230"/>
      <c r="N172" s="234"/>
      <c r="O172" s="238"/>
      <c r="P172" s="243"/>
      <c r="Q172" s="244"/>
      <c r="R172" s="301"/>
      <c r="S172" s="250"/>
      <c r="T172" s="301"/>
      <c r="U172" s="250"/>
      <c r="V172" s="301"/>
      <c r="W172" s="250"/>
      <c r="X172" s="254"/>
      <c r="Y172" s="301"/>
      <c r="Z172" s="258"/>
      <c r="AA172" s="250"/>
      <c r="AB172" s="301"/>
      <c r="AC172" s="305"/>
      <c r="AD172" s="262"/>
      <c r="AE172" s="262"/>
      <c r="AF172" s="283"/>
    </row>
    <row r="173" spans="2:32" hidden="1">
      <c r="B173" s="267"/>
      <c r="C173" s="219"/>
      <c r="D173" s="219"/>
      <c r="E173" s="219"/>
      <c r="F173" s="219"/>
      <c r="G173" s="222"/>
      <c r="H173" s="227"/>
      <c r="I173" s="227"/>
      <c r="J173" s="217"/>
      <c r="K173" s="217"/>
      <c r="L173" s="217"/>
      <c r="M173" s="231"/>
      <c r="N173" s="235"/>
      <c r="O173" s="239"/>
      <c r="P173" s="245"/>
      <c r="Q173" s="246"/>
      <c r="R173" s="302"/>
      <c r="S173" s="251"/>
      <c r="T173" s="302"/>
      <c r="U173" s="251"/>
      <c r="V173" s="302"/>
      <c r="W173" s="251"/>
      <c r="X173" s="255"/>
      <c r="Y173" s="302"/>
      <c r="Z173" s="259"/>
      <c r="AA173" s="251"/>
      <c r="AB173" s="302"/>
      <c r="AC173" s="306"/>
      <c r="AD173" s="261"/>
      <c r="AE173" s="261"/>
      <c r="AF173" s="282"/>
    </row>
    <row r="174" spans="2:32" hidden="1">
      <c r="B174" s="266"/>
      <c r="C174" s="220"/>
      <c r="D174" s="220"/>
      <c r="E174" s="220"/>
      <c r="F174" s="220"/>
      <c r="G174" s="223"/>
      <c r="H174" s="226"/>
      <c r="I174" s="226"/>
      <c r="J174" s="216"/>
      <c r="K174" s="216"/>
      <c r="L174" s="216"/>
      <c r="M174" s="230"/>
      <c r="N174" s="234"/>
      <c r="O174" s="238"/>
      <c r="P174" s="243"/>
      <c r="Q174" s="244"/>
      <c r="R174" s="301"/>
      <c r="S174" s="250"/>
      <c r="T174" s="301"/>
      <c r="U174" s="250"/>
      <c r="V174" s="301"/>
      <c r="W174" s="250"/>
      <c r="X174" s="254"/>
      <c r="Y174" s="301"/>
      <c r="Z174" s="258"/>
      <c r="AA174" s="250"/>
      <c r="AB174" s="301"/>
      <c r="AC174" s="305"/>
      <c r="AD174" s="262"/>
      <c r="AE174" s="262"/>
      <c r="AF174" s="283"/>
    </row>
    <row r="175" spans="2:32" hidden="1">
      <c r="B175" s="267"/>
      <c r="C175" s="219"/>
      <c r="D175" s="219"/>
      <c r="E175" s="219"/>
      <c r="F175" s="219"/>
      <c r="G175" s="222"/>
      <c r="H175" s="227"/>
      <c r="I175" s="227"/>
      <c r="J175" s="217"/>
      <c r="K175" s="217"/>
      <c r="L175" s="217"/>
      <c r="M175" s="231"/>
      <c r="N175" s="235"/>
      <c r="O175" s="239"/>
      <c r="P175" s="245"/>
      <c r="Q175" s="246"/>
      <c r="R175" s="302"/>
      <c r="S175" s="251"/>
      <c r="T175" s="302"/>
      <c r="U175" s="251"/>
      <c r="V175" s="302"/>
      <c r="W175" s="251"/>
      <c r="X175" s="255"/>
      <c r="Y175" s="302"/>
      <c r="Z175" s="259"/>
      <c r="AA175" s="251"/>
      <c r="AB175" s="302"/>
      <c r="AC175" s="306"/>
      <c r="AD175" s="261"/>
      <c r="AE175" s="261"/>
      <c r="AF175" s="282"/>
    </row>
    <row r="176" spans="2:32" hidden="1">
      <c r="B176" s="266"/>
      <c r="C176" s="220"/>
      <c r="D176" s="220"/>
      <c r="E176" s="220"/>
      <c r="F176" s="220"/>
      <c r="G176" s="223"/>
      <c r="H176" s="226"/>
      <c r="I176" s="226"/>
      <c r="J176" s="216"/>
      <c r="K176" s="216"/>
      <c r="L176" s="216"/>
      <c r="M176" s="230"/>
      <c r="N176" s="234"/>
      <c r="O176" s="238"/>
      <c r="P176" s="243"/>
      <c r="Q176" s="244"/>
      <c r="R176" s="301"/>
      <c r="S176" s="250"/>
      <c r="T176" s="301"/>
      <c r="U176" s="250"/>
      <c r="V176" s="301"/>
      <c r="W176" s="250"/>
      <c r="X176" s="254"/>
      <c r="Y176" s="301"/>
      <c r="Z176" s="258"/>
      <c r="AA176" s="250"/>
      <c r="AB176" s="301"/>
      <c r="AC176" s="305"/>
      <c r="AD176" s="262"/>
      <c r="AE176" s="262"/>
      <c r="AF176" s="283"/>
    </row>
    <row r="177" spans="2:32" hidden="1">
      <c r="B177" s="267"/>
      <c r="C177" s="219"/>
      <c r="D177" s="219"/>
      <c r="E177" s="219"/>
      <c r="F177" s="219"/>
      <c r="G177" s="222"/>
      <c r="H177" s="227"/>
      <c r="I177" s="227"/>
      <c r="J177" s="217"/>
      <c r="K177" s="217"/>
      <c r="L177" s="217"/>
      <c r="M177" s="231"/>
      <c r="N177" s="235"/>
      <c r="O177" s="239"/>
      <c r="P177" s="245"/>
      <c r="Q177" s="246"/>
      <c r="R177" s="302"/>
      <c r="S177" s="251"/>
      <c r="T177" s="302"/>
      <c r="U177" s="251"/>
      <c r="V177" s="302"/>
      <c r="W177" s="251"/>
      <c r="X177" s="255"/>
      <c r="Y177" s="302"/>
      <c r="Z177" s="259"/>
      <c r="AA177" s="251"/>
      <c r="AB177" s="302"/>
      <c r="AC177" s="306"/>
      <c r="AD177" s="261"/>
      <c r="AE177" s="261"/>
      <c r="AF177" s="282"/>
    </row>
    <row r="178" spans="2:32" hidden="1">
      <c r="B178" s="266"/>
      <c r="C178" s="220"/>
      <c r="D178" s="220"/>
      <c r="E178" s="220"/>
      <c r="F178" s="220"/>
      <c r="G178" s="223"/>
      <c r="H178" s="226"/>
      <c r="I178" s="226"/>
      <c r="J178" s="216"/>
      <c r="K178" s="216"/>
      <c r="L178" s="216"/>
      <c r="M178" s="230"/>
      <c r="N178" s="234"/>
      <c r="O178" s="238"/>
      <c r="P178" s="243"/>
      <c r="Q178" s="244"/>
      <c r="R178" s="301"/>
      <c r="S178" s="250"/>
      <c r="T178" s="301"/>
      <c r="U178" s="250"/>
      <c r="V178" s="301"/>
      <c r="W178" s="250"/>
      <c r="X178" s="254"/>
      <c r="Y178" s="301"/>
      <c r="Z178" s="258"/>
      <c r="AA178" s="250"/>
      <c r="AB178" s="301"/>
      <c r="AC178" s="305"/>
      <c r="AD178" s="262"/>
      <c r="AE178" s="262"/>
      <c r="AF178" s="283"/>
    </row>
    <row r="179" spans="2:32" hidden="1">
      <c r="B179" s="267"/>
      <c r="C179" s="219"/>
      <c r="D179" s="219"/>
      <c r="E179" s="219"/>
      <c r="F179" s="219"/>
      <c r="G179" s="222"/>
      <c r="H179" s="227"/>
      <c r="I179" s="227"/>
      <c r="J179" s="217"/>
      <c r="K179" s="217"/>
      <c r="L179" s="217"/>
      <c r="M179" s="231"/>
      <c r="N179" s="235"/>
      <c r="O179" s="239"/>
      <c r="P179" s="245"/>
      <c r="Q179" s="246"/>
      <c r="R179" s="302"/>
      <c r="S179" s="251"/>
      <c r="T179" s="302"/>
      <c r="U179" s="251"/>
      <c r="V179" s="302"/>
      <c r="W179" s="251"/>
      <c r="X179" s="255"/>
      <c r="Y179" s="302"/>
      <c r="Z179" s="259"/>
      <c r="AA179" s="251"/>
      <c r="AB179" s="302"/>
      <c r="AC179" s="306"/>
      <c r="AD179" s="261"/>
      <c r="AE179" s="261"/>
      <c r="AF179" s="282"/>
    </row>
    <row r="180" spans="2:32" hidden="1">
      <c r="B180" s="266"/>
      <c r="C180" s="220"/>
      <c r="D180" s="220"/>
      <c r="E180" s="220"/>
      <c r="F180" s="220"/>
      <c r="G180" s="223"/>
      <c r="H180" s="226"/>
      <c r="I180" s="226"/>
      <c r="J180" s="216"/>
      <c r="K180" s="216"/>
      <c r="L180" s="216"/>
      <c r="M180" s="230"/>
      <c r="N180" s="234"/>
      <c r="O180" s="238"/>
      <c r="P180" s="243"/>
      <c r="Q180" s="244"/>
      <c r="R180" s="301"/>
      <c r="S180" s="250"/>
      <c r="T180" s="301"/>
      <c r="U180" s="250"/>
      <c r="V180" s="301"/>
      <c r="W180" s="250"/>
      <c r="X180" s="254"/>
      <c r="Y180" s="301"/>
      <c r="Z180" s="258"/>
      <c r="AA180" s="250"/>
      <c r="AB180" s="301"/>
      <c r="AC180" s="305"/>
      <c r="AD180" s="262"/>
      <c r="AE180" s="262"/>
      <c r="AF180" s="283"/>
    </row>
    <row r="181" spans="2:32" hidden="1">
      <c r="B181" s="267"/>
      <c r="C181" s="219"/>
      <c r="D181" s="219"/>
      <c r="E181" s="219"/>
      <c r="F181" s="219"/>
      <c r="G181" s="222"/>
      <c r="H181" s="227"/>
      <c r="I181" s="227"/>
      <c r="J181" s="217"/>
      <c r="K181" s="217"/>
      <c r="L181" s="217"/>
      <c r="M181" s="231"/>
      <c r="N181" s="235"/>
      <c r="O181" s="239"/>
      <c r="P181" s="245"/>
      <c r="Q181" s="246"/>
      <c r="R181" s="302"/>
      <c r="S181" s="251"/>
      <c r="T181" s="302"/>
      <c r="U181" s="251"/>
      <c r="V181" s="302"/>
      <c r="W181" s="251"/>
      <c r="X181" s="255"/>
      <c r="Y181" s="302"/>
      <c r="Z181" s="259"/>
      <c r="AA181" s="251"/>
      <c r="AB181" s="302"/>
      <c r="AC181" s="306"/>
      <c r="AD181" s="261"/>
      <c r="AE181" s="261"/>
      <c r="AF181" s="282"/>
    </row>
    <row r="182" spans="2:32" hidden="1">
      <c r="B182" s="266"/>
      <c r="C182" s="220"/>
      <c r="D182" s="220"/>
      <c r="E182" s="220"/>
      <c r="F182" s="220"/>
      <c r="G182" s="223"/>
      <c r="H182" s="226"/>
      <c r="I182" s="226"/>
      <c r="J182" s="216"/>
      <c r="K182" s="216"/>
      <c r="L182" s="216"/>
      <c r="M182" s="230"/>
      <c r="N182" s="234"/>
      <c r="O182" s="238"/>
      <c r="P182" s="243"/>
      <c r="Q182" s="244"/>
      <c r="R182" s="301"/>
      <c r="S182" s="250"/>
      <c r="T182" s="301"/>
      <c r="U182" s="250"/>
      <c r="V182" s="301"/>
      <c r="W182" s="250"/>
      <c r="X182" s="254"/>
      <c r="Y182" s="301"/>
      <c r="Z182" s="258"/>
      <c r="AA182" s="250"/>
      <c r="AB182" s="301"/>
      <c r="AC182" s="305"/>
      <c r="AD182" s="262"/>
      <c r="AE182" s="262"/>
      <c r="AF182" s="283"/>
    </row>
    <row r="183" spans="2:32" hidden="1">
      <c r="B183" s="267"/>
      <c r="C183" s="219"/>
      <c r="D183" s="219"/>
      <c r="E183" s="219"/>
      <c r="F183" s="219"/>
      <c r="G183" s="222"/>
      <c r="H183" s="227"/>
      <c r="I183" s="227"/>
      <c r="J183" s="217"/>
      <c r="K183" s="217"/>
      <c r="L183" s="217"/>
      <c r="M183" s="231"/>
      <c r="N183" s="235"/>
      <c r="O183" s="239"/>
      <c r="P183" s="245"/>
      <c r="Q183" s="246"/>
      <c r="R183" s="302"/>
      <c r="S183" s="251"/>
      <c r="T183" s="302"/>
      <c r="U183" s="251"/>
      <c r="V183" s="302"/>
      <c r="W183" s="251"/>
      <c r="X183" s="255"/>
      <c r="Y183" s="302"/>
      <c r="Z183" s="259"/>
      <c r="AA183" s="251"/>
      <c r="AB183" s="302"/>
      <c r="AC183" s="306"/>
      <c r="AD183" s="261"/>
      <c r="AE183" s="261"/>
      <c r="AF183" s="282"/>
    </row>
    <row r="184" spans="2:32" hidden="1">
      <c r="B184" s="266"/>
      <c r="C184" s="220"/>
      <c r="D184" s="220"/>
      <c r="E184" s="220"/>
      <c r="F184" s="220"/>
      <c r="G184" s="223"/>
      <c r="H184" s="226"/>
      <c r="I184" s="226"/>
      <c r="J184" s="216"/>
      <c r="K184" s="216"/>
      <c r="L184" s="216"/>
      <c r="M184" s="230"/>
      <c r="N184" s="234"/>
      <c r="O184" s="238"/>
      <c r="P184" s="243"/>
      <c r="Q184" s="244"/>
      <c r="R184" s="301"/>
      <c r="S184" s="250"/>
      <c r="T184" s="301"/>
      <c r="U184" s="250"/>
      <c r="V184" s="301"/>
      <c r="W184" s="250"/>
      <c r="X184" s="254"/>
      <c r="Y184" s="301"/>
      <c r="Z184" s="258"/>
      <c r="AA184" s="250"/>
      <c r="AB184" s="301"/>
      <c r="AC184" s="305"/>
      <c r="AD184" s="262"/>
      <c r="AE184" s="262"/>
      <c r="AF184" s="283"/>
    </row>
    <row r="185" spans="2:32" hidden="1">
      <c r="B185" s="267"/>
      <c r="C185" s="219"/>
      <c r="D185" s="219"/>
      <c r="E185" s="219"/>
      <c r="F185" s="219"/>
      <c r="G185" s="222"/>
      <c r="H185" s="227"/>
      <c r="I185" s="227"/>
      <c r="J185" s="217"/>
      <c r="K185" s="217"/>
      <c r="L185" s="217"/>
      <c r="M185" s="231"/>
      <c r="N185" s="235"/>
      <c r="O185" s="239"/>
      <c r="P185" s="245"/>
      <c r="Q185" s="246"/>
      <c r="R185" s="302"/>
      <c r="S185" s="251"/>
      <c r="T185" s="302"/>
      <c r="U185" s="251"/>
      <c r="V185" s="302"/>
      <c r="W185" s="251"/>
      <c r="X185" s="255"/>
      <c r="Y185" s="302"/>
      <c r="Z185" s="259"/>
      <c r="AA185" s="251"/>
      <c r="AB185" s="302"/>
      <c r="AC185" s="306"/>
      <c r="AD185" s="261"/>
      <c r="AE185" s="261"/>
      <c r="AF185" s="282"/>
    </row>
    <row r="186" spans="2:32" hidden="1">
      <c r="B186" s="266"/>
      <c r="C186" s="220"/>
      <c r="D186" s="220"/>
      <c r="E186" s="220"/>
      <c r="F186" s="220"/>
      <c r="G186" s="223"/>
      <c r="H186" s="226"/>
      <c r="I186" s="226"/>
      <c r="J186" s="216"/>
      <c r="K186" s="216"/>
      <c r="L186" s="216"/>
      <c r="M186" s="230"/>
      <c r="N186" s="234"/>
      <c r="O186" s="238"/>
      <c r="P186" s="243"/>
      <c r="Q186" s="244"/>
      <c r="R186" s="301"/>
      <c r="S186" s="250"/>
      <c r="T186" s="301"/>
      <c r="U186" s="250"/>
      <c r="V186" s="301"/>
      <c r="W186" s="250"/>
      <c r="X186" s="254"/>
      <c r="Y186" s="301"/>
      <c r="Z186" s="258"/>
      <c r="AA186" s="250"/>
      <c r="AB186" s="301"/>
      <c r="AC186" s="305"/>
      <c r="AD186" s="262"/>
      <c r="AE186" s="262"/>
      <c r="AF186" s="283"/>
    </row>
    <row r="187" spans="2:32" hidden="1">
      <c r="B187" s="267"/>
      <c r="C187" s="219"/>
      <c r="D187" s="219"/>
      <c r="E187" s="219"/>
      <c r="F187" s="219"/>
      <c r="G187" s="222"/>
      <c r="H187" s="227"/>
      <c r="I187" s="227"/>
      <c r="J187" s="217"/>
      <c r="K187" s="217"/>
      <c r="L187" s="217"/>
      <c r="M187" s="231"/>
      <c r="N187" s="235"/>
      <c r="O187" s="239"/>
      <c r="P187" s="245"/>
      <c r="Q187" s="246"/>
      <c r="R187" s="302"/>
      <c r="S187" s="251"/>
      <c r="T187" s="302"/>
      <c r="U187" s="251"/>
      <c r="V187" s="302"/>
      <c r="W187" s="251"/>
      <c r="X187" s="255"/>
      <c r="Y187" s="302"/>
      <c r="Z187" s="259"/>
      <c r="AA187" s="251"/>
      <c r="AB187" s="302"/>
      <c r="AC187" s="306"/>
      <c r="AD187" s="261"/>
      <c r="AE187" s="261"/>
      <c r="AF187" s="282"/>
    </row>
    <row r="188" spans="2:32" hidden="1">
      <c r="B188" s="266"/>
      <c r="C188" s="220"/>
      <c r="D188" s="220"/>
      <c r="E188" s="220"/>
      <c r="F188" s="220"/>
      <c r="G188" s="223"/>
      <c r="H188" s="226"/>
      <c r="I188" s="226"/>
      <c r="J188" s="216"/>
      <c r="K188" s="216"/>
      <c r="L188" s="216"/>
      <c r="M188" s="230"/>
      <c r="N188" s="234"/>
      <c r="O188" s="238"/>
      <c r="P188" s="243"/>
      <c r="Q188" s="244"/>
      <c r="R188" s="301"/>
      <c r="S188" s="250"/>
      <c r="T188" s="301"/>
      <c r="U188" s="250"/>
      <c r="V188" s="301"/>
      <c r="W188" s="250"/>
      <c r="X188" s="254"/>
      <c r="Y188" s="301"/>
      <c r="Z188" s="258"/>
      <c r="AA188" s="250"/>
      <c r="AB188" s="301"/>
      <c r="AC188" s="305"/>
      <c r="AD188" s="262"/>
      <c r="AE188" s="262"/>
      <c r="AF188" s="283"/>
    </row>
    <row r="189" spans="2:32" hidden="1">
      <c r="B189" s="267"/>
      <c r="C189" s="219"/>
      <c r="D189" s="219"/>
      <c r="E189" s="219"/>
      <c r="F189" s="219"/>
      <c r="G189" s="222"/>
      <c r="H189" s="227"/>
      <c r="I189" s="227"/>
      <c r="J189" s="217"/>
      <c r="K189" s="217"/>
      <c r="L189" s="217"/>
      <c r="M189" s="231"/>
      <c r="N189" s="235"/>
      <c r="O189" s="239"/>
      <c r="P189" s="245"/>
      <c r="Q189" s="246"/>
      <c r="R189" s="302"/>
      <c r="S189" s="251"/>
      <c r="T189" s="302"/>
      <c r="U189" s="251"/>
      <c r="V189" s="302"/>
      <c r="W189" s="251"/>
      <c r="X189" s="255"/>
      <c r="Y189" s="302"/>
      <c r="Z189" s="259"/>
      <c r="AA189" s="251"/>
      <c r="AB189" s="302"/>
      <c r="AC189" s="306"/>
      <c r="AD189" s="261"/>
      <c r="AE189" s="261"/>
      <c r="AF189" s="282"/>
    </row>
    <row r="190" spans="2:32" hidden="1">
      <c r="B190" s="266"/>
      <c r="C190" s="220"/>
      <c r="D190" s="220"/>
      <c r="E190" s="220"/>
      <c r="F190" s="220"/>
      <c r="G190" s="223"/>
      <c r="H190" s="226"/>
      <c r="I190" s="226"/>
      <c r="J190" s="216"/>
      <c r="K190" s="216"/>
      <c r="L190" s="216"/>
      <c r="M190" s="230"/>
      <c r="N190" s="234"/>
      <c r="O190" s="238"/>
      <c r="P190" s="243"/>
      <c r="Q190" s="244"/>
      <c r="R190" s="301"/>
      <c r="S190" s="250"/>
      <c r="T190" s="301"/>
      <c r="U190" s="250"/>
      <c r="V190" s="301"/>
      <c r="W190" s="250"/>
      <c r="X190" s="254"/>
      <c r="Y190" s="301"/>
      <c r="Z190" s="258"/>
      <c r="AA190" s="250"/>
      <c r="AB190" s="301"/>
      <c r="AC190" s="305"/>
      <c r="AD190" s="262"/>
      <c r="AE190" s="262"/>
      <c r="AF190" s="283"/>
    </row>
    <row r="191" spans="2:32" hidden="1">
      <c r="B191" s="267"/>
      <c r="C191" s="219"/>
      <c r="D191" s="219"/>
      <c r="E191" s="219"/>
      <c r="F191" s="219"/>
      <c r="G191" s="222"/>
      <c r="H191" s="227"/>
      <c r="I191" s="227"/>
      <c r="J191" s="217"/>
      <c r="K191" s="217"/>
      <c r="L191" s="217"/>
      <c r="M191" s="231"/>
      <c r="N191" s="235"/>
      <c r="O191" s="239"/>
      <c r="P191" s="245"/>
      <c r="Q191" s="246"/>
      <c r="R191" s="302"/>
      <c r="S191" s="251"/>
      <c r="T191" s="302"/>
      <c r="U191" s="251"/>
      <c r="V191" s="302"/>
      <c r="W191" s="251"/>
      <c r="X191" s="255"/>
      <c r="Y191" s="302"/>
      <c r="Z191" s="259"/>
      <c r="AA191" s="251"/>
      <c r="AB191" s="302"/>
      <c r="AC191" s="306"/>
      <c r="AD191" s="261"/>
      <c r="AE191" s="261"/>
      <c r="AF191" s="282"/>
    </row>
    <row r="192" spans="2:32" hidden="1">
      <c r="B192" s="266"/>
      <c r="C192" s="220"/>
      <c r="D192" s="220"/>
      <c r="E192" s="220"/>
      <c r="F192" s="220"/>
      <c r="G192" s="223"/>
      <c r="H192" s="226"/>
      <c r="I192" s="226"/>
      <c r="J192" s="216"/>
      <c r="K192" s="216"/>
      <c r="L192" s="216"/>
      <c r="M192" s="230"/>
      <c r="N192" s="234"/>
      <c r="O192" s="238"/>
      <c r="P192" s="243"/>
      <c r="Q192" s="244"/>
      <c r="R192" s="301"/>
      <c r="S192" s="250"/>
      <c r="T192" s="301"/>
      <c r="U192" s="250"/>
      <c r="V192" s="301"/>
      <c r="W192" s="250"/>
      <c r="X192" s="254"/>
      <c r="Y192" s="301"/>
      <c r="Z192" s="258"/>
      <c r="AA192" s="250"/>
      <c r="AB192" s="301"/>
      <c r="AC192" s="305"/>
      <c r="AD192" s="262"/>
      <c r="AE192" s="262"/>
      <c r="AF192" s="283"/>
    </row>
    <row r="193" spans="2:32" hidden="1">
      <c r="B193" s="267"/>
      <c r="C193" s="219"/>
      <c r="D193" s="219"/>
      <c r="E193" s="219"/>
      <c r="F193" s="219"/>
      <c r="G193" s="222"/>
      <c r="H193" s="227"/>
      <c r="I193" s="227"/>
      <c r="J193" s="217"/>
      <c r="K193" s="217"/>
      <c r="L193" s="217"/>
      <c r="M193" s="231"/>
      <c r="N193" s="235"/>
      <c r="O193" s="239"/>
      <c r="P193" s="245"/>
      <c r="Q193" s="246"/>
      <c r="R193" s="302"/>
      <c r="S193" s="251"/>
      <c r="T193" s="302"/>
      <c r="U193" s="251"/>
      <c r="V193" s="302"/>
      <c r="W193" s="251"/>
      <c r="X193" s="255"/>
      <c r="Y193" s="302"/>
      <c r="Z193" s="259"/>
      <c r="AA193" s="251"/>
      <c r="AB193" s="302"/>
      <c r="AC193" s="306"/>
      <c r="AD193" s="261"/>
      <c r="AE193" s="261"/>
      <c r="AF193" s="282"/>
    </row>
    <row r="194" spans="2:32" hidden="1">
      <c r="B194" s="266"/>
      <c r="C194" s="220"/>
      <c r="D194" s="220"/>
      <c r="E194" s="220"/>
      <c r="F194" s="220"/>
      <c r="G194" s="223"/>
      <c r="H194" s="226"/>
      <c r="I194" s="226"/>
      <c r="J194" s="216"/>
      <c r="K194" s="216"/>
      <c r="L194" s="216"/>
      <c r="M194" s="230"/>
      <c r="N194" s="234"/>
      <c r="O194" s="238"/>
      <c r="P194" s="243"/>
      <c r="Q194" s="244"/>
      <c r="R194" s="301"/>
      <c r="S194" s="250"/>
      <c r="T194" s="301"/>
      <c r="U194" s="250"/>
      <c r="V194" s="301"/>
      <c r="W194" s="250"/>
      <c r="X194" s="254"/>
      <c r="Y194" s="301"/>
      <c r="Z194" s="258"/>
      <c r="AA194" s="250"/>
      <c r="AB194" s="301"/>
      <c r="AC194" s="305"/>
      <c r="AD194" s="262"/>
      <c r="AE194" s="262"/>
      <c r="AF194" s="283"/>
    </row>
    <row r="195" spans="2:32" hidden="1">
      <c r="B195" s="267"/>
      <c r="C195" s="219"/>
      <c r="D195" s="219"/>
      <c r="E195" s="219"/>
      <c r="F195" s="219"/>
      <c r="G195" s="222"/>
      <c r="H195" s="227"/>
      <c r="I195" s="227"/>
      <c r="J195" s="217"/>
      <c r="K195" s="217"/>
      <c r="L195" s="217"/>
      <c r="M195" s="231"/>
      <c r="N195" s="235"/>
      <c r="O195" s="239"/>
      <c r="P195" s="245"/>
      <c r="Q195" s="246"/>
      <c r="R195" s="302"/>
      <c r="S195" s="251"/>
      <c r="T195" s="302"/>
      <c r="U195" s="251"/>
      <c r="V195" s="302"/>
      <c r="W195" s="251"/>
      <c r="X195" s="255"/>
      <c r="Y195" s="302"/>
      <c r="Z195" s="259"/>
      <c r="AA195" s="251"/>
      <c r="AB195" s="302"/>
      <c r="AC195" s="306"/>
      <c r="AD195" s="261"/>
      <c r="AE195" s="261"/>
      <c r="AF195" s="282"/>
    </row>
    <row r="196" spans="2:32" hidden="1">
      <c r="B196" s="266"/>
      <c r="C196" s="220"/>
      <c r="D196" s="220"/>
      <c r="E196" s="220"/>
      <c r="F196" s="220"/>
      <c r="G196" s="223"/>
      <c r="H196" s="226"/>
      <c r="I196" s="226"/>
      <c r="J196" s="216"/>
      <c r="K196" s="216"/>
      <c r="L196" s="216"/>
      <c r="M196" s="230"/>
      <c r="N196" s="234"/>
      <c r="O196" s="238"/>
      <c r="P196" s="243"/>
      <c r="Q196" s="244"/>
      <c r="R196" s="301"/>
      <c r="S196" s="250"/>
      <c r="T196" s="301"/>
      <c r="U196" s="250"/>
      <c r="V196" s="301"/>
      <c r="W196" s="250"/>
      <c r="X196" s="254"/>
      <c r="Y196" s="301"/>
      <c r="Z196" s="258"/>
      <c r="AA196" s="250"/>
      <c r="AB196" s="301"/>
      <c r="AC196" s="305"/>
      <c r="AD196" s="262"/>
      <c r="AE196" s="262"/>
      <c r="AF196" s="283"/>
    </row>
    <row r="197" spans="2:32" hidden="1">
      <c r="B197" s="267"/>
      <c r="C197" s="219"/>
      <c r="D197" s="219"/>
      <c r="E197" s="219"/>
      <c r="F197" s="219"/>
      <c r="G197" s="222"/>
      <c r="H197" s="227"/>
      <c r="I197" s="227"/>
      <c r="J197" s="217"/>
      <c r="K197" s="217"/>
      <c r="L197" s="217"/>
      <c r="M197" s="231"/>
      <c r="N197" s="235"/>
      <c r="O197" s="239"/>
      <c r="P197" s="245"/>
      <c r="Q197" s="246"/>
      <c r="R197" s="302"/>
      <c r="S197" s="251"/>
      <c r="T197" s="302"/>
      <c r="U197" s="251"/>
      <c r="V197" s="302"/>
      <c r="W197" s="251"/>
      <c r="X197" s="255"/>
      <c r="Y197" s="302"/>
      <c r="Z197" s="259"/>
      <c r="AA197" s="251"/>
      <c r="AB197" s="302"/>
      <c r="AC197" s="306"/>
      <c r="AD197" s="261"/>
      <c r="AE197" s="261"/>
      <c r="AF197" s="282"/>
    </row>
    <row r="198" spans="2:32" hidden="1">
      <c r="B198" s="266"/>
      <c r="C198" s="220"/>
      <c r="D198" s="220"/>
      <c r="E198" s="220"/>
      <c r="F198" s="220"/>
      <c r="G198" s="223"/>
      <c r="H198" s="226"/>
      <c r="I198" s="226"/>
      <c r="J198" s="216"/>
      <c r="K198" s="216"/>
      <c r="L198" s="216"/>
      <c r="M198" s="230"/>
      <c r="N198" s="234"/>
      <c r="O198" s="238"/>
      <c r="P198" s="243"/>
      <c r="Q198" s="244"/>
      <c r="R198" s="301"/>
      <c r="S198" s="250"/>
      <c r="T198" s="301"/>
      <c r="U198" s="250"/>
      <c r="V198" s="301"/>
      <c r="W198" s="250"/>
      <c r="X198" s="254"/>
      <c r="Y198" s="301"/>
      <c r="Z198" s="258"/>
      <c r="AA198" s="250"/>
      <c r="AB198" s="301"/>
      <c r="AC198" s="305"/>
      <c r="AD198" s="262"/>
      <c r="AE198" s="262"/>
      <c r="AF198" s="283"/>
    </row>
    <row r="199" spans="2:32" hidden="1">
      <c r="B199" s="267"/>
      <c r="C199" s="219"/>
      <c r="D199" s="219"/>
      <c r="E199" s="219"/>
      <c r="F199" s="219"/>
      <c r="G199" s="222"/>
      <c r="H199" s="227"/>
      <c r="I199" s="227"/>
      <c r="J199" s="217"/>
      <c r="K199" s="217"/>
      <c r="L199" s="217"/>
      <c r="M199" s="231"/>
      <c r="N199" s="235"/>
      <c r="O199" s="239"/>
      <c r="P199" s="245"/>
      <c r="Q199" s="246"/>
      <c r="R199" s="302"/>
      <c r="S199" s="251"/>
      <c r="T199" s="302"/>
      <c r="U199" s="251"/>
      <c r="V199" s="302"/>
      <c r="W199" s="251"/>
      <c r="X199" s="255"/>
      <c r="Y199" s="302"/>
      <c r="Z199" s="259"/>
      <c r="AA199" s="251"/>
      <c r="AB199" s="302"/>
      <c r="AC199" s="306"/>
      <c r="AD199" s="261"/>
      <c r="AE199" s="261"/>
      <c r="AF199" s="282"/>
    </row>
    <row r="200" spans="2:32" hidden="1">
      <c r="B200" s="266"/>
      <c r="C200" s="220"/>
      <c r="D200" s="220"/>
      <c r="E200" s="220"/>
      <c r="F200" s="220"/>
      <c r="G200" s="223"/>
      <c r="H200" s="226"/>
      <c r="I200" s="226"/>
      <c r="J200" s="216"/>
      <c r="K200" s="216"/>
      <c r="L200" s="216"/>
      <c r="M200" s="230"/>
      <c r="N200" s="234"/>
      <c r="O200" s="238"/>
      <c r="P200" s="243"/>
      <c r="Q200" s="244"/>
      <c r="R200" s="301"/>
      <c r="S200" s="250"/>
      <c r="T200" s="301"/>
      <c r="U200" s="250"/>
      <c r="V200" s="301"/>
      <c r="W200" s="250"/>
      <c r="X200" s="254"/>
      <c r="Y200" s="301"/>
      <c r="Z200" s="258"/>
      <c r="AA200" s="250"/>
      <c r="AB200" s="301"/>
      <c r="AC200" s="305"/>
      <c r="AD200" s="262"/>
      <c r="AE200" s="262"/>
      <c r="AF200" s="283"/>
    </row>
    <row r="201" spans="2:32" hidden="1">
      <c r="B201" s="267"/>
      <c r="C201" s="219"/>
      <c r="D201" s="219"/>
      <c r="E201" s="219"/>
      <c r="F201" s="219"/>
      <c r="G201" s="222"/>
      <c r="H201" s="227"/>
      <c r="I201" s="227"/>
      <c r="J201" s="217"/>
      <c r="K201" s="217"/>
      <c r="L201" s="217"/>
      <c r="M201" s="231"/>
      <c r="N201" s="235"/>
      <c r="O201" s="239"/>
      <c r="P201" s="245"/>
      <c r="Q201" s="246"/>
      <c r="R201" s="302"/>
      <c r="S201" s="251"/>
      <c r="T201" s="302"/>
      <c r="U201" s="251"/>
      <c r="V201" s="302"/>
      <c r="W201" s="251"/>
      <c r="X201" s="255"/>
      <c r="Y201" s="302"/>
      <c r="Z201" s="259"/>
      <c r="AA201" s="251"/>
      <c r="AB201" s="302"/>
      <c r="AC201" s="306"/>
      <c r="AD201" s="261"/>
      <c r="AE201" s="261"/>
      <c r="AF201" s="282"/>
    </row>
    <row r="202" spans="2:32" hidden="1">
      <c r="B202" s="266"/>
      <c r="C202" s="220"/>
      <c r="D202" s="220"/>
      <c r="E202" s="220"/>
      <c r="F202" s="220"/>
      <c r="G202" s="223"/>
      <c r="H202" s="226"/>
      <c r="I202" s="226"/>
      <c r="J202" s="216"/>
      <c r="K202" s="216"/>
      <c r="L202" s="216"/>
      <c r="M202" s="230"/>
      <c r="N202" s="234"/>
      <c r="O202" s="238"/>
      <c r="P202" s="243"/>
      <c r="Q202" s="244"/>
      <c r="R202" s="301"/>
      <c r="S202" s="250"/>
      <c r="T202" s="301"/>
      <c r="U202" s="250"/>
      <c r="V202" s="301"/>
      <c r="W202" s="250"/>
      <c r="X202" s="254"/>
      <c r="Y202" s="301"/>
      <c r="Z202" s="258"/>
      <c r="AA202" s="250"/>
      <c r="AB202" s="301"/>
      <c r="AC202" s="305"/>
      <c r="AD202" s="262"/>
      <c r="AE202" s="262"/>
      <c r="AF202" s="283"/>
    </row>
    <row r="203" spans="2:32" hidden="1">
      <c r="B203" s="267"/>
      <c r="C203" s="219"/>
      <c r="D203" s="219"/>
      <c r="E203" s="219"/>
      <c r="F203" s="219"/>
      <c r="G203" s="222"/>
      <c r="H203" s="227"/>
      <c r="I203" s="227"/>
      <c r="J203" s="217"/>
      <c r="K203" s="217"/>
      <c r="L203" s="217"/>
      <c r="M203" s="231"/>
      <c r="N203" s="235"/>
      <c r="O203" s="239"/>
      <c r="P203" s="245"/>
      <c r="Q203" s="246"/>
      <c r="R203" s="302"/>
      <c r="S203" s="251"/>
      <c r="T203" s="302"/>
      <c r="U203" s="251"/>
      <c r="V203" s="302"/>
      <c r="W203" s="251"/>
      <c r="X203" s="255"/>
      <c r="Y203" s="302"/>
      <c r="Z203" s="259"/>
      <c r="AA203" s="251"/>
      <c r="AB203" s="302"/>
      <c r="AC203" s="306"/>
      <c r="AD203" s="261"/>
      <c r="AE203" s="261"/>
      <c r="AF203" s="282"/>
    </row>
    <row r="204" spans="2:32" hidden="1">
      <c r="B204" s="266"/>
      <c r="C204" s="220"/>
      <c r="D204" s="220"/>
      <c r="E204" s="220"/>
      <c r="F204" s="220"/>
      <c r="G204" s="223"/>
      <c r="H204" s="226"/>
      <c r="I204" s="226"/>
      <c r="J204" s="216"/>
      <c r="K204" s="216"/>
      <c r="L204" s="216"/>
      <c r="M204" s="230"/>
      <c r="N204" s="234"/>
      <c r="O204" s="238"/>
      <c r="P204" s="243"/>
      <c r="Q204" s="244"/>
      <c r="R204" s="301"/>
      <c r="S204" s="250"/>
      <c r="T204" s="301"/>
      <c r="U204" s="250"/>
      <c r="V204" s="301"/>
      <c r="W204" s="250"/>
      <c r="X204" s="254"/>
      <c r="Y204" s="301"/>
      <c r="Z204" s="258"/>
      <c r="AA204" s="250"/>
      <c r="AB204" s="301"/>
      <c r="AC204" s="305"/>
      <c r="AD204" s="262"/>
      <c r="AE204" s="262"/>
      <c r="AF204" s="283"/>
    </row>
    <row r="205" spans="2:32" hidden="1">
      <c r="B205" s="267"/>
      <c r="C205" s="219"/>
      <c r="D205" s="219"/>
      <c r="E205" s="219"/>
      <c r="F205" s="219"/>
      <c r="G205" s="222"/>
      <c r="H205" s="227"/>
      <c r="I205" s="227"/>
      <c r="J205" s="217"/>
      <c r="K205" s="217"/>
      <c r="L205" s="217"/>
      <c r="M205" s="231"/>
      <c r="N205" s="235"/>
      <c r="O205" s="239"/>
      <c r="P205" s="245"/>
      <c r="Q205" s="246"/>
      <c r="R205" s="302"/>
      <c r="S205" s="251"/>
      <c r="T205" s="302"/>
      <c r="U205" s="251"/>
      <c r="V205" s="302"/>
      <c r="W205" s="251"/>
      <c r="X205" s="255"/>
      <c r="Y205" s="302"/>
      <c r="Z205" s="259"/>
      <c r="AA205" s="251"/>
      <c r="AB205" s="302"/>
      <c r="AC205" s="306"/>
      <c r="AD205" s="261"/>
      <c r="AE205" s="261"/>
      <c r="AF205" s="282"/>
    </row>
    <row r="206" spans="2:32" hidden="1">
      <c r="B206" s="266"/>
      <c r="C206" s="220"/>
      <c r="D206" s="220"/>
      <c r="E206" s="220"/>
      <c r="F206" s="220"/>
      <c r="G206" s="223"/>
      <c r="H206" s="226"/>
      <c r="I206" s="226"/>
      <c r="J206" s="216"/>
      <c r="K206" s="216"/>
      <c r="L206" s="216"/>
      <c r="M206" s="230"/>
      <c r="N206" s="234"/>
      <c r="O206" s="238"/>
      <c r="P206" s="243"/>
      <c r="Q206" s="244"/>
      <c r="R206" s="301"/>
      <c r="S206" s="250"/>
      <c r="T206" s="301"/>
      <c r="U206" s="250"/>
      <c r="V206" s="301"/>
      <c r="W206" s="250"/>
      <c r="X206" s="254"/>
      <c r="Y206" s="301"/>
      <c r="Z206" s="258"/>
      <c r="AA206" s="250"/>
      <c r="AB206" s="301"/>
      <c r="AC206" s="305"/>
      <c r="AD206" s="262"/>
      <c r="AE206" s="262"/>
      <c r="AF206" s="283"/>
    </row>
    <row r="207" spans="2:32" hidden="1">
      <c r="B207" s="267"/>
      <c r="C207" s="219"/>
      <c r="D207" s="219"/>
      <c r="E207" s="219"/>
      <c r="F207" s="219"/>
      <c r="G207" s="222"/>
      <c r="H207" s="227"/>
      <c r="I207" s="227"/>
      <c r="J207" s="217"/>
      <c r="K207" s="217"/>
      <c r="L207" s="217"/>
      <c r="M207" s="231"/>
      <c r="N207" s="235"/>
      <c r="O207" s="239"/>
      <c r="P207" s="245"/>
      <c r="Q207" s="246"/>
      <c r="R207" s="302"/>
      <c r="S207" s="251"/>
      <c r="T207" s="302"/>
      <c r="U207" s="251"/>
      <c r="V207" s="302"/>
      <c r="W207" s="251"/>
      <c r="X207" s="255"/>
      <c r="Y207" s="302"/>
      <c r="Z207" s="259"/>
      <c r="AA207" s="251"/>
      <c r="AB207" s="302"/>
      <c r="AC207" s="306"/>
      <c r="AD207" s="261"/>
      <c r="AE207" s="261"/>
      <c r="AF207" s="282"/>
    </row>
    <row r="208" spans="2:32" hidden="1">
      <c r="B208" s="266"/>
      <c r="C208" s="220"/>
      <c r="D208" s="220"/>
      <c r="E208" s="220"/>
      <c r="F208" s="220"/>
      <c r="G208" s="223"/>
      <c r="H208" s="226"/>
      <c r="I208" s="226"/>
      <c r="J208" s="216"/>
      <c r="K208" s="216"/>
      <c r="L208" s="216"/>
      <c r="M208" s="230"/>
      <c r="N208" s="234"/>
      <c r="O208" s="238"/>
      <c r="P208" s="243"/>
      <c r="Q208" s="244"/>
      <c r="R208" s="301"/>
      <c r="S208" s="250"/>
      <c r="T208" s="301"/>
      <c r="U208" s="250"/>
      <c r="V208" s="301"/>
      <c r="W208" s="250"/>
      <c r="X208" s="254"/>
      <c r="Y208" s="301"/>
      <c r="Z208" s="258"/>
      <c r="AA208" s="250"/>
      <c r="AB208" s="301"/>
      <c r="AC208" s="305"/>
      <c r="AD208" s="262"/>
      <c r="AE208" s="262"/>
      <c r="AF208" s="283"/>
    </row>
    <row r="209" spans="2:32" hidden="1">
      <c r="B209" s="267"/>
      <c r="C209" s="219"/>
      <c r="D209" s="219"/>
      <c r="E209" s="219"/>
      <c r="F209" s="219"/>
      <c r="G209" s="222"/>
      <c r="H209" s="227"/>
      <c r="I209" s="227"/>
      <c r="J209" s="217"/>
      <c r="K209" s="217"/>
      <c r="L209" s="217"/>
      <c r="M209" s="231"/>
      <c r="N209" s="235"/>
      <c r="O209" s="239"/>
      <c r="P209" s="245"/>
      <c r="Q209" s="246"/>
      <c r="R209" s="302"/>
      <c r="S209" s="251"/>
      <c r="T209" s="302"/>
      <c r="U209" s="251"/>
      <c r="V209" s="302"/>
      <c r="W209" s="251"/>
      <c r="X209" s="255"/>
      <c r="Y209" s="302"/>
      <c r="Z209" s="259"/>
      <c r="AA209" s="251"/>
      <c r="AB209" s="302"/>
      <c r="AC209" s="306"/>
      <c r="AD209" s="261"/>
      <c r="AE209" s="261"/>
      <c r="AF209" s="282"/>
    </row>
    <row r="210" spans="2:32" hidden="1">
      <c r="B210" s="266"/>
      <c r="C210" s="220"/>
      <c r="D210" s="220"/>
      <c r="E210" s="220"/>
      <c r="F210" s="220"/>
      <c r="G210" s="223"/>
      <c r="H210" s="226"/>
      <c r="I210" s="226"/>
      <c r="J210" s="216"/>
      <c r="K210" s="216"/>
      <c r="L210" s="216"/>
      <c r="M210" s="230"/>
      <c r="N210" s="234"/>
      <c r="O210" s="238"/>
      <c r="P210" s="243"/>
      <c r="Q210" s="244"/>
      <c r="R210" s="301"/>
      <c r="S210" s="250"/>
      <c r="T210" s="301"/>
      <c r="U210" s="250"/>
      <c r="V210" s="301"/>
      <c r="W210" s="250"/>
      <c r="X210" s="254"/>
      <c r="Y210" s="301"/>
      <c r="Z210" s="258"/>
      <c r="AA210" s="250"/>
      <c r="AB210" s="301"/>
      <c r="AC210" s="305"/>
      <c r="AD210" s="262"/>
      <c r="AE210" s="262"/>
      <c r="AF210" s="283"/>
    </row>
    <row r="211" spans="2:32" hidden="1">
      <c r="B211" s="267"/>
      <c r="C211" s="219"/>
      <c r="D211" s="219"/>
      <c r="E211" s="219"/>
      <c r="F211" s="219"/>
      <c r="G211" s="222"/>
      <c r="H211" s="227"/>
      <c r="I211" s="227"/>
      <c r="J211" s="217"/>
      <c r="K211" s="217"/>
      <c r="L211" s="217"/>
      <c r="M211" s="231"/>
      <c r="N211" s="235"/>
      <c r="O211" s="239"/>
      <c r="P211" s="245"/>
      <c r="Q211" s="246"/>
      <c r="R211" s="302"/>
      <c r="S211" s="251"/>
      <c r="T211" s="302"/>
      <c r="U211" s="251"/>
      <c r="V211" s="302"/>
      <c r="W211" s="251"/>
      <c r="X211" s="255"/>
      <c r="Y211" s="302"/>
      <c r="Z211" s="259"/>
      <c r="AA211" s="251"/>
      <c r="AB211" s="302"/>
      <c r="AC211" s="306"/>
      <c r="AD211" s="261"/>
      <c r="AE211" s="261"/>
      <c r="AF211" s="282"/>
    </row>
    <row r="212" spans="2:32" hidden="1">
      <c r="B212" s="266"/>
      <c r="C212" s="220"/>
      <c r="D212" s="220"/>
      <c r="E212" s="220"/>
      <c r="F212" s="220"/>
      <c r="G212" s="223"/>
      <c r="H212" s="226"/>
      <c r="I212" s="226"/>
      <c r="J212" s="216"/>
      <c r="K212" s="216"/>
      <c r="L212" s="216"/>
      <c r="M212" s="230"/>
      <c r="N212" s="234"/>
      <c r="O212" s="238"/>
      <c r="P212" s="243"/>
      <c r="Q212" s="244"/>
      <c r="R212" s="301"/>
      <c r="S212" s="250"/>
      <c r="T212" s="301"/>
      <c r="U212" s="250"/>
      <c r="V212" s="301"/>
      <c r="W212" s="250"/>
      <c r="X212" s="254"/>
      <c r="Y212" s="301"/>
      <c r="Z212" s="258"/>
      <c r="AA212" s="250"/>
      <c r="AB212" s="301"/>
      <c r="AC212" s="305"/>
      <c r="AD212" s="262"/>
      <c r="AE212" s="262"/>
      <c r="AF212" s="283"/>
    </row>
    <row r="213" spans="2:32" hidden="1">
      <c r="B213" s="267"/>
      <c r="C213" s="219"/>
      <c r="D213" s="219"/>
      <c r="E213" s="219"/>
      <c r="F213" s="219"/>
      <c r="G213" s="222"/>
      <c r="H213" s="227"/>
      <c r="I213" s="227"/>
      <c r="J213" s="217"/>
      <c r="K213" s="217"/>
      <c r="L213" s="217"/>
      <c r="M213" s="231"/>
      <c r="N213" s="235"/>
      <c r="O213" s="239"/>
      <c r="P213" s="245"/>
      <c r="Q213" s="246"/>
      <c r="R213" s="302"/>
      <c r="S213" s="251"/>
      <c r="T213" s="302"/>
      <c r="U213" s="251"/>
      <c r="V213" s="302"/>
      <c r="W213" s="251"/>
      <c r="X213" s="255"/>
      <c r="Y213" s="302"/>
      <c r="Z213" s="259"/>
      <c r="AA213" s="251"/>
      <c r="AB213" s="302"/>
      <c r="AC213" s="306"/>
      <c r="AD213" s="261"/>
      <c r="AE213" s="261"/>
      <c r="AF213" s="282"/>
    </row>
    <row r="214" spans="2:32" hidden="1">
      <c r="B214" s="266"/>
      <c r="C214" s="220"/>
      <c r="D214" s="220"/>
      <c r="E214" s="220"/>
      <c r="F214" s="220"/>
      <c r="G214" s="223"/>
      <c r="H214" s="226"/>
      <c r="I214" s="226"/>
      <c r="J214" s="216"/>
      <c r="K214" s="216"/>
      <c r="L214" s="216"/>
      <c r="M214" s="230"/>
      <c r="N214" s="234"/>
      <c r="O214" s="238"/>
      <c r="P214" s="243"/>
      <c r="Q214" s="244"/>
      <c r="R214" s="301"/>
      <c r="S214" s="250"/>
      <c r="T214" s="301"/>
      <c r="U214" s="250"/>
      <c r="V214" s="301"/>
      <c r="W214" s="250"/>
      <c r="X214" s="254"/>
      <c r="Y214" s="301"/>
      <c r="Z214" s="258"/>
      <c r="AA214" s="250"/>
      <c r="AB214" s="301"/>
      <c r="AC214" s="305"/>
      <c r="AD214" s="262"/>
      <c r="AE214" s="262"/>
      <c r="AF214" s="283"/>
    </row>
    <row r="215" spans="2:32" hidden="1">
      <c r="B215" s="267"/>
      <c r="C215" s="219"/>
      <c r="D215" s="219"/>
      <c r="E215" s="219"/>
      <c r="F215" s="219"/>
      <c r="G215" s="222"/>
      <c r="H215" s="227"/>
      <c r="I215" s="227"/>
      <c r="J215" s="217"/>
      <c r="K215" s="217"/>
      <c r="L215" s="217"/>
      <c r="M215" s="231"/>
      <c r="N215" s="235"/>
      <c r="O215" s="239"/>
      <c r="P215" s="245"/>
      <c r="Q215" s="246"/>
      <c r="R215" s="302"/>
      <c r="S215" s="251"/>
      <c r="T215" s="302"/>
      <c r="U215" s="251"/>
      <c r="V215" s="302"/>
      <c r="W215" s="251"/>
      <c r="X215" s="255"/>
      <c r="Y215" s="302"/>
      <c r="Z215" s="259"/>
      <c r="AA215" s="251"/>
      <c r="AB215" s="302"/>
      <c r="AC215" s="306"/>
      <c r="AD215" s="261"/>
      <c r="AE215" s="261"/>
      <c r="AF215" s="282"/>
    </row>
    <row r="216" spans="2:32" hidden="1">
      <c r="B216" s="266"/>
      <c r="C216" s="220"/>
      <c r="D216" s="220"/>
      <c r="E216" s="220"/>
      <c r="F216" s="220"/>
      <c r="G216" s="223"/>
      <c r="H216" s="226"/>
      <c r="I216" s="226"/>
      <c r="J216" s="216"/>
      <c r="K216" s="216"/>
      <c r="L216" s="216"/>
      <c r="M216" s="230"/>
      <c r="N216" s="234"/>
      <c r="O216" s="238"/>
      <c r="P216" s="243"/>
      <c r="Q216" s="244"/>
      <c r="R216" s="301"/>
      <c r="S216" s="250"/>
      <c r="T216" s="301"/>
      <c r="U216" s="250"/>
      <c r="V216" s="301"/>
      <c r="W216" s="250"/>
      <c r="X216" s="254"/>
      <c r="Y216" s="301"/>
      <c r="Z216" s="258"/>
      <c r="AA216" s="250"/>
      <c r="AB216" s="301"/>
      <c r="AC216" s="305"/>
      <c r="AD216" s="262"/>
      <c r="AE216" s="262"/>
      <c r="AF216" s="283"/>
    </row>
    <row r="217" spans="2:32" hidden="1">
      <c r="B217" s="267"/>
      <c r="C217" s="219"/>
      <c r="D217" s="219"/>
      <c r="E217" s="219"/>
      <c r="F217" s="219"/>
      <c r="G217" s="222"/>
      <c r="H217" s="227"/>
      <c r="I217" s="227"/>
      <c r="J217" s="217"/>
      <c r="K217" s="217"/>
      <c r="L217" s="217"/>
      <c r="M217" s="231"/>
      <c r="N217" s="235"/>
      <c r="O217" s="239"/>
      <c r="P217" s="245"/>
      <c r="Q217" s="246"/>
      <c r="R217" s="302"/>
      <c r="S217" s="251"/>
      <c r="T217" s="302"/>
      <c r="U217" s="251"/>
      <c r="V217" s="302"/>
      <c r="W217" s="251"/>
      <c r="X217" s="255"/>
      <c r="Y217" s="302"/>
      <c r="Z217" s="259"/>
      <c r="AA217" s="251"/>
      <c r="AB217" s="302"/>
      <c r="AC217" s="306"/>
      <c r="AD217" s="261"/>
      <c r="AE217" s="261"/>
      <c r="AF217" s="282"/>
    </row>
    <row r="218" spans="2:32" hidden="1">
      <c r="B218" s="266"/>
      <c r="C218" s="220"/>
      <c r="D218" s="220"/>
      <c r="E218" s="220"/>
      <c r="F218" s="220"/>
      <c r="G218" s="223"/>
      <c r="H218" s="226"/>
      <c r="I218" s="226"/>
      <c r="J218" s="216"/>
      <c r="K218" s="216"/>
      <c r="L218" s="216"/>
      <c r="M218" s="230"/>
      <c r="N218" s="234"/>
      <c r="O218" s="238"/>
      <c r="P218" s="243"/>
      <c r="Q218" s="244"/>
      <c r="R218" s="301"/>
      <c r="S218" s="250"/>
      <c r="T218" s="301"/>
      <c r="U218" s="250"/>
      <c r="V218" s="301"/>
      <c r="W218" s="250"/>
      <c r="X218" s="254"/>
      <c r="Y218" s="301"/>
      <c r="Z218" s="258"/>
      <c r="AA218" s="250"/>
      <c r="AB218" s="301"/>
      <c r="AC218" s="305"/>
      <c r="AD218" s="262"/>
      <c r="AE218" s="262"/>
      <c r="AF218" s="283"/>
    </row>
    <row r="219" spans="2:32" hidden="1">
      <c r="B219" s="267"/>
      <c r="C219" s="219"/>
      <c r="D219" s="219"/>
      <c r="E219" s="219"/>
      <c r="F219" s="219"/>
      <c r="G219" s="222"/>
      <c r="H219" s="227"/>
      <c r="I219" s="227"/>
      <c r="J219" s="217"/>
      <c r="K219" s="217"/>
      <c r="L219" s="217"/>
      <c r="M219" s="231"/>
      <c r="N219" s="235"/>
      <c r="O219" s="239"/>
      <c r="P219" s="245"/>
      <c r="Q219" s="246"/>
      <c r="R219" s="302"/>
      <c r="S219" s="251"/>
      <c r="T219" s="302"/>
      <c r="U219" s="251"/>
      <c r="V219" s="302"/>
      <c r="W219" s="251"/>
      <c r="X219" s="255"/>
      <c r="Y219" s="302"/>
      <c r="Z219" s="259"/>
      <c r="AA219" s="251"/>
      <c r="AB219" s="302"/>
      <c r="AC219" s="306"/>
      <c r="AD219" s="261"/>
      <c r="AE219" s="261"/>
      <c r="AF219" s="282"/>
    </row>
    <row r="220" spans="2:32" hidden="1">
      <c r="B220" s="266"/>
      <c r="C220" s="220"/>
      <c r="D220" s="220"/>
      <c r="E220" s="220"/>
      <c r="F220" s="220"/>
      <c r="G220" s="223"/>
      <c r="H220" s="226"/>
      <c r="I220" s="226"/>
      <c r="J220" s="216"/>
      <c r="K220" s="216"/>
      <c r="L220" s="216"/>
      <c r="M220" s="230"/>
      <c r="N220" s="234"/>
      <c r="O220" s="238"/>
      <c r="P220" s="243"/>
      <c r="Q220" s="244"/>
      <c r="R220" s="301"/>
      <c r="S220" s="250"/>
      <c r="T220" s="301"/>
      <c r="U220" s="250"/>
      <c r="V220" s="301"/>
      <c r="W220" s="250"/>
      <c r="X220" s="254"/>
      <c r="Y220" s="301"/>
      <c r="Z220" s="258"/>
      <c r="AA220" s="250"/>
      <c r="AB220" s="301"/>
      <c r="AC220" s="305"/>
      <c r="AD220" s="262"/>
      <c r="AE220" s="262"/>
      <c r="AF220" s="283"/>
    </row>
    <row r="221" spans="2:32" hidden="1">
      <c r="B221" s="267"/>
      <c r="C221" s="219"/>
      <c r="D221" s="219"/>
      <c r="E221" s="219"/>
      <c r="F221" s="219"/>
      <c r="G221" s="222"/>
      <c r="H221" s="227"/>
      <c r="I221" s="227"/>
      <c r="J221" s="217"/>
      <c r="K221" s="217"/>
      <c r="L221" s="217"/>
      <c r="M221" s="231"/>
      <c r="N221" s="235"/>
      <c r="O221" s="239"/>
      <c r="P221" s="245"/>
      <c r="Q221" s="246"/>
      <c r="R221" s="302"/>
      <c r="S221" s="251"/>
      <c r="T221" s="302"/>
      <c r="U221" s="251"/>
      <c r="V221" s="302"/>
      <c r="W221" s="251"/>
      <c r="X221" s="255"/>
      <c r="Y221" s="302"/>
      <c r="Z221" s="259"/>
      <c r="AA221" s="251"/>
      <c r="AB221" s="302"/>
      <c r="AC221" s="306"/>
      <c r="AD221" s="261"/>
      <c r="AE221" s="261"/>
      <c r="AF221" s="282"/>
    </row>
    <row r="222" spans="2:32" hidden="1">
      <c r="B222" s="266"/>
      <c r="C222" s="220"/>
      <c r="D222" s="220"/>
      <c r="E222" s="220"/>
      <c r="F222" s="220"/>
      <c r="G222" s="223"/>
      <c r="H222" s="226"/>
      <c r="I222" s="226"/>
      <c r="J222" s="216"/>
      <c r="K222" s="216"/>
      <c r="L222" s="216"/>
      <c r="M222" s="230"/>
      <c r="N222" s="234"/>
      <c r="O222" s="238"/>
      <c r="P222" s="243"/>
      <c r="Q222" s="244"/>
      <c r="R222" s="301"/>
      <c r="S222" s="250"/>
      <c r="T222" s="301"/>
      <c r="U222" s="250"/>
      <c r="V222" s="301"/>
      <c r="W222" s="250"/>
      <c r="X222" s="254"/>
      <c r="Y222" s="301"/>
      <c r="Z222" s="258"/>
      <c r="AA222" s="250"/>
      <c r="AB222" s="301"/>
      <c r="AC222" s="305"/>
      <c r="AD222" s="262"/>
      <c r="AE222" s="262"/>
      <c r="AF222" s="283"/>
    </row>
    <row r="223" spans="2:32" hidden="1">
      <c r="B223" s="267"/>
      <c r="C223" s="219"/>
      <c r="D223" s="219"/>
      <c r="E223" s="219"/>
      <c r="F223" s="219"/>
      <c r="G223" s="222"/>
      <c r="H223" s="227"/>
      <c r="I223" s="227"/>
      <c r="J223" s="217"/>
      <c r="K223" s="217"/>
      <c r="L223" s="217"/>
      <c r="M223" s="231"/>
      <c r="N223" s="235"/>
      <c r="O223" s="239"/>
      <c r="P223" s="245"/>
      <c r="Q223" s="246"/>
      <c r="R223" s="302"/>
      <c r="S223" s="251"/>
      <c r="T223" s="302"/>
      <c r="U223" s="251"/>
      <c r="V223" s="302"/>
      <c r="W223" s="251"/>
      <c r="X223" s="255"/>
      <c r="Y223" s="302"/>
      <c r="Z223" s="259"/>
      <c r="AA223" s="251"/>
      <c r="AB223" s="302"/>
      <c r="AC223" s="306"/>
      <c r="AD223" s="261"/>
      <c r="AE223" s="261"/>
      <c r="AF223" s="282"/>
    </row>
    <row r="224" spans="2:32" hidden="1">
      <c r="B224" s="266"/>
      <c r="C224" s="220"/>
      <c r="D224" s="220"/>
      <c r="E224" s="220"/>
      <c r="F224" s="220"/>
      <c r="G224" s="223"/>
      <c r="H224" s="226"/>
      <c r="I224" s="226"/>
      <c r="J224" s="216"/>
      <c r="K224" s="216"/>
      <c r="L224" s="216"/>
      <c r="M224" s="230"/>
      <c r="N224" s="234"/>
      <c r="O224" s="238"/>
      <c r="P224" s="243"/>
      <c r="Q224" s="244"/>
      <c r="R224" s="301"/>
      <c r="S224" s="250"/>
      <c r="T224" s="301"/>
      <c r="U224" s="250"/>
      <c r="V224" s="301"/>
      <c r="W224" s="250"/>
      <c r="X224" s="254"/>
      <c r="Y224" s="301"/>
      <c r="Z224" s="258"/>
      <c r="AA224" s="250"/>
      <c r="AB224" s="301"/>
      <c r="AC224" s="305"/>
      <c r="AD224" s="262"/>
      <c r="AE224" s="262"/>
      <c r="AF224" s="283"/>
    </row>
    <row r="225" spans="2:32" hidden="1">
      <c r="B225" s="267"/>
      <c r="C225" s="219"/>
      <c r="D225" s="219"/>
      <c r="E225" s="219"/>
      <c r="F225" s="219"/>
      <c r="G225" s="222"/>
      <c r="H225" s="227"/>
      <c r="I225" s="227"/>
      <c r="J225" s="217"/>
      <c r="K225" s="217"/>
      <c r="L225" s="217"/>
      <c r="M225" s="231"/>
      <c r="N225" s="235"/>
      <c r="O225" s="239"/>
      <c r="P225" s="245"/>
      <c r="Q225" s="246"/>
      <c r="R225" s="302"/>
      <c r="S225" s="251"/>
      <c r="T225" s="302"/>
      <c r="U225" s="251"/>
      <c r="V225" s="302"/>
      <c r="W225" s="251"/>
      <c r="X225" s="255"/>
      <c r="Y225" s="302"/>
      <c r="Z225" s="259"/>
      <c r="AA225" s="251"/>
      <c r="AB225" s="302"/>
      <c r="AC225" s="306"/>
      <c r="AD225" s="261"/>
      <c r="AE225" s="261"/>
      <c r="AF225" s="282"/>
    </row>
    <row r="226" spans="2:32" hidden="1">
      <c r="B226" s="266"/>
      <c r="C226" s="220"/>
      <c r="D226" s="220"/>
      <c r="E226" s="220"/>
      <c r="F226" s="220"/>
      <c r="G226" s="223"/>
      <c r="H226" s="226"/>
      <c r="I226" s="226"/>
      <c r="J226" s="216"/>
      <c r="K226" s="216"/>
      <c r="L226" s="216"/>
      <c r="M226" s="230"/>
      <c r="N226" s="234"/>
      <c r="O226" s="238"/>
      <c r="P226" s="243"/>
      <c r="Q226" s="244"/>
      <c r="R226" s="301"/>
      <c r="S226" s="250"/>
      <c r="T226" s="301"/>
      <c r="U226" s="250"/>
      <c r="V226" s="301"/>
      <c r="W226" s="250"/>
      <c r="X226" s="254"/>
      <c r="Y226" s="301"/>
      <c r="Z226" s="258"/>
      <c r="AA226" s="250"/>
      <c r="AB226" s="301"/>
      <c r="AC226" s="305"/>
      <c r="AD226" s="262"/>
      <c r="AE226" s="262"/>
      <c r="AF226" s="283"/>
    </row>
    <row r="227" spans="2:32" hidden="1">
      <c r="B227" s="267"/>
      <c r="C227" s="219"/>
      <c r="D227" s="219"/>
      <c r="E227" s="219"/>
      <c r="F227" s="219"/>
      <c r="G227" s="222"/>
      <c r="H227" s="227"/>
      <c r="I227" s="227"/>
      <c r="J227" s="217"/>
      <c r="K227" s="217"/>
      <c r="L227" s="217"/>
      <c r="M227" s="231"/>
      <c r="N227" s="235"/>
      <c r="O227" s="239"/>
      <c r="P227" s="245"/>
      <c r="Q227" s="246"/>
      <c r="R227" s="302"/>
      <c r="S227" s="251"/>
      <c r="T227" s="302"/>
      <c r="U227" s="251"/>
      <c r="V227" s="302"/>
      <c r="W227" s="251"/>
      <c r="X227" s="255"/>
      <c r="Y227" s="302"/>
      <c r="Z227" s="259"/>
      <c r="AA227" s="251"/>
      <c r="AB227" s="302"/>
      <c r="AC227" s="306"/>
      <c r="AD227" s="261"/>
      <c r="AE227" s="261"/>
      <c r="AF227" s="282"/>
    </row>
    <row r="228" spans="2:32" hidden="1">
      <c r="B228" s="266"/>
      <c r="C228" s="220"/>
      <c r="D228" s="220"/>
      <c r="E228" s="220"/>
      <c r="F228" s="220"/>
      <c r="G228" s="223"/>
      <c r="H228" s="226"/>
      <c r="I228" s="226"/>
      <c r="J228" s="216"/>
      <c r="K228" s="216"/>
      <c r="L228" s="216"/>
      <c r="M228" s="230"/>
      <c r="N228" s="234"/>
      <c r="O228" s="238"/>
      <c r="P228" s="243"/>
      <c r="Q228" s="244"/>
      <c r="R228" s="301"/>
      <c r="S228" s="250"/>
      <c r="T228" s="301"/>
      <c r="U228" s="250"/>
      <c r="V228" s="301"/>
      <c r="W228" s="250"/>
      <c r="X228" s="254"/>
      <c r="Y228" s="301"/>
      <c r="Z228" s="258"/>
      <c r="AA228" s="250"/>
      <c r="AB228" s="301"/>
      <c r="AC228" s="305"/>
      <c r="AD228" s="262"/>
      <c r="AE228" s="262"/>
      <c r="AF228" s="283"/>
    </row>
    <row r="229" spans="2:32" hidden="1">
      <c r="B229" s="267"/>
      <c r="C229" s="219"/>
      <c r="D229" s="219"/>
      <c r="E229" s="219"/>
      <c r="F229" s="219"/>
      <c r="G229" s="222"/>
      <c r="H229" s="227"/>
      <c r="I229" s="227"/>
      <c r="J229" s="217"/>
      <c r="K229" s="217"/>
      <c r="L229" s="217"/>
      <c r="M229" s="231"/>
      <c r="N229" s="235"/>
      <c r="O229" s="239"/>
      <c r="P229" s="245"/>
      <c r="Q229" s="246"/>
      <c r="R229" s="302"/>
      <c r="S229" s="251"/>
      <c r="T229" s="302"/>
      <c r="U229" s="251"/>
      <c r="V229" s="302"/>
      <c r="W229" s="251"/>
      <c r="X229" s="255"/>
      <c r="Y229" s="302"/>
      <c r="Z229" s="259"/>
      <c r="AA229" s="251"/>
      <c r="AB229" s="302"/>
      <c r="AC229" s="306"/>
      <c r="AD229" s="261"/>
      <c r="AE229" s="261"/>
      <c r="AF229" s="282"/>
    </row>
    <row r="230" spans="2:32" hidden="1">
      <c r="B230" s="266"/>
      <c r="C230" s="220"/>
      <c r="D230" s="220"/>
      <c r="E230" s="220"/>
      <c r="F230" s="220"/>
      <c r="G230" s="223"/>
      <c r="H230" s="226"/>
      <c r="I230" s="226"/>
      <c r="J230" s="216"/>
      <c r="K230" s="216"/>
      <c r="L230" s="216"/>
      <c r="M230" s="230"/>
      <c r="N230" s="234"/>
      <c r="O230" s="238"/>
      <c r="P230" s="243"/>
      <c r="Q230" s="244"/>
      <c r="R230" s="301"/>
      <c r="S230" s="250"/>
      <c r="T230" s="301"/>
      <c r="U230" s="250"/>
      <c r="V230" s="301"/>
      <c r="W230" s="250"/>
      <c r="X230" s="254"/>
      <c r="Y230" s="301"/>
      <c r="Z230" s="258"/>
      <c r="AA230" s="250"/>
      <c r="AB230" s="301"/>
      <c r="AC230" s="305"/>
      <c r="AD230" s="262"/>
      <c r="AE230" s="262"/>
      <c r="AF230" s="283"/>
    </row>
    <row r="231" spans="2:32" hidden="1">
      <c r="B231" s="267"/>
      <c r="C231" s="219"/>
      <c r="D231" s="219"/>
      <c r="E231" s="219"/>
      <c r="F231" s="219"/>
      <c r="G231" s="222"/>
      <c r="H231" s="227"/>
      <c r="I231" s="227"/>
      <c r="J231" s="217"/>
      <c r="K231" s="217"/>
      <c r="L231" s="217"/>
      <c r="M231" s="231"/>
      <c r="N231" s="235"/>
      <c r="O231" s="239"/>
      <c r="P231" s="245"/>
      <c r="Q231" s="246"/>
      <c r="R231" s="302"/>
      <c r="S231" s="251"/>
      <c r="T231" s="302"/>
      <c r="U231" s="251"/>
      <c r="V231" s="302"/>
      <c r="W231" s="251"/>
      <c r="X231" s="255"/>
      <c r="Y231" s="302"/>
      <c r="Z231" s="259"/>
      <c r="AA231" s="251"/>
      <c r="AB231" s="302"/>
      <c r="AC231" s="306"/>
      <c r="AD231" s="261"/>
      <c r="AE231" s="261"/>
      <c r="AF231" s="282"/>
    </row>
    <row r="232" spans="2:32" hidden="1">
      <c r="B232" s="266"/>
      <c r="C232" s="220"/>
      <c r="D232" s="220"/>
      <c r="E232" s="220"/>
      <c r="F232" s="220"/>
      <c r="G232" s="223"/>
      <c r="H232" s="226"/>
      <c r="I232" s="226"/>
      <c r="J232" s="216"/>
      <c r="K232" s="216"/>
      <c r="L232" s="216"/>
      <c r="M232" s="230"/>
      <c r="N232" s="234"/>
      <c r="O232" s="238"/>
      <c r="P232" s="243"/>
      <c r="Q232" s="244"/>
      <c r="R232" s="301"/>
      <c r="S232" s="250"/>
      <c r="T232" s="301"/>
      <c r="U232" s="250"/>
      <c r="V232" s="301"/>
      <c r="W232" s="250"/>
      <c r="X232" s="254"/>
      <c r="Y232" s="301"/>
      <c r="Z232" s="258"/>
      <c r="AA232" s="250"/>
      <c r="AB232" s="301"/>
      <c r="AC232" s="305"/>
      <c r="AD232" s="262"/>
      <c r="AE232" s="262"/>
      <c r="AF232" s="283"/>
    </row>
    <row r="233" spans="2:32" hidden="1">
      <c r="B233" s="267"/>
      <c r="C233" s="219"/>
      <c r="D233" s="219"/>
      <c r="E233" s="219"/>
      <c r="F233" s="219"/>
      <c r="G233" s="222"/>
      <c r="H233" s="227"/>
      <c r="I233" s="227"/>
      <c r="J233" s="217"/>
      <c r="K233" s="217"/>
      <c r="L233" s="217"/>
      <c r="M233" s="231"/>
      <c r="N233" s="235"/>
      <c r="O233" s="239"/>
      <c r="P233" s="245"/>
      <c r="Q233" s="246"/>
      <c r="R233" s="302"/>
      <c r="S233" s="251"/>
      <c r="T233" s="302"/>
      <c r="U233" s="251"/>
      <c r="V233" s="302"/>
      <c r="W233" s="251"/>
      <c r="X233" s="255"/>
      <c r="Y233" s="302"/>
      <c r="Z233" s="259"/>
      <c r="AA233" s="251"/>
      <c r="AB233" s="302"/>
      <c r="AC233" s="306"/>
      <c r="AD233" s="261"/>
      <c r="AE233" s="261"/>
      <c r="AF233" s="282"/>
    </row>
    <row r="234" spans="2:32" hidden="1">
      <c r="B234" s="266"/>
      <c r="C234" s="220"/>
      <c r="D234" s="220"/>
      <c r="E234" s="220"/>
      <c r="F234" s="220"/>
      <c r="G234" s="223"/>
      <c r="H234" s="226"/>
      <c r="I234" s="226"/>
      <c r="J234" s="216"/>
      <c r="K234" s="216"/>
      <c r="L234" s="216"/>
      <c r="M234" s="230"/>
      <c r="N234" s="234"/>
      <c r="O234" s="238"/>
      <c r="P234" s="243"/>
      <c r="Q234" s="244"/>
      <c r="R234" s="301"/>
      <c r="S234" s="250"/>
      <c r="T234" s="301"/>
      <c r="U234" s="250"/>
      <c r="V234" s="301"/>
      <c r="W234" s="250"/>
      <c r="X234" s="254"/>
      <c r="Y234" s="301"/>
      <c r="Z234" s="258"/>
      <c r="AA234" s="250"/>
      <c r="AB234" s="301"/>
      <c r="AC234" s="305"/>
      <c r="AD234" s="262"/>
      <c r="AE234" s="262"/>
      <c r="AF234" s="283"/>
    </row>
    <row r="235" spans="2:32" hidden="1">
      <c r="B235" s="267"/>
      <c r="C235" s="219"/>
      <c r="D235" s="219"/>
      <c r="E235" s="219"/>
      <c r="F235" s="219"/>
      <c r="G235" s="222"/>
      <c r="H235" s="227"/>
      <c r="I235" s="227"/>
      <c r="J235" s="217"/>
      <c r="K235" s="217"/>
      <c r="L235" s="217"/>
      <c r="M235" s="231"/>
      <c r="N235" s="235"/>
      <c r="O235" s="239"/>
      <c r="P235" s="245"/>
      <c r="Q235" s="246"/>
      <c r="R235" s="302"/>
      <c r="S235" s="251"/>
      <c r="T235" s="302"/>
      <c r="U235" s="251"/>
      <c r="V235" s="302"/>
      <c r="W235" s="251"/>
      <c r="X235" s="255"/>
      <c r="Y235" s="302"/>
      <c r="Z235" s="259"/>
      <c r="AA235" s="251"/>
      <c r="AB235" s="302"/>
      <c r="AC235" s="306"/>
      <c r="AD235" s="261"/>
      <c r="AE235" s="261"/>
      <c r="AF235" s="282"/>
    </row>
    <row r="236" spans="2:32" hidden="1">
      <c r="B236" s="266"/>
      <c r="C236" s="220"/>
      <c r="D236" s="220"/>
      <c r="E236" s="220"/>
      <c r="F236" s="220"/>
      <c r="G236" s="223"/>
      <c r="H236" s="226"/>
      <c r="I236" s="226"/>
      <c r="J236" s="216"/>
      <c r="K236" s="216"/>
      <c r="L236" s="216"/>
      <c r="M236" s="230"/>
      <c r="N236" s="234"/>
      <c r="O236" s="238"/>
      <c r="P236" s="243"/>
      <c r="Q236" s="244"/>
      <c r="R236" s="301"/>
      <c r="S236" s="250"/>
      <c r="T236" s="301"/>
      <c r="U236" s="250"/>
      <c r="V236" s="301"/>
      <c r="W236" s="250"/>
      <c r="X236" s="254"/>
      <c r="Y236" s="301"/>
      <c r="Z236" s="258"/>
      <c r="AA236" s="250"/>
      <c r="AB236" s="301"/>
      <c r="AC236" s="305"/>
      <c r="AD236" s="262"/>
      <c r="AE236" s="262"/>
      <c r="AF236" s="283"/>
    </row>
    <row r="237" spans="2:32" hidden="1">
      <c r="B237" s="267"/>
      <c r="C237" s="219"/>
      <c r="D237" s="219"/>
      <c r="E237" s="219"/>
      <c r="F237" s="219"/>
      <c r="G237" s="222"/>
      <c r="H237" s="227"/>
      <c r="I237" s="227"/>
      <c r="J237" s="217"/>
      <c r="K237" s="217"/>
      <c r="L237" s="217"/>
      <c r="M237" s="231"/>
      <c r="N237" s="235"/>
      <c r="O237" s="239"/>
      <c r="P237" s="245"/>
      <c r="Q237" s="246"/>
      <c r="R237" s="302"/>
      <c r="S237" s="251"/>
      <c r="T237" s="302"/>
      <c r="U237" s="251"/>
      <c r="V237" s="302"/>
      <c r="W237" s="251"/>
      <c r="X237" s="255"/>
      <c r="Y237" s="302"/>
      <c r="Z237" s="259"/>
      <c r="AA237" s="251"/>
      <c r="AB237" s="302"/>
      <c r="AC237" s="306"/>
      <c r="AD237" s="261"/>
      <c r="AE237" s="261"/>
      <c r="AF237" s="282"/>
    </row>
    <row r="238" spans="2:32" hidden="1">
      <c r="B238" s="266"/>
      <c r="C238" s="220"/>
      <c r="D238" s="220"/>
      <c r="E238" s="220"/>
      <c r="F238" s="220"/>
      <c r="G238" s="223"/>
      <c r="H238" s="226"/>
      <c r="I238" s="226"/>
      <c r="J238" s="216"/>
      <c r="K238" s="216"/>
      <c r="L238" s="216"/>
      <c r="M238" s="230"/>
      <c r="N238" s="234"/>
      <c r="O238" s="238"/>
      <c r="P238" s="243"/>
      <c r="Q238" s="244"/>
      <c r="R238" s="301"/>
      <c r="S238" s="250"/>
      <c r="T238" s="301"/>
      <c r="U238" s="250"/>
      <c r="V238" s="301"/>
      <c r="W238" s="250"/>
      <c r="X238" s="254"/>
      <c r="Y238" s="301"/>
      <c r="Z238" s="258"/>
      <c r="AA238" s="250"/>
      <c r="AB238" s="301"/>
      <c r="AC238" s="305"/>
      <c r="AD238" s="262"/>
      <c r="AE238" s="262"/>
      <c r="AF238" s="283"/>
    </row>
    <row r="239" spans="2:32" hidden="1">
      <c r="B239" s="267"/>
      <c r="C239" s="219"/>
      <c r="D239" s="219"/>
      <c r="E239" s="219"/>
      <c r="F239" s="219"/>
      <c r="G239" s="222"/>
      <c r="H239" s="227"/>
      <c r="I239" s="227"/>
      <c r="J239" s="217"/>
      <c r="K239" s="217"/>
      <c r="L239" s="217"/>
      <c r="M239" s="231"/>
      <c r="N239" s="235"/>
      <c r="O239" s="239"/>
      <c r="P239" s="245"/>
      <c r="Q239" s="246"/>
      <c r="R239" s="302"/>
      <c r="S239" s="251"/>
      <c r="T239" s="302"/>
      <c r="U239" s="251"/>
      <c r="V239" s="302"/>
      <c r="W239" s="251"/>
      <c r="X239" s="255"/>
      <c r="Y239" s="302"/>
      <c r="Z239" s="259"/>
      <c r="AA239" s="251"/>
      <c r="AB239" s="302"/>
      <c r="AC239" s="306"/>
      <c r="AD239" s="261"/>
      <c r="AE239" s="261"/>
      <c r="AF239" s="282"/>
    </row>
    <row r="240" spans="2:32" hidden="1">
      <c r="B240" s="266"/>
      <c r="C240" s="220"/>
      <c r="D240" s="220"/>
      <c r="E240" s="220"/>
      <c r="F240" s="220"/>
      <c r="G240" s="223"/>
      <c r="H240" s="226"/>
      <c r="I240" s="226"/>
      <c r="J240" s="216"/>
      <c r="K240" s="216"/>
      <c r="L240" s="216"/>
      <c r="M240" s="230"/>
      <c r="N240" s="234"/>
      <c r="O240" s="238"/>
      <c r="P240" s="243"/>
      <c r="Q240" s="244"/>
      <c r="R240" s="301"/>
      <c r="S240" s="250"/>
      <c r="T240" s="301"/>
      <c r="U240" s="250"/>
      <c r="V240" s="301"/>
      <c r="W240" s="250"/>
      <c r="X240" s="254"/>
      <c r="Y240" s="301"/>
      <c r="Z240" s="258"/>
      <c r="AA240" s="250"/>
      <c r="AB240" s="301"/>
      <c r="AC240" s="305"/>
      <c r="AD240" s="262"/>
      <c r="AE240" s="262"/>
      <c r="AF240" s="283"/>
    </row>
    <row r="241" spans="2:32" hidden="1">
      <c r="B241" s="267"/>
      <c r="C241" s="219"/>
      <c r="D241" s="219"/>
      <c r="E241" s="219"/>
      <c r="F241" s="219"/>
      <c r="G241" s="222"/>
      <c r="H241" s="227"/>
      <c r="I241" s="227"/>
      <c r="J241" s="217"/>
      <c r="K241" s="217"/>
      <c r="L241" s="217"/>
      <c r="M241" s="231"/>
      <c r="N241" s="235"/>
      <c r="O241" s="239"/>
      <c r="P241" s="245"/>
      <c r="Q241" s="246"/>
      <c r="R241" s="302"/>
      <c r="S241" s="251"/>
      <c r="T241" s="302"/>
      <c r="U241" s="251"/>
      <c r="V241" s="302"/>
      <c r="W241" s="251"/>
      <c r="X241" s="255"/>
      <c r="Y241" s="302"/>
      <c r="Z241" s="259"/>
      <c r="AA241" s="251"/>
      <c r="AB241" s="302"/>
      <c r="AC241" s="306"/>
      <c r="AD241" s="261"/>
      <c r="AE241" s="261"/>
      <c r="AF241" s="282"/>
    </row>
    <row r="242" spans="2:32" hidden="1">
      <c r="B242" s="266"/>
      <c r="C242" s="220"/>
      <c r="D242" s="220"/>
      <c r="E242" s="220"/>
      <c r="F242" s="220"/>
      <c r="G242" s="223"/>
      <c r="H242" s="226"/>
      <c r="I242" s="226"/>
      <c r="J242" s="216"/>
      <c r="K242" s="216"/>
      <c r="L242" s="216"/>
      <c r="M242" s="230"/>
      <c r="N242" s="234"/>
      <c r="O242" s="238"/>
      <c r="P242" s="243"/>
      <c r="Q242" s="244"/>
      <c r="R242" s="301"/>
      <c r="S242" s="250"/>
      <c r="T242" s="301"/>
      <c r="U242" s="250"/>
      <c r="V242" s="301"/>
      <c r="W242" s="250"/>
      <c r="X242" s="254"/>
      <c r="Y242" s="301"/>
      <c r="Z242" s="258"/>
      <c r="AA242" s="250"/>
      <c r="AB242" s="301"/>
      <c r="AC242" s="305"/>
      <c r="AD242" s="262"/>
      <c r="AE242" s="262"/>
      <c r="AF242" s="283"/>
    </row>
    <row r="243" spans="2:32" hidden="1">
      <c r="B243" s="267"/>
      <c r="C243" s="219"/>
      <c r="D243" s="219"/>
      <c r="E243" s="219"/>
      <c r="F243" s="219"/>
      <c r="G243" s="222"/>
      <c r="H243" s="227"/>
      <c r="I243" s="227"/>
      <c r="J243" s="217"/>
      <c r="K243" s="217"/>
      <c r="L243" s="217"/>
      <c r="M243" s="231"/>
      <c r="N243" s="235"/>
      <c r="O243" s="239"/>
      <c r="P243" s="245"/>
      <c r="Q243" s="246"/>
      <c r="R243" s="302"/>
      <c r="S243" s="251"/>
      <c r="T243" s="302"/>
      <c r="U243" s="251"/>
      <c r="V243" s="302"/>
      <c r="W243" s="251"/>
      <c r="X243" s="255"/>
      <c r="Y243" s="302"/>
      <c r="Z243" s="259"/>
      <c r="AA243" s="251"/>
      <c r="AB243" s="302"/>
      <c r="AC243" s="306"/>
      <c r="AD243" s="261"/>
      <c r="AE243" s="261"/>
      <c r="AF243" s="282"/>
    </row>
    <row r="244" spans="2:32" hidden="1">
      <c r="B244" s="266"/>
      <c r="C244" s="220"/>
      <c r="D244" s="220"/>
      <c r="E244" s="220"/>
      <c r="F244" s="220"/>
      <c r="G244" s="223"/>
      <c r="H244" s="226"/>
      <c r="I244" s="226"/>
      <c r="J244" s="216"/>
      <c r="K244" s="216"/>
      <c r="L244" s="216"/>
      <c r="M244" s="230"/>
      <c r="N244" s="234"/>
      <c r="O244" s="238"/>
      <c r="P244" s="243"/>
      <c r="Q244" s="244"/>
      <c r="R244" s="301"/>
      <c r="S244" s="250"/>
      <c r="T244" s="301"/>
      <c r="U244" s="250"/>
      <c r="V244" s="301"/>
      <c r="W244" s="250"/>
      <c r="X244" s="254"/>
      <c r="Y244" s="301"/>
      <c r="Z244" s="258"/>
      <c r="AA244" s="250"/>
      <c r="AB244" s="301"/>
      <c r="AC244" s="305"/>
      <c r="AD244" s="262"/>
      <c r="AE244" s="262"/>
      <c r="AF244" s="283"/>
    </row>
    <row r="245" spans="2:32" hidden="1">
      <c r="B245" s="267"/>
      <c r="C245" s="219"/>
      <c r="D245" s="219"/>
      <c r="E245" s="219"/>
      <c r="F245" s="219"/>
      <c r="G245" s="222"/>
      <c r="H245" s="227"/>
      <c r="I245" s="227"/>
      <c r="J245" s="217"/>
      <c r="K245" s="217"/>
      <c r="L245" s="217"/>
      <c r="M245" s="231"/>
      <c r="N245" s="235"/>
      <c r="O245" s="239"/>
      <c r="P245" s="245"/>
      <c r="Q245" s="246"/>
      <c r="R245" s="302"/>
      <c r="S245" s="251"/>
      <c r="T245" s="302"/>
      <c r="U245" s="251"/>
      <c r="V245" s="302"/>
      <c r="W245" s="251"/>
      <c r="X245" s="255"/>
      <c r="Y245" s="302"/>
      <c r="Z245" s="259"/>
      <c r="AA245" s="251"/>
      <c r="AB245" s="302"/>
      <c r="AC245" s="306"/>
      <c r="AD245" s="261"/>
      <c r="AE245" s="261"/>
      <c r="AF245" s="282"/>
    </row>
    <row r="246" spans="2:32" hidden="1">
      <c r="B246" s="266"/>
      <c r="C246" s="220"/>
      <c r="D246" s="220"/>
      <c r="E246" s="220"/>
      <c r="F246" s="220"/>
      <c r="G246" s="223"/>
      <c r="H246" s="226"/>
      <c r="I246" s="226"/>
      <c r="J246" s="216"/>
      <c r="K246" s="216"/>
      <c r="L246" s="216"/>
      <c r="M246" s="230"/>
      <c r="N246" s="234"/>
      <c r="O246" s="238"/>
      <c r="P246" s="243"/>
      <c r="Q246" s="244"/>
      <c r="R246" s="301"/>
      <c r="S246" s="250"/>
      <c r="T246" s="301"/>
      <c r="U246" s="250"/>
      <c r="V246" s="301"/>
      <c r="W246" s="250"/>
      <c r="X246" s="254"/>
      <c r="Y246" s="301"/>
      <c r="Z246" s="258"/>
      <c r="AA246" s="250"/>
      <c r="AB246" s="301"/>
      <c r="AC246" s="305"/>
      <c r="AD246" s="262"/>
      <c r="AE246" s="262"/>
      <c r="AF246" s="283"/>
    </row>
    <row r="247" spans="2:32" hidden="1">
      <c r="B247" s="267"/>
      <c r="C247" s="219"/>
      <c r="D247" s="219"/>
      <c r="E247" s="219"/>
      <c r="F247" s="219"/>
      <c r="G247" s="222"/>
      <c r="H247" s="227"/>
      <c r="I247" s="227"/>
      <c r="J247" s="217"/>
      <c r="K247" s="217"/>
      <c r="L247" s="217"/>
      <c r="M247" s="231"/>
      <c r="N247" s="235"/>
      <c r="O247" s="239"/>
      <c r="P247" s="245"/>
      <c r="Q247" s="246"/>
      <c r="R247" s="302"/>
      <c r="S247" s="251"/>
      <c r="T247" s="302"/>
      <c r="U247" s="251"/>
      <c r="V247" s="302"/>
      <c r="W247" s="251"/>
      <c r="X247" s="255"/>
      <c r="Y247" s="302"/>
      <c r="Z247" s="259"/>
      <c r="AA247" s="251"/>
      <c r="AB247" s="302"/>
      <c r="AC247" s="306"/>
      <c r="AD247" s="261"/>
      <c r="AE247" s="261"/>
      <c r="AF247" s="282"/>
    </row>
    <row r="248" spans="2:32" hidden="1">
      <c r="B248" s="266"/>
      <c r="C248" s="220"/>
      <c r="D248" s="220"/>
      <c r="E248" s="220"/>
      <c r="F248" s="220"/>
      <c r="G248" s="223"/>
      <c r="H248" s="226"/>
      <c r="I248" s="226"/>
      <c r="J248" s="216"/>
      <c r="K248" s="216"/>
      <c r="L248" s="216"/>
      <c r="M248" s="230"/>
      <c r="N248" s="234"/>
      <c r="O248" s="238"/>
      <c r="P248" s="243"/>
      <c r="Q248" s="244"/>
      <c r="R248" s="301"/>
      <c r="S248" s="250"/>
      <c r="T248" s="301"/>
      <c r="U248" s="250"/>
      <c r="V248" s="301"/>
      <c r="W248" s="250"/>
      <c r="X248" s="254"/>
      <c r="Y248" s="301"/>
      <c r="Z248" s="258"/>
      <c r="AA248" s="250"/>
      <c r="AB248" s="301"/>
      <c r="AC248" s="305"/>
      <c r="AD248" s="262"/>
      <c r="AE248" s="262"/>
      <c r="AF248" s="283"/>
    </row>
    <row r="249" spans="2:32" hidden="1">
      <c r="B249" s="267"/>
      <c r="C249" s="219"/>
      <c r="D249" s="219"/>
      <c r="E249" s="219"/>
      <c r="F249" s="219"/>
      <c r="G249" s="222"/>
      <c r="H249" s="227"/>
      <c r="I249" s="227"/>
      <c r="J249" s="217"/>
      <c r="K249" s="217"/>
      <c r="L249" s="217"/>
      <c r="M249" s="231"/>
      <c r="N249" s="235"/>
      <c r="O249" s="239"/>
      <c r="P249" s="245"/>
      <c r="Q249" s="246"/>
      <c r="R249" s="302"/>
      <c r="S249" s="251"/>
      <c r="T249" s="302"/>
      <c r="U249" s="251"/>
      <c r="V249" s="302"/>
      <c r="W249" s="251"/>
      <c r="X249" s="255"/>
      <c r="Y249" s="302"/>
      <c r="Z249" s="259"/>
      <c r="AA249" s="251"/>
      <c r="AB249" s="302"/>
      <c r="AC249" s="306"/>
      <c r="AD249" s="261"/>
      <c r="AE249" s="261"/>
      <c r="AF249" s="282"/>
    </row>
    <row r="250" spans="2:32" hidden="1">
      <c r="B250" s="266"/>
      <c r="C250" s="220"/>
      <c r="D250" s="220"/>
      <c r="E250" s="220"/>
      <c r="F250" s="220"/>
      <c r="G250" s="223"/>
      <c r="H250" s="226"/>
      <c r="I250" s="226"/>
      <c r="J250" s="216"/>
      <c r="K250" s="216"/>
      <c r="L250" s="216"/>
      <c r="M250" s="230"/>
      <c r="N250" s="234"/>
      <c r="O250" s="238"/>
      <c r="P250" s="243"/>
      <c r="Q250" s="244"/>
      <c r="R250" s="301"/>
      <c r="S250" s="250"/>
      <c r="T250" s="301"/>
      <c r="U250" s="250"/>
      <c r="V250" s="301"/>
      <c r="W250" s="250"/>
      <c r="X250" s="254"/>
      <c r="Y250" s="301"/>
      <c r="Z250" s="258"/>
      <c r="AA250" s="250"/>
      <c r="AB250" s="301"/>
      <c r="AC250" s="305"/>
      <c r="AD250" s="262"/>
      <c r="AE250" s="262"/>
      <c r="AF250" s="283"/>
    </row>
    <row r="251" spans="2:32" hidden="1">
      <c r="B251" s="267"/>
      <c r="C251" s="219"/>
      <c r="D251" s="219"/>
      <c r="E251" s="219"/>
      <c r="F251" s="219"/>
      <c r="G251" s="222"/>
      <c r="H251" s="227"/>
      <c r="I251" s="227"/>
      <c r="J251" s="217"/>
      <c r="K251" s="217"/>
      <c r="L251" s="217"/>
      <c r="M251" s="231"/>
      <c r="N251" s="235"/>
      <c r="O251" s="239"/>
      <c r="P251" s="245"/>
      <c r="Q251" s="246"/>
      <c r="R251" s="302"/>
      <c r="S251" s="251"/>
      <c r="T251" s="302"/>
      <c r="U251" s="251"/>
      <c r="V251" s="302"/>
      <c r="W251" s="251"/>
      <c r="X251" s="255"/>
      <c r="Y251" s="302"/>
      <c r="Z251" s="259"/>
      <c r="AA251" s="251"/>
      <c r="AB251" s="302"/>
      <c r="AC251" s="306"/>
      <c r="AD251" s="261"/>
      <c r="AE251" s="261"/>
      <c r="AF251" s="282"/>
    </row>
    <row r="252" spans="2:32" hidden="1">
      <c r="B252" s="266"/>
      <c r="C252" s="220"/>
      <c r="D252" s="220"/>
      <c r="E252" s="220"/>
      <c r="F252" s="220"/>
      <c r="G252" s="223"/>
      <c r="H252" s="226"/>
      <c r="I252" s="226"/>
      <c r="J252" s="216"/>
      <c r="K252" s="216"/>
      <c r="L252" s="216"/>
      <c r="M252" s="230"/>
      <c r="N252" s="234"/>
      <c r="O252" s="238"/>
      <c r="P252" s="243"/>
      <c r="Q252" s="244"/>
      <c r="R252" s="301"/>
      <c r="S252" s="250"/>
      <c r="T252" s="301"/>
      <c r="U252" s="250"/>
      <c r="V252" s="301"/>
      <c r="W252" s="250"/>
      <c r="X252" s="254"/>
      <c r="Y252" s="301"/>
      <c r="Z252" s="258"/>
      <c r="AA252" s="250"/>
      <c r="AB252" s="301"/>
      <c r="AC252" s="305"/>
      <c r="AD252" s="262"/>
      <c r="AE252" s="262"/>
      <c r="AF252" s="283"/>
    </row>
    <row r="253" spans="2:32" hidden="1">
      <c r="B253" s="267"/>
      <c r="C253" s="219"/>
      <c r="D253" s="219"/>
      <c r="E253" s="219"/>
      <c r="F253" s="219"/>
      <c r="G253" s="222"/>
      <c r="H253" s="227"/>
      <c r="I253" s="227"/>
      <c r="J253" s="217"/>
      <c r="K253" s="217"/>
      <c r="L253" s="217"/>
      <c r="M253" s="231"/>
      <c r="N253" s="235"/>
      <c r="O253" s="239"/>
      <c r="P253" s="245"/>
      <c r="Q253" s="246"/>
      <c r="R253" s="302"/>
      <c r="S253" s="251"/>
      <c r="T253" s="302"/>
      <c r="U253" s="251"/>
      <c r="V253" s="302"/>
      <c r="W253" s="251"/>
      <c r="X253" s="255"/>
      <c r="Y253" s="302"/>
      <c r="Z253" s="259"/>
      <c r="AA253" s="251"/>
      <c r="AB253" s="302"/>
      <c r="AC253" s="306"/>
      <c r="AD253" s="261"/>
      <c r="AE253" s="261"/>
      <c r="AF253" s="282"/>
    </row>
    <row r="254" spans="2:32" hidden="1">
      <c r="B254" s="266"/>
      <c r="C254" s="220"/>
      <c r="D254" s="220"/>
      <c r="E254" s="220"/>
      <c r="F254" s="220"/>
      <c r="G254" s="223"/>
      <c r="H254" s="226"/>
      <c r="I254" s="226"/>
      <c r="J254" s="216"/>
      <c r="K254" s="216"/>
      <c r="L254" s="216"/>
      <c r="M254" s="230"/>
      <c r="N254" s="234"/>
      <c r="O254" s="238"/>
      <c r="P254" s="243"/>
      <c r="Q254" s="244"/>
      <c r="R254" s="301"/>
      <c r="S254" s="250"/>
      <c r="T254" s="301"/>
      <c r="U254" s="250"/>
      <c r="V254" s="301"/>
      <c r="W254" s="250"/>
      <c r="X254" s="254"/>
      <c r="Y254" s="301"/>
      <c r="Z254" s="258"/>
      <c r="AA254" s="250"/>
      <c r="AB254" s="301"/>
      <c r="AC254" s="305"/>
      <c r="AD254" s="262"/>
      <c r="AE254" s="262"/>
      <c r="AF254" s="283"/>
    </row>
    <row r="255" spans="2:32" hidden="1">
      <c r="B255" s="267"/>
      <c r="C255" s="219"/>
      <c r="D255" s="219"/>
      <c r="E255" s="219"/>
      <c r="F255" s="219"/>
      <c r="G255" s="222"/>
      <c r="H255" s="227"/>
      <c r="I255" s="227"/>
      <c r="J255" s="217"/>
      <c r="K255" s="217"/>
      <c r="L255" s="217"/>
      <c r="M255" s="231"/>
      <c r="N255" s="235"/>
      <c r="O255" s="239"/>
      <c r="P255" s="245"/>
      <c r="Q255" s="246"/>
      <c r="R255" s="302"/>
      <c r="S255" s="251"/>
      <c r="T255" s="302"/>
      <c r="U255" s="251"/>
      <c r="V255" s="302"/>
      <c r="W255" s="251"/>
      <c r="X255" s="255"/>
      <c r="Y255" s="302"/>
      <c r="Z255" s="259"/>
      <c r="AA255" s="251"/>
      <c r="AB255" s="302"/>
      <c r="AC255" s="306"/>
      <c r="AD255" s="261"/>
      <c r="AE255" s="261"/>
      <c r="AF255" s="282"/>
    </row>
    <row r="256" spans="2:32" hidden="1">
      <c r="B256" s="266"/>
      <c r="C256" s="220"/>
      <c r="D256" s="220"/>
      <c r="E256" s="220"/>
      <c r="F256" s="220"/>
      <c r="G256" s="223"/>
      <c r="H256" s="226"/>
      <c r="I256" s="226"/>
      <c r="J256" s="216"/>
      <c r="K256" s="216"/>
      <c r="L256" s="216"/>
      <c r="M256" s="230"/>
      <c r="N256" s="234"/>
      <c r="O256" s="238"/>
      <c r="P256" s="243"/>
      <c r="Q256" s="244"/>
      <c r="R256" s="301"/>
      <c r="S256" s="250"/>
      <c r="T256" s="301"/>
      <c r="U256" s="250"/>
      <c r="V256" s="301"/>
      <c r="W256" s="250"/>
      <c r="X256" s="254"/>
      <c r="Y256" s="301"/>
      <c r="Z256" s="258"/>
      <c r="AA256" s="250"/>
      <c r="AB256" s="301"/>
      <c r="AC256" s="305"/>
      <c r="AD256" s="262"/>
      <c r="AE256" s="262"/>
      <c r="AF256" s="283"/>
    </row>
    <row r="257" spans="2:32" hidden="1">
      <c r="B257" s="267"/>
      <c r="C257" s="219"/>
      <c r="D257" s="219"/>
      <c r="E257" s="219"/>
      <c r="F257" s="219"/>
      <c r="G257" s="222"/>
      <c r="H257" s="227"/>
      <c r="I257" s="227"/>
      <c r="J257" s="217"/>
      <c r="K257" s="217"/>
      <c r="L257" s="217"/>
      <c r="M257" s="231"/>
      <c r="N257" s="235"/>
      <c r="O257" s="239"/>
      <c r="P257" s="245"/>
      <c r="Q257" s="246"/>
      <c r="R257" s="302"/>
      <c r="S257" s="251"/>
      <c r="T257" s="302"/>
      <c r="U257" s="251"/>
      <c r="V257" s="302"/>
      <c r="W257" s="251"/>
      <c r="X257" s="255"/>
      <c r="Y257" s="302"/>
      <c r="Z257" s="259"/>
      <c r="AA257" s="251"/>
      <c r="AB257" s="302"/>
      <c r="AC257" s="306"/>
      <c r="AD257" s="261"/>
      <c r="AE257" s="261"/>
      <c r="AF257" s="282"/>
    </row>
    <row r="258" spans="2:32" hidden="1">
      <c r="B258" s="266"/>
      <c r="C258" s="220"/>
      <c r="D258" s="220"/>
      <c r="E258" s="220"/>
      <c r="F258" s="220"/>
      <c r="G258" s="223"/>
      <c r="H258" s="226"/>
      <c r="I258" s="226"/>
      <c r="J258" s="216"/>
      <c r="K258" s="216"/>
      <c r="L258" s="216"/>
      <c r="M258" s="230"/>
      <c r="N258" s="234"/>
      <c r="O258" s="238"/>
      <c r="P258" s="243"/>
      <c r="Q258" s="244"/>
      <c r="R258" s="301"/>
      <c r="S258" s="250"/>
      <c r="T258" s="301"/>
      <c r="U258" s="250"/>
      <c r="V258" s="301"/>
      <c r="W258" s="250"/>
      <c r="X258" s="254"/>
      <c r="Y258" s="301"/>
      <c r="Z258" s="258"/>
      <c r="AA258" s="250"/>
      <c r="AB258" s="301"/>
      <c r="AC258" s="305"/>
      <c r="AD258" s="262"/>
      <c r="AE258" s="262"/>
      <c r="AF258" s="283"/>
    </row>
    <row r="259" spans="2:32" hidden="1">
      <c r="B259" s="267"/>
      <c r="C259" s="219"/>
      <c r="D259" s="219"/>
      <c r="E259" s="219"/>
      <c r="F259" s="219"/>
      <c r="G259" s="222"/>
      <c r="H259" s="227"/>
      <c r="I259" s="227"/>
      <c r="J259" s="217"/>
      <c r="K259" s="217"/>
      <c r="L259" s="217"/>
      <c r="M259" s="231"/>
      <c r="N259" s="235"/>
      <c r="O259" s="239"/>
      <c r="P259" s="245"/>
      <c r="Q259" s="246"/>
      <c r="R259" s="302"/>
      <c r="S259" s="251"/>
      <c r="T259" s="302"/>
      <c r="U259" s="251"/>
      <c r="V259" s="302"/>
      <c r="W259" s="251"/>
      <c r="X259" s="255"/>
      <c r="Y259" s="302"/>
      <c r="Z259" s="259"/>
      <c r="AA259" s="251"/>
      <c r="AB259" s="302"/>
      <c r="AC259" s="306"/>
      <c r="AD259" s="261"/>
      <c r="AE259" s="261"/>
      <c r="AF259" s="282"/>
    </row>
    <row r="260" spans="2:32" hidden="1">
      <c r="B260" s="266"/>
      <c r="C260" s="220"/>
      <c r="D260" s="220"/>
      <c r="E260" s="220"/>
      <c r="F260" s="220"/>
      <c r="G260" s="223"/>
      <c r="H260" s="226"/>
      <c r="I260" s="226"/>
      <c r="J260" s="216"/>
      <c r="K260" s="216"/>
      <c r="L260" s="216"/>
      <c r="M260" s="230"/>
      <c r="N260" s="234"/>
      <c r="O260" s="238"/>
      <c r="P260" s="243"/>
      <c r="Q260" s="244"/>
      <c r="R260" s="301"/>
      <c r="S260" s="250"/>
      <c r="T260" s="301"/>
      <c r="U260" s="250"/>
      <c r="V260" s="301"/>
      <c r="W260" s="250"/>
      <c r="X260" s="254"/>
      <c r="Y260" s="301"/>
      <c r="Z260" s="258"/>
      <c r="AA260" s="250"/>
      <c r="AB260" s="301"/>
      <c r="AC260" s="305"/>
      <c r="AD260" s="262"/>
      <c r="AE260" s="262"/>
      <c r="AF260" s="283"/>
    </row>
    <row r="261" spans="2:32" hidden="1">
      <c r="B261" s="267"/>
      <c r="C261" s="219"/>
      <c r="D261" s="219"/>
      <c r="E261" s="219"/>
      <c r="F261" s="219"/>
      <c r="G261" s="222"/>
      <c r="H261" s="227"/>
      <c r="I261" s="227"/>
      <c r="J261" s="217"/>
      <c r="K261" s="217"/>
      <c r="L261" s="217"/>
      <c r="M261" s="231"/>
      <c r="N261" s="235"/>
      <c r="O261" s="239"/>
      <c r="P261" s="245"/>
      <c r="Q261" s="246"/>
      <c r="R261" s="302"/>
      <c r="S261" s="251"/>
      <c r="T261" s="302"/>
      <c r="U261" s="251"/>
      <c r="V261" s="302"/>
      <c r="W261" s="251"/>
      <c r="X261" s="255"/>
      <c r="Y261" s="302"/>
      <c r="Z261" s="259"/>
      <c r="AA261" s="251"/>
      <c r="AB261" s="302"/>
      <c r="AC261" s="306"/>
      <c r="AD261" s="261"/>
      <c r="AE261" s="261"/>
      <c r="AF261" s="282"/>
    </row>
    <row r="262" spans="2:32" hidden="1">
      <c r="B262" s="266"/>
      <c r="C262" s="220"/>
      <c r="D262" s="220"/>
      <c r="E262" s="220"/>
      <c r="F262" s="220"/>
      <c r="G262" s="223"/>
      <c r="H262" s="226"/>
      <c r="I262" s="226"/>
      <c r="J262" s="216"/>
      <c r="K262" s="216"/>
      <c r="L262" s="216"/>
      <c r="M262" s="230"/>
      <c r="N262" s="234"/>
      <c r="O262" s="238"/>
      <c r="P262" s="243"/>
      <c r="Q262" s="244"/>
      <c r="R262" s="301"/>
      <c r="S262" s="250"/>
      <c r="T262" s="301"/>
      <c r="U262" s="250"/>
      <c r="V262" s="301"/>
      <c r="W262" s="250"/>
      <c r="X262" s="254"/>
      <c r="Y262" s="301"/>
      <c r="Z262" s="258"/>
      <c r="AA262" s="250"/>
      <c r="AB262" s="301"/>
      <c r="AC262" s="305"/>
      <c r="AD262" s="262"/>
      <c r="AE262" s="262"/>
      <c r="AF262" s="283"/>
    </row>
    <row r="263" spans="2:32" hidden="1">
      <c r="B263" s="267"/>
      <c r="C263" s="219"/>
      <c r="D263" s="219"/>
      <c r="E263" s="219"/>
      <c r="F263" s="219"/>
      <c r="G263" s="222"/>
      <c r="H263" s="227"/>
      <c r="I263" s="227"/>
      <c r="J263" s="217"/>
      <c r="K263" s="217"/>
      <c r="L263" s="217"/>
      <c r="M263" s="231"/>
      <c r="N263" s="235"/>
      <c r="O263" s="239"/>
      <c r="P263" s="245"/>
      <c r="Q263" s="246"/>
      <c r="R263" s="302"/>
      <c r="S263" s="251"/>
      <c r="T263" s="302"/>
      <c r="U263" s="251"/>
      <c r="V263" s="302"/>
      <c r="W263" s="251"/>
      <c r="X263" s="255"/>
      <c r="Y263" s="302"/>
      <c r="Z263" s="259"/>
      <c r="AA263" s="251"/>
      <c r="AB263" s="302"/>
      <c r="AC263" s="306"/>
      <c r="AD263" s="261"/>
      <c r="AE263" s="261"/>
      <c r="AF263" s="282"/>
    </row>
    <row r="264" spans="2:32" hidden="1">
      <c r="B264" s="266"/>
      <c r="C264" s="220"/>
      <c r="D264" s="220"/>
      <c r="E264" s="220"/>
      <c r="F264" s="220"/>
      <c r="G264" s="223"/>
      <c r="H264" s="226"/>
      <c r="I264" s="226"/>
      <c r="J264" s="216"/>
      <c r="K264" s="216"/>
      <c r="L264" s="216"/>
      <c r="M264" s="230"/>
      <c r="N264" s="234"/>
      <c r="O264" s="238"/>
      <c r="P264" s="243"/>
      <c r="Q264" s="244"/>
      <c r="R264" s="301"/>
      <c r="S264" s="250"/>
      <c r="T264" s="301"/>
      <c r="U264" s="250"/>
      <c r="V264" s="301"/>
      <c r="W264" s="250"/>
      <c r="X264" s="254"/>
      <c r="Y264" s="301"/>
      <c r="Z264" s="258"/>
      <c r="AA264" s="250"/>
      <c r="AB264" s="301"/>
      <c r="AC264" s="305"/>
      <c r="AD264" s="262"/>
      <c r="AE264" s="262"/>
      <c r="AF264" s="283"/>
    </row>
    <row r="265" spans="2:32" hidden="1">
      <c r="B265" s="267"/>
      <c r="C265" s="219"/>
      <c r="D265" s="219"/>
      <c r="E265" s="219"/>
      <c r="F265" s="219"/>
      <c r="G265" s="222"/>
      <c r="H265" s="227"/>
      <c r="I265" s="227"/>
      <c r="J265" s="217"/>
      <c r="K265" s="217"/>
      <c r="L265" s="217"/>
      <c r="M265" s="231"/>
      <c r="N265" s="235"/>
      <c r="O265" s="239"/>
      <c r="P265" s="245"/>
      <c r="Q265" s="246"/>
      <c r="R265" s="302"/>
      <c r="S265" s="251"/>
      <c r="T265" s="302"/>
      <c r="U265" s="251"/>
      <c r="V265" s="302"/>
      <c r="W265" s="251"/>
      <c r="X265" s="255"/>
      <c r="Y265" s="302"/>
      <c r="Z265" s="259"/>
      <c r="AA265" s="251"/>
      <c r="AB265" s="302"/>
      <c r="AC265" s="306"/>
      <c r="AD265" s="261"/>
      <c r="AE265" s="261"/>
      <c r="AF265" s="282"/>
    </row>
    <row r="266" spans="2:32" hidden="1">
      <c r="B266" s="266"/>
      <c r="C266" s="220"/>
      <c r="D266" s="220"/>
      <c r="E266" s="220"/>
      <c r="F266" s="220"/>
      <c r="G266" s="223"/>
      <c r="H266" s="226"/>
      <c r="I266" s="226"/>
      <c r="J266" s="216"/>
      <c r="K266" s="216"/>
      <c r="L266" s="216"/>
      <c r="M266" s="230"/>
      <c r="N266" s="234"/>
      <c r="O266" s="238"/>
      <c r="P266" s="243"/>
      <c r="Q266" s="244"/>
      <c r="R266" s="301"/>
      <c r="S266" s="250"/>
      <c r="T266" s="301"/>
      <c r="U266" s="250"/>
      <c r="V266" s="301"/>
      <c r="W266" s="250"/>
      <c r="X266" s="254"/>
      <c r="Y266" s="301"/>
      <c r="Z266" s="258"/>
      <c r="AA266" s="250"/>
      <c r="AB266" s="301"/>
      <c r="AC266" s="305"/>
      <c r="AD266" s="262"/>
      <c r="AE266" s="262"/>
      <c r="AF266" s="283"/>
    </row>
    <row r="267" spans="2:32" hidden="1">
      <c r="B267" s="267"/>
      <c r="C267" s="219"/>
      <c r="D267" s="219"/>
      <c r="E267" s="219"/>
      <c r="F267" s="219"/>
      <c r="G267" s="222"/>
      <c r="H267" s="227"/>
      <c r="I267" s="227"/>
      <c r="J267" s="217"/>
      <c r="K267" s="217"/>
      <c r="L267" s="217"/>
      <c r="M267" s="231"/>
      <c r="N267" s="235"/>
      <c r="O267" s="239"/>
      <c r="P267" s="245"/>
      <c r="Q267" s="246"/>
      <c r="R267" s="302"/>
      <c r="S267" s="251"/>
      <c r="T267" s="302"/>
      <c r="U267" s="251"/>
      <c r="V267" s="302"/>
      <c r="W267" s="251"/>
      <c r="X267" s="255"/>
      <c r="Y267" s="302"/>
      <c r="Z267" s="259"/>
      <c r="AA267" s="251"/>
      <c r="AB267" s="302"/>
      <c r="AC267" s="306"/>
      <c r="AD267" s="261"/>
      <c r="AE267" s="261"/>
      <c r="AF267" s="282"/>
    </row>
    <row r="268" spans="2:32" hidden="1">
      <c r="B268" s="266"/>
      <c r="C268" s="220"/>
      <c r="D268" s="220"/>
      <c r="E268" s="220"/>
      <c r="F268" s="220"/>
      <c r="G268" s="223"/>
      <c r="H268" s="226"/>
      <c r="I268" s="226"/>
      <c r="J268" s="216"/>
      <c r="K268" s="216"/>
      <c r="L268" s="216"/>
      <c r="M268" s="230"/>
      <c r="N268" s="234"/>
      <c r="O268" s="238"/>
      <c r="P268" s="243"/>
      <c r="Q268" s="244"/>
      <c r="R268" s="301"/>
      <c r="S268" s="250"/>
      <c r="T268" s="301"/>
      <c r="U268" s="250"/>
      <c r="V268" s="301"/>
      <c r="W268" s="250"/>
      <c r="X268" s="254"/>
      <c r="Y268" s="301"/>
      <c r="Z268" s="258"/>
      <c r="AA268" s="250"/>
      <c r="AB268" s="301"/>
      <c r="AC268" s="305"/>
      <c r="AD268" s="262"/>
      <c r="AE268" s="262"/>
      <c r="AF268" s="283"/>
    </row>
    <row r="269" spans="2:32" hidden="1">
      <c r="B269" s="267"/>
      <c r="C269" s="219"/>
      <c r="D269" s="219"/>
      <c r="E269" s="219"/>
      <c r="F269" s="219"/>
      <c r="G269" s="222"/>
      <c r="H269" s="227"/>
      <c r="I269" s="227"/>
      <c r="J269" s="217"/>
      <c r="K269" s="217"/>
      <c r="L269" s="217"/>
      <c r="M269" s="231"/>
      <c r="N269" s="235"/>
      <c r="O269" s="239"/>
      <c r="P269" s="245"/>
      <c r="Q269" s="246"/>
      <c r="R269" s="302"/>
      <c r="S269" s="251"/>
      <c r="T269" s="302"/>
      <c r="U269" s="251"/>
      <c r="V269" s="302"/>
      <c r="W269" s="251"/>
      <c r="X269" s="255"/>
      <c r="Y269" s="302"/>
      <c r="Z269" s="259"/>
      <c r="AA269" s="251"/>
      <c r="AB269" s="302"/>
      <c r="AC269" s="306"/>
      <c r="AD269" s="261"/>
      <c r="AE269" s="261"/>
      <c r="AF269" s="282"/>
    </row>
    <row r="270" spans="2:32" hidden="1">
      <c r="B270" s="266"/>
      <c r="C270" s="220"/>
      <c r="D270" s="220"/>
      <c r="E270" s="220"/>
      <c r="F270" s="220"/>
      <c r="G270" s="223"/>
      <c r="H270" s="226"/>
      <c r="I270" s="226"/>
      <c r="J270" s="216"/>
      <c r="K270" s="216"/>
      <c r="L270" s="216"/>
      <c r="M270" s="230"/>
      <c r="N270" s="234"/>
      <c r="O270" s="238"/>
      <c r="P270" s="243"/>
      <c r="Q270" s="244"/>
      <c r="R270" s="301"/>
      <c r="S270" s="250"/>
      <c r="T270" s="301"/>
      <c r="U270" s="250"/>
      <c r="V270" s="301"/>
      <c r="W270" s="250"/>
      <c r="X270" s="254"/>
      <c r="Y270" s="301"/>
      <c r="Z270" s="258"/>
      <c r="AA270" s="250"/>
      <c r="AB270" s="301"/>
      <c r="AC270" s="305"/>
      <c r="AD270" s="262"/>
      <c r="AE270" s="262"/>
      <c r="AF270" s="283"/>
    </row>
    <row r="271" spans="2:32" hidden="1">
      <c r="B271" s="267"/>
      <c r="C271" s="219"/>
      <c r="D271" s="219"/>
      <c r="E271" s="219"/>
      <c r="F271" s="219"/>
      <c r="G271" s="222"/>
      <c r="H271" s="227"/>
      <c r="I271" s="227"/>
      <c r="J271" s="217"/>
      <c r="K271" s="217"/>
      <c r="L271" s="217"/>
      <c r="M271" s="231"/>
      <c r="N271" s="235"/>
      <c r="O271" s="239"/>
      <c r="P271" s="245"/>
      <c r="Q271" s="246"/>
      <c r="R271" s="302"/>
      <c r="S271" s="251"/>
      <c r="T271" s="302"/>
      <c r="U271" s="251"/>
      <c r="V271" s="302"/>
      <c r="W271" s="251"/>
      <c r="X271" s="255"/>
      <c r="Y271" s="302"/>
      <c r="Z271" s="259"/>
      <c r="AA271" s="251"/>
      <c r="AB271" s="302"/>
      <c r="AC271" s="306"/>
      <c r="AD271" s="261"/>
      <c r="AE271" s="261"/>
      <c r="AF271" s="282"/>
    </row>
    <row r="272" spans="2:32" hidden="1">
      <c r="B272" s="266"/>
      <c r="C272" s="220"/>
      <c r="D272" s="220"/>
      <c r="E272" s="220"/>
      <c r="F272" s="220"/>
      <c r="G272" s="223"/>
      <c r="H272" s="226"/>
      <c r="I272" s="226"/>
      <c r="J272" s="216"/>
      <c r="K272" s="216"/>
      <c r="L272" s="216"/>
      <c r="M272" s="230"/>
      <c r="N272" s="234"/>
      <c r="O272" s="238"/>
      <c r="P272" s="243"/>
      <c r="Q272" s="244"/>
      <c r="R272" s="301"/>
      <c r="S272" s="250"/>
      <c r="T272" s="301"/>
      <c r="U272" s="250"/>
      <c r="V272" s="301"/>
      <c r="W272" s="250"/>
      <c r="X272" s="254"/>
      <c r="Y272" s="301"/>
      <c r="Z272" s="258"/>
      <c r="AA272" s="250"/>
      <c r="AB272" s="301"/>
      <c r="AC272" s="305"/>
      <c r="AD272" s="262"/>
      <c r="AE272" s="262"/>
      <c r="AF272" s="283"/>
    </row>
    <row r="273" spans="2:32" hidden="1">
      <c r="B273" s="267"/>
      <c r="C273" s="219"/>
      <c r="D273" s="219"/>
      <c r="E273" s="219"/>
      <c r="F273" s="219"/>
      <c r="G273" s="222"/>
      <c r="H273" s="227"/>
      <c r="I273" s="227"/>
      <c r="J273" s="217"/>
      <c r="K273" s="217"/>
      <c r="L273" s="217"/>
      <c r="M273" s="231"/>
      <c r="N273" s="235"/>
      <c r="O273" s="239"/>
      <c r="P273" s="245"/>
      <c r="Q273" s="246"/>
      <c r="R273" s="302"/>
      <c r="S273" s="251"/>
      <c r="T273" s="302"/>
      <c r="U273" s="251"/>
      <c r="V273" s="302"/>
      <c r="W273" s="251"/>
      <c r="X273" s="255"/>
      <c r="Y273" s="302"/>
      <c r="Z273" s="259"/>
      <c r="AA273" s="251"/>
      <c r="AB273" s="302"/>
      <c r="AC273" s="306"/>
      <c r="AD273" s="261"/>
      <c r="AE273" s="261"/>
      <c r="AF273" s="282"/>
    </row>
    <row r="274" spans="2:32" hidden="1">
      <c r="B274" s="266"/>
      <c r="C274" s="220"/>
      <c r="D274" s="220"/>
      <c r="E274" s="220"/>
      <c r="F274" s="220"/>
      <c r="G274" s="223"/>
      <c r="H274" s="226"/>
      <c r="I274" s="226"/>
      <c r="J274" s="216"/>
      <c r="K274" s="216"/>
      <c r="L274" s="216"/>
      <c r="M274" s="230"/>
      <c r="N274" s="234"/>
      <c r="O274" s="238"/>
      <c r="P274" s="243"/>
      <c r="Q274" s="244"/>
      <c r="R274" s="301"/>
      <c r="S274" s="250"/>
      <c r="T274" s="301"/>
      <c r="U274" s="250"/>
      <c r="V274" s="301"/>
      <c r="W274" s="250"/>
      <c r="X274" s="254"/>
      <c r="Y274" s="301"/>
      <c r="Z274" s="258"/>
      <c r="AA274" s="250"/>
      <c r="AB274" s="301"/>
      <c r="AC274" s="305"/>
      <c r="AD274" s="262"/>
      <c r="AE274" s="262"/>
      <c r="AF274" s="283"/>
    </row>
    <row r="275" spans="2:32" hidden="1">
      <c r="B275" s="267"/>
      <c r="C275" s="219"/>
      <c r="D275" s="219"/>
      <c r="E275" s="219"/>
      <c r="F275" s="219"/>
      <c r="G275" s="222"/>
      <c r="H275" s="227"/>
      <c r="I275" s="227"/>
      <c r="J275" s="217"/>
      <c r="K275" s="217"/>
      <c r="L275" s="217"/>
      <c r="M275" s="231"/>
      <c r="N275" s="235"/>
      <c r="O275" s="239"/>
      <c r="P275" s="245"/>
      <c r="Q275" s="246"/>
      <c r="R275" s="302"/>
      <c r="S275" s="251"/>
      <c r="T275" s="302"/>
      <c r="U275" s="251"/>
      <c r="V275" s="302"/>
      <c r="W275" s="251"/>
      <c r="X275" s="255"/>
      <c r="Y275" s="302"/>
      <c r="Z275" s="259"/>
      <c r="AA275" s="251"/>
      <c r="AB275" s="302"/>
      <c r="AC275" s="306"/>
      <c r="AD275" s="261"/>
      <c r="AE275" s="261"/>
      <c r="AF275" s="282"/>
    </row>
    <row r="276" spans="2:32" hidden="1">
      <c r="B276" s="266"/>
      <c r="C276" s="220"/>
      <c r="D276" s="220"/>
      <c r="E276" s="220"/>
      <c r="F276" s="220"/>
      <c r="G276" s="223"/>
      <c r="H276" s="226"/>
      <c r="I276" s="226"/>
      <c r="J276" s="216"/>
      <c r="K276" s="216"/>
      <c r="L276" s="216"/>
      <c r="M276" s="230"/>
      <c r="N276" s="234"/>
      <c r="O276" s="238"/>
      <c r="P276" s="243"/>
      <c r="Q276" s="244"/>
      <c r="R276" s="301"/>
      <c r="S276" s="250"/>
      <c r="T276" s="301"/>
      <c r="U276" s="250"/>
      <c r="V276" s="301"/>
      <c r="W276" s="250"/>
      <c r="X276" s="254"/>
      <c r="Y276" s="301"/>
      <c r="Z276" s="258"/>
      <c r="AA276" s="250"/>
      <c r="AB276" s="301"/>
      <c r="AC276" s="305"/>
      <c r="AD276" s="262"/>
      <c r="AE276" s="262"/>
      <c r="AF276" s="283"/>
    </row>
    <row r="277" spans="2:32" hidden="1">
      <c r="B277" s="267"/>
      <c r="C277" s="219"/>
      <c r="D277" s="219"/>
      <c r="E277" s="219"/>
      <c r="F277" s="219"/>
      <c r="G277" s="222"/>
      <c r="H277" s="227"/>
      <c r="I277" s="227"/>
      <c r="J277" s="217"/>
      <c r="K277" s="217"/>
      <c r="L277" s="217"/>
      <c r="M277" s="231"/>
      <c r="N277" s="235"/>
      <c r="O277" s="239"/>
      <c r="P277" s="245"/>
      <c r="Q277" s="246"/>
      <c r="R277" s="302"/>
      <c r="S277" s="251"/>
      <c r="T277" s="302"/>
      <c r="U277" s="251"/>
      <c r="V277" s="302"/>
      <c r="W277" s="251"/>
      <c r="X277" s="255"/>
      <c r="Y277" s="302"/>
      <c r="Z277" s="259"/>
      <c r="AA277" s="251"/>
      <c r="AB277" s="302"/>
      <c r="AC277" s="306"/>
      <c r="AD277" s="261"/>
      <c r="AE277" s="261"/>
      <c r="AF277" s="282"/>
    </row>
    <row r="278" spans="2:32" hidden="1">
      <c r="B278" s="266"/>
      <c r="C278" s="220"/>
      <c r="D278" s="220"/>
      <c r="E278" s="220"/>
      <c r="F278" s="220"/>
      <c r="G278" s="223"/>
      <c r="H278" s="226"/>
      <c r="I278" s="226"/>
      <c r="J278" s="216"/>
      <c r="K278" s="216"/>
      <c r="L278" s="216"/>
      <c r="M278" s="230"/>
      <c r="N278" s="234"/>
      <c r="O278" s="238"/>
      <c r="P278" s="243"/>
      <c r="Q278" s="244"/>
      <c r="R278" s="301"/>
      <c r="S278" s="250"/>
      <c r="T278" s="301"/>
      <c r="U278" s="250"/>
      <c r="V278" s="301"/>
      <c r="W278" s="250"/>
      <c r="X278" s="254"/>
      <c r="Y278" s="301"/>
      <c r="Z278" s="258"/>
      <c r="AA278" s="250"/>
      <c r="AB278" s="301"/>
      <c r="AC278" s="305"/>
      <c r="AD278" s="262"/>
      <c r="AE278" s="262"/>
      <c r="AF278" s="283"/>
    </row>
    <row r="279" spans="2:32" hidden="1">
      <c r="B279" s="267"/>
      <c r="C279" s="219"/>
      <c r="D279" s="219"/>
      <c r="E279" s="219"/>
      <c r="F279" s="219"/>
      <c r="G279" s="222"/>
      <c r="H279" s="227"/>
      <c r="I279" s="227"/>
      <c r="J279" s="217"/>
      <c r="K279" s="217"/>
      <c r="L279" s="217"/>
      <c r="M279" s="231"/>
      <c r="N279" s="235"/>
      <c r="O279" s="239"/>
      <c r="P279" s="245"/>
      <c r="Q279" s="246"/>
      <c r="R279" s="302"/>
      <c r="S279" s="251"/>
      <c r="T279" s="302"/>
      <c r="U279" s="251"/>
      <c r="V279" s="302"/>
      <c r="W279" s="251"/>
      <c r="X279" s="255"/>
      <c r="Y279" s="302"/>
      <c r="Z279" s="259"/>
      <c r="AA279" s="251"/>
      <c r="AB279" s="302"/>
      <c r="AC279" s="306"/>
      <c r="AD279" s="261"/>
      <c r="AE279" s="261"/>
      <c r="AF279" s="282"/>
    </row>
    <row r="280" spans="2:32" hidden="1">
      <c r="B280" s="266"/>
      <c r="C280" s="220"/>
      <c r="D280" s="220"/>
      <c r="E280" s="220"/>
      <c r="F280" s="220"/>
      <c r="G280" s="223"/>
      <c r="H280" s="226"/>
      <c r="I280" s="226"/>
      <c r="J280" s="216"/>
      <c r="K280" s="216"/>
      <c r="L280" s="216"/>
      <c r="M280" s="230"/>
      <c r="N280" s="234"/>
      <c r="O280" s="238"/>
      <c r="P280" s="243"/>
      <c r="Q280" s="244"/>
      <c r="R280" s="301"/>
      <c r="S280" s="250"/>
      <c r="T280" s="301"/>
      <c r="U280" s="250"/>
      <c r="V280" s="301"/>
      <c r="W280" s="250"/>
      <c r="X280" s="254"/>
      <c r="Y280" s="301"/>
      <c r="Z280" s="258"/>
      <c r="AA280" s="250"/>
      <c r="AB280" s="301"/>
      <c r="AC280" s="305"/>
      <c r="AD280" s="262"/>
      <c r="AE280" s="262"/>
      <c r="AF280" s="283"/>
    </row>
    <row r="281" spans="2:32" hidden="1">
      <c r="B281" s="267"/>
      <c r="C281" s="219"/>
      <c r="D281" s="219"/>
      <c r="E281" s="219"/>
      <c r="F281" s="219"/>
      <c r="G281" s="222"/>
      <c r="H281" s="227"/>
      <c r="I281" s="227"/>
      <c r="J281" s="217"/>
      <c r="K281" s="217"/>
      <c r="L281" s="217"/>
      <c r="M281" s="231"/>
      <c r="N281" s="235"/>
      <c r="O281" s="239"/>
      <c r="P281" s="245"/>
      <c r="Q281" s="246"/>
      <c r="R281" s="302"/>
      <c r="S281" s="251"/>
      <c r="T281" s="302"/>
      <c r="U281" s="251"/>
      <c r="V281" s="302"/>
      <c r="W281" s="251"/>
      <c r="X281" s="255"/>
      <c r="Y281" s="302"/>
      <c r="Z281" s="259"/>
      <c r="AA281" s="251"/>
      <c r="AB281" s="302"/>
      <c r="AC281" s="306"/>
      <c r="AD281" s="261"/>
      <c r="AE281" s="261"/>
      <c r="AF281" s="282"/>
    </row>
    <row r="282" spans="2:32" hidden="1">
      <c r="B282" s="266"/>
      <c r="C282" s="220"/>
      <c r="D282" s="220"/>
      <c r="E282" s="220"/>
      <c r="F282" s="220"/>
      <c r="G282" s="223"/>
      <c r="H282" s="226"/>
      <c r="I282" s="226"/>
      <c r="J282" s="216"/>
      <c r="K282" s="216"/>
      <c r="L282" s="216"/>
      <c r="M282" s="230"/>
      <c r="N282" s="234"/>
      <c r="O282" s="238"/>
      <c r="P282" s="243"/>
      <c r="Q282" s="244"/>
      <c r="R282" s="301"/>
      <c r="S282" s="250"/>
      <c r="T282" s="301"/>
      <c r="U282" s="250"/>
      <c r="V282" s="301"/>
      <c r="W282" s="250"/>
      <c r="X282" s="254"/>
      <c r="Y282" s="301"/>
      <c r="Z282" s="258"/>
      <c r="AA282" s="250"/>
      <c r="AB282" s="301"/>
      <c r="AC282" s="305"/>
      <c r="AD282" s="262"/>
      <c r="AE282" s="262"/>
      <c r="AF282" s="283"/>
    </row>
    <row r="283" spans="2:32" hidden="1">
      <c r="B283" s="267"/>
      <c r="C283" s="219"/>
      <c r="D283" s="219"/>
      <c r="E283" s="219"/>
      <c r="F283" s="219"/>
      <c r="G283" s="222"/>
      <c r="H283" s="227"/>
      <c r="I283" s="227"/>
      <c r="J283" s="217"/>
      <c r="K283" s="217"/>
      <c r="L283" s="217"/>
      <c r="M283" s="231"/>
      <c r="N283" s="235"/>
      <c r="O283" s="239"/>
      <c r="P283" s="245"/>
      <c r="Q283" s="246"/>
      <c r="R283" s="302"/>
      <c r="S283" s="251"/>
      <c r="T283" s="302"/>
      <c r="U283" s="251"/>
      <c r="V283" s="302"/>
      <c r="W283" s="251"/>
      <c r="X283" s="255"/>
      <c r="Y283" s="302"/>
      <c r="Z283" s="259"/>
      <c r="AA283" s="251"/>
      <c r="AB283" s="302"/>
      <c r="AC283" s="306"/>
      <c r="AD283" s="261"/>
      <c r="AE283" s="261"/>
      <c r="AF283" s="282"/>
    </row>
    <row r="284" spans="2:32" hidden="1">
      <c r="B284" s="266"/>
      <c r="C284" s="220"/>
      <c r="D284" s="220"/>
      <c r="E284" s="220"/>
      <c r="F284" s="220"/>
      <c r="G284" s="223"/>
      <c r="H284" s="226"/>
      <c r="I284" s="226"/>
      <c r="J284" s="216"/>
      <c r="K284" s="216"/>
      <c r="L284" s="216"/>
      <c r="M284" s="230"/>
      <c r="N284" s="234"/>
      <c r="O284" s="238"/>
      <c r="P284" s="243"/>
      <c r="Q284" s="244"/>
      <c r="R284" s="301"/>
      <c r="S284" s="250"/>
      <c r="T284" s="301"/>
      <c r="U284" s="250"/>
      <c r="V284" s="301"/>
      <c r="W284" s="250"/>
      <c r="X284" s="254"/>
      <c r="Y284" s="301"/>
      <c r="Z284" s="258"/>
      <c r="AA284" s="250"/>
      <c r="AB284" s="301"/>
      <c r="AC284" s="305"/>
      <c r="AD284" s="262"/>
      <c r="AE284" s="262"/>
      <c r="AF284" s="283"/>
    </row>
    <row r="285" spans="2:32" hidden="1">
      <c r="B285" s="267"/>
      <c r="C285" s="219"/>
      <c r="D285" s="219"/>
      <c r="E285" s="219"/>
      <c r="F285" s="219"/>
      <c r="G285" s="222"/>
      <c r="H285" s="227"/>
      <c r="I285" s="227"/>
      <c r="J285" s="217"/>
      <c r="K285" s="217"/>
      <c r="L285" s="217"/>
      <c r="M285" s="231"/>
      <c r="N285" s="235"/>
      <c r="O285" s="239"/>
      <c r="P285" s="245"/>
      <c r="Q285" s="246"/>
      <c r="R285" s="302"/>
      <c r="S285" s="251"/>
      <c r="T285" s="302"/>
      <c r="U285" s="251"/>
      <c r="V285" s="302"/>
      <c r="W285" s="251"/>
      <c r="X285" s="255"/>
      <c r="Y285" s="302"/>
      <c r="Z285" s="259"/>
      <c r="AA285" s="251"/>
      <c r="AB285" s="302"/>
      <c r="AC285" s="306"/>
      <c r="AD285" s="261"/>
      <c r="AE285" s="261"/>
      <c r="AF285" s="282"/>
    </row>
    <row r="286" spans="2:32" hidden="1">
      <c r="B286" s="266"/>
      <c r="C286" s="220"/>
      <c r="D286" s="220"/>
      <c r="E286" s="220"/>
      <c r="F286" s="220"/>
      <c r="G286" s="223"/>
      <c r="H286" s="226"/>
      <c r="I286" s="226"/>
      <c r="J286" s="216"/>
      <c r="K286" s="216"/>
      <c r="L286" s="216"/>
      <c r="M286" s="230"/>
      <c r="N286" s="234"/>
      <c r="O286" s="238"/>
      <c r="P286" s="243"/>
      <c r="Q286" s="244"/>
      <c r="R286" s="301"/>
      <c r="S286" s="250"/>
      <c r="T286" s="301"/>
      <c r="U286" s="250"/>
      <c r="V286" s="301"/>
      <c r="W286" s="250"/>
      <c r="X286" s="254"/>
      <c r="Y286" s="301"/>
      <c r="Z286" s="258"/>
      <c r="AA286" s="250"/>
      <c r="AB286" s="301"/>
      <c r="AC286" s="305"/>
      <c r="AD286" s="262"/>
      <c r="AE286" s="262"/>
      <c r="AF286" s="283"/>
    </row>
    <row r="287" spans="2:32" hidden="1">
      <c r="B287" s="267"/>
      <c r="C287" s="219"/>
      <c r="D287" s="219"/>
      <c r="E287" s="219"/>
      <c r="F287" s="219"/>
      <c r="G287" s="222"/>
      <c r="H287" s="227"/>
      <c r="I287" s="227"/>
      <c r="J287" s="217"/>
      <c r="K287" s="217"/>
      <c r="L287" s="217"/>
      <c r="M287" s="231"/>
      <c r="N287" s="235"/>
      <c r="O287" s="239"/>
      <c r="P287" s="245"/>
      <c r="Q287" s="246"/>
      <c r="R287" s="302"/>
      <c r="S287" s="251"/>
      <c r="T287" s="302"/>
      <c r="U287" s="251"/>
      <c r="V287" s="302"/>
      <c r="W287" s="251"/>
      <c r="X287" s="255"/>
      <c r="Y287" s="302"/>
      <c r="Z287" s="259"/>
      <c r="AA287" s="251"/>
      <c r="AB287" s="302"/>
      <c r="AC287" s="306"/>
      <c r="AD287" s="261"/>
      <c r="AE287" s="261"/>
      <c r="AF287" s="282"/>
    </row>
    <row r="288" spans="2:32" hidden="1">
      <c r="B288" s="266"/>
      <c r="C288" s="220"/>
      <c r="D288" s="220"/>
      <c r="E288" s="220"/>
      <c r="F288" s="220"/>
      <c r="G288" s="223"/>
      <c r="H288" s="226"/>
      <c r="I288" s="226"/>
      <c r="J288" s="216"/>
      <c r="K288" s="216"/>
      <c r="L288" s="216"/>
      <c r="M288" s="230"/>
      <c r="N288" s="234"/>
      <c r="O288" s="238"/>
      <c r="P288" s="243"/>
      <c r="Q288" s="244"/>
      <c r="R288" s="301"/>
      <c r="S288" s="250"/>
      <c r="T288" s="301"/>
      <c r="U288" s="250"/>
      <c r="V288" s="301"/>
      <c r="W288" s="250"/>
      <c r="X288" s="254"/>
      <c r="Y288" s="301"/>
      <c r="Z288" s="258"/>
      <c r="AA288" s="250"/>
      <c r="AB288" s="301"/>
      <c r="AC288" s="305"/>
      <c r="AD288" s="262"/>
      <c r="AE288" s="262"/>
      <c r="AF288" s="283"/>
    </row>
    <row r="289" spans="2:32" hidden="1">
      <c r="B289" s="267"/>
      <c r="C289" s="219"/>
      <c r="D289" s="219"/>
      <c r="E289" s="219"/>
      <c r="F289" s="219"/>
      <c r="G289" s="222"/>
      <c r="H289" s="227"/>
      <c r="I289" s="227"/>
      <c r="J289" s="217"/>
      <c r="K289" s="217"/>
      <c r="L289" s="217"/>
      <c r="M289" s="231"/>
      <c r="N289" s="235"/>
      <c r="O289" s="239"/>
      <c r="P289" s="245"/>
      <c r="Q289" s="246"/>
      <c r="R289" s="302"/>
      <c r="S289" s="251"/>
      <c r="T289" s="302"/>
      <c r="U289" s="251"/>
      <c r="V289" s="302"/>
      <c r="W289" s="251"/>
      <c r="X289" s="255"/>
      <c r="Y289" s="302"/>
      <c r="Z289" s="259"/>
      <c r="AA289" s="251"/>
      <c r="AB289" s="302"/>
      <c r="AC289" s="306"/>
      <c r="AD289" s="261"/>
      <c r="AE289" s="261"/>
      <c r="AF289" s="282"/>
    </row>
    <row r="290" spans="2:32" hidden="1">
      <c r="B290" s="266"/>
      <c r="C290" s="220"/>
      <c r="D290" s="220"/>
      <c r="E290" s="220"/>
      <c r="F290" s="220"/>
      <c r="G290" s="223"/>
      <c r="H290" s="226"/>
      <c r="I290" s="226"/>
      <c r="J290" s="216"/>
      <c r="K290" s="216"/>
      <c r="L290" s="216"/>
      <c r="M290" s="230"/>
      <c r="N290" s="234"/>
      <c r="O290" s="238"/>
      <c r="P290" s="243"/>
      <c r="Q290" s="244"/>
      <c r="R290" s="301"/>
      <c r="S290" s="250"/>
      <c r="T290" s="301"/>
      <c r="U290" s="250"/>
      <c r="V290" s="301"/>
      <c r="W290" s="250"/>
      <c r="X290" s="254"/>
      <c r="Y290" s="301"/>
      <c r="Z290" s="258"/>
      <c r="AA290" s="250"/>
      <c r="AB290" s="301"/>
      <c r="AC290" s="305"/>
      <c r="AD290" s="262"/>
      <c r="AE290" s="262"/>
      <c r="AF290" s="283"/>
    </row>
    <row r="291" spans="2:32" hidden="1">
      <c r="B291" s="267"/>
      <c r="C291" s="219"/>
      <c r="D291" s="219"/>
      <c r="E291" s="219"/>
      <c r="F291" s="219"/>
      <c r="G291" s="222"/>
      <c r="H291" s="227"/>
      <c r="I291" s="227"/>
      <c r="J291" s="217"/>
      <c r="K291" s="217"/>
      <c r="L291" s="217"/>
      <c r="M291" s="231"/>
      <c r="N291" s="235"/>
      <c r="O291" s="239"/>
      <c r="P291" s="245"/>
      <c r="Q291" s="246"/>
      <c r="R291" s="302"/>
      <c r="S291" s="251"/>
      <c r="T291" s="302"/>
      <c r="U291" s="251"/>
      <c r="V291" s="302"/>
      <c r="W291" s="251"/>
      <c r="X291" s="255"/>
      <c r="Y291" s="302"/>
      <c r="Z291" s="259"/>
      <c r="AA291" s="251"/>
      <c r="AB291" s="302"/>
      <c r="AC291" s="306"/>
      <c r="AD291" s="261"/>
      <c r="AE291" s="261"/>
      <c r="AF291" s="282"/>
    </row>
    <row r="292" spans="2:32" hidden="1">
      <c r="B292" s="266"/>
      <c r="C292" s="220"/>
      <c r="D292" s="220"/>
      <c r="E292" s="220"/>
      <c r="F292" s="220"/>
      <c r="G292" s="223"/>
      <c r="H292" s="226"/>
      <c r="I292" s="226"/>
      <c r="J292" s="216"/>
      <c r="K292" s="216"/>
      <c r="L292" s="216"/>
      <c r="M292" s="230"/>
      <c r="N292" s="234"/>
      <c r="O292" s="238"/>
      <c r="P292" s="243"/>
      <c r="Q292" s="244"/>
      <c r="R292" s="301"/>
      <c r="S292" s="250"/>
      <c r="T292" s="301"/>
      <c r="U292" s="250"/>
      <c r="V292" s="301"/>
      <c r="W292" s="250"/>
      <c r="X292" s="254"/>
      <c r="Y292" s="301"/>
      <c r="Z292" s="258"/>
      <c r="AA292" s="250"/>
      <c r="AB292" s="301"/>
      <c r="AC292" s="305"/>
      <c r="AD292" s="262"/>
      <c r="AE292" s="262"/>
      <c r="AF292" s="283"/>
    </row>
    <row r="293" spans="2:32" hidden="1">
      <c r="B293" s="267"/>
      <c r="C293" s="219"/>
      <c r="D293" s="219"/>
      <c r="E293" s="219"/>
      <c r="F293" s="219"/>
      <c r="G293" s="222"/>
      <c r="H293" s="227"/>
      <c r="I293" s="227"/>
      <c r="J293" s="217"/>
      <c r="K293" s="217"/>
      <c r="L293" s="217"/>
      <c r="M293" s="231"/>
      <c r="N293" s="235"/>
      <c r="O293" s="239"/>
      <c r="P293" s="245"/>
      <c r="Q293" s="246"/>
      <c r="R293" s="302"/>
      <c r="S293" s="251"/>
      <c r="T293" s="302"/>
      <c r="U293" s="251"/>
      <c r="V293" s="302"/>
      <c r="W293" s="251"/>
      <c r="X293" s="255"/>
      <c r="Y293" s="302"/>
      <c r="Z293" s="259"/>
      <c r="AA293" s="251"/>
      <c r="AB293" s="302"/>
      <c r="AC293" s="306"/>
      <c r="AD293" s="261"/>
      <c r="AE293" s="261"/>
      <c r="AF293" s="282"/>
    </row>
    <row r="294" spans="2:32" hidden="1">
      <c r="B294" s="266"/>
      <c r="C294" s="220"/>
      <c r="D294" s="220"/>
      <c r="E294" s="220"/>
      <c r="F294" s="220"/>
      <c r="G294" s="223"/>
      <c r="H294" s="226"/>
      <c r="I294" s="226"/>
      <c r="J294" s="216"/>
      <c r="K294" s="216"/>
      <c r="L294" s="216"/>
      <c r="M294" s="230"/>
      <c r="N294" s="234"/>
      <c r="O294" s="238"/>
      <c r="P294" s="243"/>
      <c r="Q294" s="244"/>
      <c r="R294" s="301"/>
      <c r="S294" s="250"/>
      <c r="T294" s="301"/>
      <c r="U294" s="250"/>
      <c r="V294" s="301"/>
      <c r="W294" s="250"/>
      <c r="X294" s="254"/>
      <c r="Y294" s="301"/>
      <c r="Z294" s="258"/>
      <c r="AA294" s="250"/>
      <c r="AB294" s="301"/>
      <c r="AC294" s="305"/>
      <c r="AD294" s="262"/>
      <c r="AE294" s="262"/>
      <c r="AF294" s="283"/>
    </row>
    <row r="295" spans="2:32" hidden="1">
      <c r="B295" s="267"/>
      <c r="C295" s="219"/>
      <c r="D295" s="219"/>
      <c r="E295" s="219"/>
      <c r="F295" s="219"/>
      <c r="G295" s="222"/>
      <c r="H295" s="227"/>
      <c r="I295" s="227"/>
      <c r="J295" s="217"/>
      <c r="K295" s="217"/>
      <c r="L295" s="217"/>
      <c r="M295" s="231"/>
      <c r="N295" s="235"/>
      <c r="O295" s="239"/>
      <c r="P295" s="245"/>
      <c r="Q295" s="246"/>
      <c r="R295" s="302"/>
      <c r="S295" s="251"/>
      <c r="T295" s="302"/>
      <c r="U295" s="251"/>
      <c r="V295" s="302"/>
      <c r="W295" s="251"/>
      <c r="X295" s="255"/>
      <c r="Y295" s="302"/>
      <c r="Z295" s="259"/>
      <c r="AA295" s="251"/>
      <c r="AB295" s="302"/>
      <c r="AC295" s="306"/>
      <c r="AD295" s="261"/>
      <c r="AE295" s="261"/>
      <c r="AF295" s="282"/>
    </row>
    <row r="296" spans="2:32" hidden="1">
      <c r="B296" s="266"/>
      <c r="C296" s="220"/>
      <c r="D296" s="220"/>
      <c r="E296" s="220"/>
      <c r="F296" s="220"/>
      <c r="G296" s="223"/>
      <c r="H296" s="226"/>
      <c r="I296" s="226"/>
      <c r="J296" s="216"/>
      <c r="K296" s="216"/>
      <c r="L296" s="216"/>
      <c r="M296" s="230"/>
      <c r="N296" s="234"/>
      <c r="O296" s="238"/>
      <c r="P296" s="243"/>
      <c r="Q296" s="244"/>
      <c r="R296" s="301"/>
      <c r="S296" s="250"/>
      <c r="T296" s="301"/>
      <c r="U296" s="250"/>
      <c r="V296" s="301"/>
      <c r="W296" s="250"/>
      <c r="X296" s="254"/>
      <c r="Y296" s="301"/>
      <c r="Z296" s="258"/>
      <c r="AA296" s="250"/>
      <c r="AB296" s="301"/>
      <c r="AC296" s="305"/>
      <c r="AD296" s="262"/>
      <c r="AE296" s="262"/>
      <c r="AF296" s="283"/>
    </row>
    <row r="297" spans="2:32" hidden="1">
      <c r="B297" s="267"/>
      <c r="C297" s="219"/>
      <c r="D297" s="219"/>
      <c r="E297" s="219"/>
      <c r="F297" s="219"/>
      <c r="G297" s="222"/>
      <c r="H297" s="227"/>
      <c r="I297" s="227"/>
      <c r="J297" s="217"/>
      <c r="K297" s="217"/>
      <c r="L297" s="217"/>
      <c r="M297" s="231"/>
      <c r="N297" s="235"/>
      <c r="O297" s="239"/>
      <c r="P297" s="245"/>
      <c r="Q297" s="246"/>
      <c r="R297" s="302"/>
      <c r="S297" s="251"/>
      <c r="T297" s="302"/>
      <c r="U297" s="251"/>
      <c r="V297" s="302"/>
      <c r="W297" s="251"/>
      <c r="X297" s="255"/>
      <c r="Y297" s="302"/>
      <c r="Z297" s="259"/>
      <c r="AA297" s="251"/>
      <c r="AB297" s="302"/>
      <c r="AC297" s="306"/>
      <c r="AD297" s="261"/>
      <c r="AE297" s="261"/>
      <c r="AF297" s="282"/>
    </row>
    <row r="298" spans="2:32" hidden="1">
      <c r="B298" s="266"/>
      <c r="C298" s="220"/>
      <c r="D298" s="220"/>
      <c r="E298" s="220"/>
      <c r="F298" s="220"/>
      <c r="G298" s="223"/>
      <c r="H298" s="226"/>
      <c r="I298" s="226"/>
      <c r="J298" s="216"/>
      <c r="K298" s="216"/>
      <c r="L298" s="216"/>
      <c r="M298" s="230"/>
      <c r="N298" s="234"/>
      <c r="O298" s="238"/>
      <c r="P298" s="243"/>
      <c r="Q298" s="244"/>
      <c r="R298" s="301"/>
      <c r="S298" s="250"/>
      <c r="T298" s="301"/>
      <c r="U298" s="250"/>
      <c r="V298" s="301"/>
      <c r="W298" s="250"/>
      <c r="X298" s="254"/>
      <c r="Y298" s="301"/>
      <c r="Z298" s="258"/>
      <c r="AA298" s="250"/>
      <c r="AB298" s="301"/>
      <c r="AC298" s="305"/>
      <c r="AD298" s="262"/>
      <c r="AE298" s="262"/>
      <c r="AF298" s="283"/>
    </row>
    <row r="299" spans="2:32" hidden="1">
      <c r="B299" s="267"/>
      <c r="C299" s="219"/>
      <c r="D299" s="219"/>
      <c r="E299" s="219"/>
      <c r="F299" s="219"/>
      <c r="G299" s="222"/>
      <c r="H299" s="227"/>
      <c r="I299" s="227"/>
      <c r="J299" s="217"/>
      <c r="K299" s="217"/>
      <c r="L299" s="217"/>
      <c r="M299" s="231"/>
      <c r="N299" s="235"/>
      <c r="O299" s="239"/>
      <c r="P299" s="245"/>
      <c r="Q299" s="246"/>
      <c r="R299" s="302"/>
      <c r="S299" s="251"/>
      <c r="T299" s="302"/>
      <c r="U299" s="251"/>
      <c r="V299" s="302"/>
      <c r="W299" s="251"/>
      <c r="X299" s="255"/>
      <c r="Y299" s="302"/>
      <c r="Z299" s="259"/>
      <c r="AA299" s="251"/>
      <c r="AB299" s="302"/>
      <c r="AC299" s="306"/>
      <c r="AD299" s="261"/>
      <c r="AE299" s="261"/>
      <c r="AF299" s="282"/>
    </row>
    <row r="300" spans="2:32" hidden="1">
      <c r="B300" s="266"/>
      <c r="C300" s="220"/>
      <c r="D300" s="220"/>
      <c r="E300" s="220"/>
      <c r="F300" s="220"/>
      <c r="G300" s="223"/>
      <c r="H300" s="226"/>
      <c r="I300" s="226"/>
      <c r="J300" s="216"/>
      <c r="K300" s="216"/>
      <c r="L300" s="216"/>
      <c r="M300" s="230"/>
      <c r="N300" s="234"/>
      <c r="O300" s="238"/>
      <c r="P300" s="243"/>
      <c r="Q300" s="244"/>
      <c r="R300" s="301"/>
      <c r="S300" s="250"/>
      <c r="T300" s="301"/>
      <c r="U300" s="250"/>
      <c r="V300" s="301"/>
      <c r="W300" s="250"/>
      <c r="X300" s="254"/>
      <c r="Y300" s="301"/>
      <c r="Z300" s="258"/>
      <c r="AA300" s="250"/>
      <c r="AB300" s="301"/>
      <c r="AC300" s="305"/>
      <c r="AD300" s="262"/>
      <c r="AE300" s="262"/>
      <c r="AF300" s="283"/>
    </row>
    <row r="301" spans="2:32" hidden="1">
      <c r="B301" s="267"/>
      <c r="C301" s="219"/>
      <c r="D301" s="219"/>
      <c r="E301" s="219"/>
      <c r="F301" s="219"/>
      <c r="G301" s="222"/>
      <c r="H301" s="227"/>
      <c r="I301" s="227"/>
      <c r="J301" s="217"/>
      <c r="K301" s="217"/>
      <c r="L301" s="217"/>
      <c r="M301" s="231"/>
      <c r="N301" s="235"/>
      <c r="O301" s="239"/>
      <c r="P301" s="245"/>
      <c r="Q301" s="246"/>
      <c r="R301" s="302"/>
      <c r="S301" s="251"/>
      <c r="T301" s="302"/>
      <c r="U301" s="251"/>
      <c r="V301" s="302"/>
      <c r="W301" s="251"/>
      <c r="X301" s="255"/>
      <c r="Y301" s="302"/>
      <c r="Z301" s="259"/>
      <c r="AA301" s="251"/>
      <c r="AB301" s="302"/>
      <c r="AC301" s="306"/>
      <c r="AD301" s="261"/>
      <c r="AE301" s="261"/>
      <c r="AF301" s="282"/>
    </row>
    <row r="302" spans="2:32" hidden="1">
      <c r="B302" s="266"/>
      <c r="C302" s="220"/>
      <c r="D302" s="220"/>
      <c r="E302" s="220"/>
      <c r="F302" s="220"/>
      <c r="G302" s="223"/>
      <c r="H302" s="226"/>
      <c r="I302" s="226"/>
      <c r="J302" s="216"/>
      <c r="K302" s="216"/>
      <c r="L302" s="216"/>
      <c r="M302" s="230"/>
      <c r="N302" s="234"/>
      <c r="O302" s="238"/>
      <c r="P302" s="243"/>
      <c r="Q302" s="244"/>
      <c r="R302" s="301"/>
      <c r="S302" s="250"/>
      <c r="T302" s="301"/>
      <c r="U302" s="250"/>
      <c r="V302" s="301"/>
      <c r="W302" s="250"/>
      <c r="X302" s="254"/>
      <c r="Y302" s="301"/>
      <c r="Z302" s="258"/>
      <c r="AA302" s="250"/>
      <c r="AB302" s="301"/>
      <c r="AC302" s="305"/>
      <c r="AD302" s="262"/>
      <c r="AE302" s="262"/>
      <c r="AF302" s="283"/>
    </row>
    <row r="303" spans="2:32" hidden="1">
      <c r="B303" s="267"/>
      <c r="C303" s="219"/>
      <c r="D303" s="219"/>
      <c r="E303" s="219"/>
      <c r="F303" s="219"/>
      <c r="G303" s="222"/>
      <c r="H303" s="227"/>
      <c r="I303" s="227"/>
      <c r="J303" s="217"/>
      <c r="K303" s="217"/>
      <c r="L303" s="217"/>
      <c r="M303" s="231"/>
      <c r="N303" s="235"/>
      <c r="O303" s="239"/>
      <c r="P303" s="245"/>
      <c r="Q303" s="246"/>
      <c r="R303" s="302"/>
      <c r="S303" s="251"/>
      <c r="T303" s="302"/>
      <c r="U303" s="251"/>
      <c r="V303" s="302"/>
      <c r="W303" s="251"/>
      <c r="X303" s="255"/>
      <c r="Y303" s="302"/>
      <c r="Z303" s="259"/>
      <c r="AA303" s="251"/>
      <c r="AB303" s="302"/>
      <c r="AC303" s="306"/>
      <c r="AD303" s="261"/>
      <c r="AE303" s="261"/>
      <c r="AF303" s="282"/>
    </row>
    <row r="304" spans="2:32" hidden="1">
      <c r="B304" s="266"/>
      <c r="C304" s="220"/>
      <c r="D304" s="220"/>
      <c r="E304" s="220"/>
      <c r="F304" s="220"/>
      <c r="G304" s="223"/>
      <c r="H304" s="226"/>
      <c r="I304" s="226"/>
      <c r="J304" s="216"/>
      <c r="K304" s="216"/>
      <c r="L304" s="216"/>
      <c r="M304" s="230"/>
      <c r="N304" s="234"/>
      <c r="O304" s="238"/>
      <c r="P304" s="243"/>
      <c r="Q304" s="244"/>
      <c r="R304" s="301"/>
      <c r="S304" s="250"/>
      <c r="T304" s="301"/>
      <c r="U304" s="250"/>
      <c r="V304" s="301"/>
      <c r="W304" s="250"/>
      <c r="X304" s="254"/>
      <c r="Y304" s="301"/>
      <c r="Z304" s="258"/>
      <c r="AA304" s="250"/>
      <c r="AB304" s="301"/>
      <c r="AC304" s="305"/>
      <c r="AD304" s="262"/>
      <c r="AE304" s="262"/>
      <c r="AF304" s="283"/>
    </row>
    <row r="305" spans="2:32" hidden="1">
      <c r="B305" s="267"/>
      <c r="C305" s="219"/>
      <c r="D305" s="219"/>
      <c r="E305" s="219"/>
      <c r="F305" s="219"/>
      <c r="G305" s="222"/>
      <c r="H305" s="227"/>
      <c r="I305" s="227"/>
      <c r="J305" s="217"/>
      <c r="K305" s="217"/>
      <c r="L305" s="217"/>
      <c r="M305" s="231"/>
      <c r="N305" s="235"/>
      <c r="O305" s="239"/>
      <c r="P305" s="245"/>
      <c r="Q305" s="246"/>
      <c r="R305" s="302"/>
      <c r="S305" s="251"/>
      <c r="T305" s="302"/>
      <c r="U305" s="251"/>
      <c r="V305" s="302"/>
      <c r="W305" s="251"/>
      <c r="X305" s="255"/>
      <c r="Y305" s="302"/>
      <c r="Z305" s="259"/>
      <c r="AA305" s="251"/>
      <c r="AB305" s="302"/>
      <c r="AC305" s="306"/>
      <c r="AD305" s="261"/>
      <c r="AE305" s="261"/>
      <c r="AF305" s="282"/>
    </row>
    <row r="306" spans="2:32" hidden="1">
      <c r="B306" s="266"/>
      <c r="C306" s="220"/>
      <c r="D306" s="220"/>
      <c r="E306" s="220"/>
      <c r="F306" s="220"/>
      <c r="G306" s="223"/>
      <c r="H306" s="226"/>
      <c r="I306" s="226"/>
      <c r="J306" s="216"/>
      <c r="K306" s="216"/>
      <c r="L306" s="216"/>
      <c r="M306" s="230"/>
      <c r="N306" s="234"/>
      <c r="O306" s="238"/>
      <c r="P306" s="243"/>
      <c r="Q306" s="244"/>
      <c r="R306" s="301"/>
      <c r="S306" s="250"/>
      <c r="T306" s="301"/>
      <c r="U306" s="250"/>
      <c r="V306" s="301"/>
      <c r="W306" s="250"/>
      <c r="X306" s="254"/>
      <c r="Y306" s="301"/>
      <c r="Z306" s="258"/>
      <c r="AA306" s="250"/>
      <c r="AB306" s="301"/>
      <c r="AC306" s="305"/>
      <c r="AD306" s="262"/>
      <c r="AE306" s="262"/>
      <c r="AF306" s="283"/>
    </row>
    <row r="307" spans="2:32" hidden="1">
      <c r="B307" s="267"/>
      <c r="C307" s="219"/>
      <c r="D307" s="219"/>
      <c r="E307" s="219"/>
      <c r="F307" s="219"/>
      <c r="G307" s="222"/>
      <c r="H307" s="227"/>
      <c r="I307" s="227"/>
      <c r="J307" s="217"/>
      <c r="K307" s="217"/>
      <c r="L307" s="217"/>
      <c r="M307" s="231"/>
      <c r="N307" s="235"/>
      <c r="O307" s="239"/>
      <c r="P307" s="245"/>
      <c r="Q307" s="246"/>
      <c r="R307" s="302"/>
      <c r="S307" s="251"/>
      <c r="T307" s="302"/>
      <c r="U307" s="251"/>
      <c r="V307" s="302"/>
      <c r="W307" s="251"/>
      <c r="X307" s="255"/>
      <c r="Y307" s="302"/>
      <c r="Z307" s="259"/>
      <c r="AA307" s="251"/>
      <c r="AB307" s="302"/>
      <c r="AC307" s="306"/>
      <c r="AD307" s="261"/>
      <c r="AE307" s="261"/>
      <c r="AF307" s="282"/>
    </row>
    <row r="308" spans="2:32" hidden="1">
      <c r="B308" s="266"/>
      <c r="C308" s="220"/>
      <c r="D308" s="220"/>
      <c r="E308" s="220"/>
      <c r="F308" s="220"/>
      <c r="G308" s="223"/>
      <c r="H308" s="226"/>
      <c r="I308" s="226"/>
      <c r="J308" s="216"/>
      <c r="K308" s="216"/>
      <c r="L308" s="216"/>
      <c r="M308" s="230"/>
      <c r="N308" s="234"/>
      <c r="O308" s="238"/>
      <c r="P308" s="243"/>
      <c r="Q308" s="244"/>
      <c r="R308" s="301"/>
      <c r="S308" s="250"/>
      <c r="T308" s="301"/>
      <c r="U308" s="250"/>
      <c r="V308" s="301"/>
      <c r="W308" s="250"/>
      <c r="X308" s="254"/>
      <c r="Y308" s="301"/>
      <c r="Z308" s="258"/>
      <c r="AA308" s="250"/>
      <c r="AB308" s="301"/>
      <c r="AC308" s="305"/>
      <c r="AD308" s="262"/>
      <c r="AE308" s="262"/>
      <c r="AF308" s="283"/>
    </row>
    <row r="309" spans="2:32" hidden="1">
      <c r="B309" s="267"/>
      <c r="C309" s="219"/>
      <c r="D309" s="219"/>
      <c r="E309" s="219"/>
      <c r="F309" s="219"/>
      <c r="G309" s="222"/>
      <c r="H309" s="227"/>
      <c r="I309" s="227"/>
      <c r="J309" s="217"/>
      <c r="K309" s="217"/>
      <c r="L309" s="217"/>
      <c r="M309" s="231"/>
      <c r="N309" s="235"/>
      <c r="O309" s="239"/>
      <c r="P309" s="245"/>
      <c r="Q309" s="246"/>
      <c r="R309" s="302"/>
      <c r="S309" s="251"/>
      <c r="T309" s="302"/>
      <c r="U309" s="251"/>
      <c r="V309" s="302"/>
      <c r="W309" s="251"/>
      <c r="X309" s="255"/>
      <c r="Y309" s="302"/>
      <c r="Z309" s="259"/>
      <c r="AA309" s="251"/>
      <c r="AB309" s="302"/>
      <c r="AC309" s="306"/>
      <c r="AD309" s="261"/>
      <c r="AE309" s="261"/>
      <c r="AF309" s="282"/>
    </row>
    <row r="310" spans="2:32" hidden="1">
      <c r="B310" s="266"/>
      <c r="C310" s="220"/>
      <c r="D310" s="220"/>
      <c r="E310" s="220"/>
      <c r="F310" s="220"/>
      <c r="G310" s="223"/>
      <c r="H310" s="226"/>
      <c r="I310" s="226"/>
      <c r="J310" s="216"/>
      <c r="K310" s="216"/>
      <c r="L310" s="216"/>
      <c r="M310" s="230"/>
      <c r="N310" s="234"/>
      <c r="O310" s="238"/>
      <c r="P310" s="243"/>
      <c r="Q310" s="244"/>
      <c r="R310" s="301"/>
      <c r="S310" s="250"/>
      <c r="T310" s="301"/>
      <c r="U310" s="250"/>
      <c r="V310" s="301"/>
      <c r="W310" s="250"/>
      <c r="X310" s="254"/>
      <c r="Y310" s="301"/>
      <c r="Z310" s="258"/>
      <c r="AA310" s="250"/>
      <c r="AB310" s="301"/>
      <c r="AC310" s="305"/>
      <c r="AD310" s="262"/>
      <c r="AE310" s="262"/>
      <c r="AF310" s="283"/>
    </row>
    <row r="311" spans="2:32" hidden="1">
      <c r="B311" s="267"/>
      <c r="C311" s="219"/>
      <c r="D311" s="219"/>
      <c r="E311" s="219"/>
      <c r="F311" s="219"/>
      <c r="G311" s="222"/>
      <c r="H311" s="227"/>
      <c r="I311" s="227"/>
      <c r="J311" s="217"/>
      <c r="K311" s="217"/>
      <c r="L311" s="217"/>
      <c r="M311" s="231"/>
      <c r="N311" s="235"/>
      <c r="O311" s="239"/>
      <c r="P311" s="245"/>
      <c r="Q311" s="246"/>
      <c r="R311" s="302"/>
      <c r="S311" s="251"/>
      <c r="T311" s="302"/>
      <c r="U311" s="251"/>
      <c r="V311" s="302"/>
      <c r="W311" s="251"/>
      <c r="X311" s="255"/>
      <c r="Y311" s="302"/>
      <c r="Z311" s="259"/>
      <c r="AA311" s="251"/>
      <c r="AB311" s="302"/>
      <c r="AC311" s="306"/>
      <c r="AD311" s="261"/>
      <c r="AE311" s="261"/>
      <c r="AF311" s="282"/>
    </row>
    <row r="312" spans="2:32" hidden="1">
      <c r="B312" s="266"/>
      <c r="C312" s="220"/>
      <c r="D312" s="220"/>
      <c r="E312" s="220"/>
      <c r="F312" s="220"/>
      <c r="G312" s="223"/>
      <c r="H312" s="226"/>
      <c r="I312" s="226"/>
      <c r="J312" s="216"/>
      <c r="K312" s="216"/>
      <c r="L312" s="216"/>
      <c r="M312" s="230"/>
      <c r="N312" s="234"/>
      <c r="O312" s="238"/>
      <c r="P312" s="243"/>
      <c r="Q312" s="244"/>
      <c r="R312" s="301"/>
      <c r="S312" s="250"/>
      <c r="T312" s="301"/>
      <c r="U312" s="250"/>
      <c r="V312" s="301"/>
      <c r="W312" s="250"/>
      <c r="X312" s="254"/>
      <c r="Y312" s="301"/>
      <c r="Z312" s="258"/>
      <c r="AA312" s="250"/>
      <c r="AB312" s="301"/>
      <c r="AC312" s="305"/>
      <c r="AD312" s="262"/>
      <c r="AE312" s="262"/>
      <c r="AF312" s="283"/>
    </row>
    <row r="313" spans="2:32" hidden="1">
      <c r="B313" s="267"/>
      <c r="C313" s="219"/>
      <c r="D313" s="219"/>
      <c r="E313" s="219"/>
      <c r="F313" s="219"/>
      <c r="G313" s="222"/>
      <c r="H313" s="227"/>
      <c r="I313" s="227"/>
      <c r="J313" s="217"/>
      <c r="K313" s="217"/>
      <c r="L313" s="217"/>
      <c r="M313" s="231"/>
      <c r="N313" s="235"/>
      <c r="O313" s="239"/>
      <c r="P313" s="245"/>
      <c r="Q313" s="246"/>
      <c r="R313" s="302"/>
      <c r="S313" s="251"/>
      <c r="T313" s="302"/>
      <c r="U313" s="251"/>
      <c r="V313" s="302"/>
      <c r="W313" s="251"/>
      <c r="X313" s="255"/>
      <c r="Y313" s="302"/>
      <c r="Z313" s="259"/>
      <c r="AA313" s="251"/>
      <c r="AB313" s="302"/>
      <c r="AC313" s="306"/>
      <c r="AD313" s="261"/>
      <c r="AE313" s="261"/>
      <c r="AF313" s="282"/>
    </row>
    <row r="314" spans="2:32" hidden="1">
      <c r="B314" s="266"/>
      <c r="C314" s="220"/>
      <c r="D314" s="220"/>
      <c r="E314" s="220"/>
      <c r="F314" s="220"/>
      <c r="G314" s="223"/>
      <c r="H314" s="226"/>
      <c r="I314" s="226"/>
      <c r="J314" s="216"/>
      <c r="K314" s="216"/>
      <c r="L314" s="216"/>
      <c r="M314" s="230"/>
      <c r="N314" s="234"/>
      <c r="O314" s="238"/>
      <c r="P314" s="243"/>
      <c r="Q314" s="244"/>
      <c r="R314" s="301"/>
      <c r="S314" s="250"/>
      <c r="T314" s="301"/>
      <c r="U314" s="250"/>
      <c r="V314" s="301"/>
      <c r="W314" s="250"/>
      <c r="X314" s="254"/>
      <c r="Y314" s="301"/>
      <c r="Z314" s="258"/>
      <c r="AA314" s="250"/>
      <c r="AB314" s="301"/>
      <c r="AC314" s="305"/>
      <c r="AD314" s="262"/>
      <c r="AE314" s="262"/>
      <c r="AF314" s="283"/>
    </row>
    <row r="315" spans="2:32" hidden="1">
      <c r="B315" s="267"/>
      <c r="C315" s="219"/>
      <c r="D315" s="219"/>
      <c r="E315" s="219"/>
      <c r="F315" s="219"/>
      <c r="G315" s="222"/>
      <c r="H315" s="227"/>
      <c r="I315" s="227"/>
      <c r="J315" s="217"/>
      <c r="K315" s="217"/>
      <c r="L315" s="217"/>
      <c r="M315" s="231"/>
      <c r="N315" s="235"/>
      <c r="O315" s="239"/>
      <c r="P315" s="245"/>
      <c r="Q315" s="246"/>
      <c r="R315" s="302"/>
      <c r="S315" s="251"/>
      <c r="T315" s="302"/>
      <c r="U315" s="251"/>
      <c r="V315" s="302"/>
      <c r="W315" s="251"/>
      <c r="X315" s="255"/>
      <c r="Y315" s="302"/>
      <c r="Z315" s="259"/>
      <c r="AA315" s="251"/>
      <c r="AB315" s="302"/>
      <c r="AC315" s="306"/>
      <c r="AD315" s="261"/>
      <c r="AE315" s="261"/>
      <c r="AF315" s="282"/>
    </row>
    <row r="316" spans="2:32" hidden="1">
      <c r="B316" s="266"/>
      <c r="C316" s="220"/>
      <c r="D316" s="220"/>
      <c r="E316" s="220"/>
      <c r="F316" s="220"/>
      <c r="G316" s="223"/>
      <c r="H316" s="226"/>
      <c r="I316" s="226"/>
      <c r="J316" s="216"/>
      <c r="K316" s="216"/>
      <c r="L316" s="216"/>
      <c r="M316" s="230"/>
      <c r="N316" s="234"/>
      <c r="O316" s="238"/>
      <c r="P316" s="243"/>
      <c r="Q316" s="244"/>
      <c r="R316" s="301"/>
      <c r="S316" s="250"/>
      <c r="T316" s="301"/>
      <c r="U316" s="250"/>
      <c r="V316" s="301"/>
      <c r="W316" s="250"/>
      <c r="X316" s="254"/>
      <c r="Y316" s="301"/>
      <c r="Z316" s="258"/>
      <c r="AA316" s="250"/>
      <c r="AB316" s="301"/>
      <c r="AC316" s="305"/>
      <c r="AD316" s="262"/>
      <c r="AE316" s="262"/>
      <c r="AF316" s="283"/>
    </row>
    <row r="317" spans="2:32" hidden="1">
      <c r="B317" s="267"/>
      <c r="C317" s="219"/>
      <c r="D317" s="219"/>
      <c r="E317" s="219"/>
      <c r="F317" s="219"/>
      <c r="G317" s="222"/>
      <c r="H317" s="227"/>
      <c r="I317" s="227"/>
      <c r="J317" s="217"/>
      <c r="K317" s="217"/>
      <c r="L317" s="217"/>
      <c r="M317" s="231"/>
      <c r="N317" s="235"/>
      <c r="O317" s="239"/>
      <c r="P317" s="245"/>
      <c r="Q317" s="246"/>
      <c r="R317" s="302"/>
      <c r="S317" s="251"/>
      <c r="T317" s="302"/>
      <c r="U317" s="251"/>
      <c r="V317" s="302"/>
      <c r="W317" s="251"/>
      <c r="X317" s="255"/>
      <c r="Y317" s="302"/>
      <c r="Z317" s="259"/>
      <c r="AA317" s="251"/>
      <c r="AB317" s="302"/>
      <c r="AC317" s="306"/>
      <c r="AD317" s="261"/>
      <c r="AE317" s="261"/>
      <c r="AF317" s="282"/>
    </row>
    <row r="318" spans="2:32" hidden="1">
      <c r="B318" s="266"/>
      <c r="C318" s="220"/>
      <c r="D318" s="220"/>
      <c r="E318" s="220"/>
      <c r="F318" s="220"/>
      <c r="G318" s="223"/>
      <c r="H318" s="226"/>
      <c r="I318" s="226"/>
      <c r="J318" s="216"/>
      <c r="K318" s="216"/>
      <c r="L318" s="216"/>
      <c r="M318" s="230"/>
      <c r="N318" s="234"/>
      <c r="O318" s="238"/>
      <c r="P318" s="243"/>
      <c r="Q318" s="244"/>
      <c r="R318" s="301"/>
      <c r="S318" s="250"/>
      <c r="T318" s="301"/>
      <c r="U318" s="250"/>
      <c r="V318" s="301"/>
      <c r="W318" s="250"/>
      <c r="X318" s="254"/>
      <c r="Y318" s="301"/>
      <c r="Z318" s="258"/>
      <c r="AA318" s="250"/>
      <c r="AB318" s="301"/>
      <c r="AC318" s="305"/>
      <c r="AD318" s="262"/>
      <c r="AE318" s="262"/>
      <c r="AF318" s="283"/>
    </row>
    <row r="319" spans="2:32" hidden="1">
      <c r="B319" s="267"/>
      <c r="C319" s="219"/>
      <c r="D319" s="219"/>
      <c r="E319" s="219"/>
      <c r="F319" s="219"/>
      <c r="G319" s="222"/>
      <c r="H319" s="227"/>
      <c r="I319" s="227"/>
      <c r="J319" s="217"/>
      <c r="K319" s="217"/>
      <c r="L319" s="217"/>
      <c r="M319" s="231"/>
      <c r="N319" s="235"/>
      <c r="O319" s="239"/>
      <c r="P319" s="245"/>
      <c r="Q319" s="246"/>
      <c r="R319" s="302"/>
      <c r="S319" s="251"/>
      <c r="T319" s="302"/>
      <c r="U319" s="251"/>
      <c r="V319" s="302"/>
      <c r="W319" s="251"/>
      <c r="X319" s="255"/>
      <c r="Y319" s="302"/>
      <c r="Z319" s="259"/>
      <c r="AA319" s="251"/>
      <c r="AB319" s="302"/>
      <c r="AC319" s="306"/>
      <c r="AD319" s="261"/>
      <c r="AE319" s="261"/>
      <c r="AF319" s="282"/>
    </row>
    <row r="320" spans="2:32" hidden="1">
      <c r="B320" s="266"/>
      <c r="C320" s="220"/>
      <c r="D320" s="220"/>
      <c r="E320" s="220"/>
      <c r="F320" s="220"/>
      <c r="G320" s="223"/>
      <c r="H320" s="226"/>
      <c r="I320" s="226"/>
      <c r="J320" s="216"/>
      <c r="K320" s="216"/>
      <c r="L320" s="216"/>
      <c r="M320" s="230"/>
      <c r="N320" s="234"/>
      <c r="O320" s="238"/>
      <c r="P320" s="243"/>
      <c r="Q320" s="244"/>
      <c r="R320" s="301"/>
      <c r="S320" s="250"/>
      <c r="T320" s="301"/>
      <c r="U320" s="250"/>
      <c r="V320" s="301"/>
      <c r="W320" s="250"/>
      <c r="X320" s="254"/>
      <c r="Y320" s="301"/>
      <c r="Z320" s="258"/>
      <c r="AA320" s="250"/>
      <c r="AB320" s="301"/>
      <c r="AC320" s="305"/>
      <c r="AD320" s="262"/>
      <c r="AE320" s="262"/>
      <c r="AF320" s="283"/>
    </row>
    <row r="321" spans="2:32" hidden="1">
      <c r="B321" s="267"/>
      <c r="C321" s="219"/>
      <c r="D321" s="219"/>
      <c r="E321" s="219"/>
      <c r="F321" s="219"/>
      <c r="G321" s="222"/>
      <c r="H321" s="227"/>
      <c r="I321" s="227"/>
      <c r="J321" s="217"/>
      <c r="K321" s="217"/>
      <c r="L321" s="217"/>
      <c r="M321" s="231"/>
      <c r="N321" s="235"/>
      <c r="O321" s="239"/>
      <c r="P321" s="245"/>
      <c r="Q321" s="246"/>
      <c r="R321" s="302"/>
      <c r="S321" s="251"/>
      <c r="T321" s="302"/>
      <c r="U321" s="251"/>
      <c r="V321" s="302"/>
      <c r="W321" s="251"/>
      <c r="X321" s="255"/>
      <c r="Y321" s="302"/>
      <c r="Z321" s="259"/>
      <c r="AA321" s="251"/>
      <c r="AB321" s="302"/>
      <c r="AC321" s="306"/>
      <c r="AD321" s="261"/>
      <c r="AE321" s="261"/>
      <c r="AF321" s="282"/>
    </row>
    <row r="322" spans="2:32" hidden="1">
      <c r="B322" s="266"/>
      <c r="C322" s="220"/>
      <c r="D322" s="220"/>
      <c r="E322" s="220"/>
      <c r="F322" s="220"/>
      <c r="G322" s="223"/>
      <c r="H322" s="226"/>
      <c r="I322" s="226"/>
      <c r="J322" s="216"/>
      <c r="K322" s="216"/>
      <c r="L322" s="216"/>
      <c r="M322" s="230"/>
      <c r="N322" s="234"/>
      <c r="O322" s="238"/>
      <c r="P322" s="243"/>
      <c r="Q322" s="244"/>
      <c r="R322" s="301"/>
      <c r="S322" s="250"/>
      <c r="T322" s="301"/>
      <c r="U322" s="250"/>
      <c r="V322" s="301"/>
      <c r="W322" s="250"/>
      <c r="X322" s="254"/>
      <c r="Y322" s="301"/>
      <c r="Z322" s="258"/>
      <c r="AA322" s="250"/>
      <c r="AB322" s="301"/>
      <c r="AC322" s="305"/>
      <c r="AD322" s="262"/>
      <c r="AE322" s="262"/>
      <c r="AF322" s="283"/>
    </row>
    <row r="323" spans="2:32" hidden="1">
      <c r="B323" s="267"/>
      <c r="C323" s="219"/>
      <c r="D323" s="219"/>
      <c r="E323" s="219"/>
      <c r="F323" s="219"/>
      <c r="G323" s="222"/>
      <c r="H323" s="227"/>
      <c r="I323" s="227"/>
      <c r="J323" s="217"/>
      <c r="K323" s="217"/>
      <c r="L323" s="217"/>
      <c r="M323" s="231"/>
      <c r="N323" s="235"/>
      <c r="O323" s="239"/>
      <c r="P323" s="245"/>
      <c r="Q323" s="246"/>
      <c r="R323" s="302"/>
      <c r="S323" s="251"/>
      <c r="T323" s="302"/>
      <c r="U323" s="251"/>
      <c r="V323" s="302"/>
      <c r="W323" s="251"/>
      <c r="X323" s="255"/>
      <c r="Y323" s="302"/>
      <c r="Z323" s="259"/>
      <c r="AA323" s="251"/>
      <c r="AB323" s="302"/>
      <c r="AC323" s="306"/>
      <c r="AD323" s="261"/>
      <c r="AE323" s="261"/>
      <c r="AF323" s="282"/>
    </row>
    <row r="324" spans="2:32" hidden="1">
      <c r="B324" s="266"/>
      <c r="C324" s="220"/>
      <c r="D324" s="220"/>
      <c r="E324" s="220"/>
      <c r="F324" s="220"/>
      <c r="G324" s="223"/>
      <c r="H324" s="226"/>
      <c r="I324" s="226"/>
      <c r="J324" s="216"/>
      <c r="K324" s="216"/>
      <c r="L324" s="216"/>
      <c r="M324" s="230"/>
      <c r="N324" s="234"/>
      <c r="O324" s="238"/>
      <c r="P324" s="243"/>
      <c r="Q324" s="244"/>
      <c r="R324" s="301"/>
      <c r="S324" s="250"/>
      <c r="T324" s="301"/>
      <c r="U324" s="250"/>
      <c r="V324" s="301"/>
      <c r="W324" s="250"/>
      <c r="X324" s="254"/>
      <c r="Y324" s="301"/>
      <c r="Z324" s="258"/>
      <c r="AA324" s="250"/>
      <c r="AB324" s="301"/>
      <c r="AC324" s="305"/>
      <c r="AD324" s="262"/>
      <c r="AE324" s="262"/>
      <c r="AF324" s="283"/>
    </row>
    <row r="325" spans="2:32" hidden="1">
      <c r="B325" s="267"/>
      <c r="C325" s="219"/>
      <c r="D325" s="219"/>
      <c r="E325" s="219"/>
      <c r="F325" s="219"/>
      <c r="G325" s="222"/>
      <c r="H325" s="227"/>
      <c r="I325" s="227"/>
      <c r="J325" s="217"/>
      <c r="K325" s="217"/>
      <c r="L325" s="217"/>
      <c r="M325" s="231"/>
      <c r="N325" s="235"/>
      <c r="O325" s="239"/>
      <c r="P325" s="245"/>
      <c r="Q325" s="246"/>
      <c r="R325" s="302"/>
      <c r="S325" s="251"/>
      <c r="T325" s="302"/>
      <c r="U325" s="251"/>
      <c r="V325" s="302"/>
      <c r="W325" s="251"/>
      <c r="X325" s="255"/>
      <c r="Y325" s="302"/>
      <c r="Z325" s="259"/>
      <c r="AA325" s="251"/>
      <c r="AB325" s="302"/>
      <c r="AC325" s="306"/>
      <c r="AD325" s="261"/>
      <c r="AE325" s="261"/>
      <c r="AF325" s="282"/>
    </row>
    <row r="326" spans="2:32" hidden="1">
      <c r="B326" s="266"/>
      <c r="C326" s="220"/>
      <c r="D326" s="220"/>
      <c r="E326" s="220"/>
      <c r="F326" s="220"/>
      <c r="G326" s="223"/>
      <c r="H326" s="226"/>
      <c r="I326" s="226"/>
      <c r="J326" s="216"/>
      <c r="K326" s="216"/>
      <c r="L326" s="216"/>
      <c r="M326" s="230"/>
      <c r="N326" s="234"/>
      <c r="O326" s="238"/>
      <c r="P326" s="243"/>
      <c r="Q326" s="244"/>
      <c r="R326" s="301"/>
      <c r="S326" s="250"/>
      <c r="T326" s="301"/>
      <c r="U326" s="250"/>
      <c r="V326" s="301"/>
      <c r="W326" s="250"/>
      <c r="X326" s="254"/>
      <c r="Y326" s="301"/>
      <c r="Z326" s="258"/>
      <c r="AA326" s="250"/>
      <c r="AB326" s="301"/>
      <c r="AC326" s="305"/>
      <c r="AD326" s="262"/>
      <c r="AE326" s="262"/>
      <c r="AF326" s="283"/>
    </row>
    <row r="327" spans="2:32" hidden="1">
      <c r="B327" s="267"/>
      <c r="C327" s="219"/>
      <c r="D327" s="219"/>
      <c r="E327" s="219"/>
      <c r="F327" s="219"/>
      <c r="G327" s="222"/>
      <c r="H327" s="227"/>
      <c r="I327" s="227"/>
      <c r="J327" s="217"/>
      <c r="K327" s="217"/>
      <c r="L327" s="217"/>
      <c r="M327" s="231"/>
      <c r="N327" s="235"/>
      <c r="O327" s="239"/>
      <c r="P327" s="245"/>
      <c r="Q327" s="246"/>
      <c r="R327" s="302"/>
      <c r="S327" s="251"/>
      <c r="T327" s="302"/>
      <c r="U327" s="251"/>
      <c r="V327" s="302"/>
      <c r="W327" s="251"/>
      <c r="X327" s="255"/>
      <c r="Y327" s="302"/>
      <c r="Z327" s="259"/>
      <c r="AA327" s="251"/>
      <c r="AB327" s="302"/>
      <c r="AC327" s="306"/>
      <c r="AD327" s="261"/>
      <c r="AE327" s="261"/>
      <c r="AF327" s="282"/>
    </row>
    <row r="328" spans="2:32" hidden="1">
      <c r="B328" s="266"/>
      <c r="C328" s="220"/>
      <c r="D328" s="220"/>
      <c r="E328" s="220"/>
      <c r="F328" s="220"/>
      <c r="G328" s="223"/>
      <c r="H328" s="226"/>
      <c r="I328" s="226"/>
      <c r="J328" s="216"/>
      <c r="K328" s="216"/>
      <c r="L328" s="216"/>
      <c r="M328" s="230"/>
      <c r="N328" s="234"/>
      <c r="O328" s="238"/>
      <c r="P328" s="243"/>
      <c r="Q328" s="244"/>
      <c r="R328" s="301"/>
      <c r="S328" s="250"/>
      <c r="T328" s="301"/>
      <c r="U328" s="250"/>
      <c r="V328" s="301"/>
      <c r="W328" s="250"/>
      <c r="X328" s="254"/>
      <c r="Y328" s="301"/>
      <c r="Z328" s="258"/>
      <c r="AA328" s="250"/>
      <c r="AB328" s="301"/>
      <c r="AC328" s="305"/>
      <c r="AD328" s="262"/>
      <c r="AE328" s="262"/>
      <c r="AF328" s="283"/>
    </row>
    <row r="329" spans="2:32" hidden="1">
      <c r="B329" s="267"/>
      <c r="C329" s="219"/>
      <c r="D329" s="219"/>
      <c r="E329" s="219"/>
      <c r="F329" s="219"/>
      <c r="G329" s="222"/>
      <c r="H329" s="227"/>
      <c r="I329" s="227"/>
      <c r="J329" s="217"/>
      <c r="K329" s="217"/>
      <c r="L329" s="217"/>
      <c r="M329" s="231"/>
      <c r="N329" s="235"/>
      <c r="O329" s="239"/>
      <c r="P329" s="245"/>
      <c r="Q329" s="246"/>
      <c r="R329" s="302"/>
      <c r="S329" s="251"/>
      <c r="T329" s="302"/>
      <c r="U329" s="251"/>
      <c r="V329" s="302"/>
      <c r="W329" s="251"/>
      <c r="X329" s="255"/>
      <c r="Y329" s="302"/>
      <c r="Z329" s="259"/>
      <c r="AA329" s="251"/>
      <c r="AB329" s="302"/>
      <c r="AC329" s="306"/>
      <c r="AD329" s="261"/>
      <c r="AE329" s="261"/>
      <c r="AF329" s="282"/>
    </row>
    <row r="330" spans="2:32" hidden="1">
      <c r="B330" s="266"/>
      <c r="C330" s="220"/>
      <c r="D330" s="220"/>
      <c r="E330" s="220"/>
      <c r="F330" s="220"/>
      <c r="G330" s="223"/>
      <c r="H330" s="226"/>
      <c r="I330" s="226"/>
      <c r="J330" s="216"/>
      <c r="K330" s="216"/>
      <c r="L330" s="216"/>
      <c r="M330" s="230"/>
      <c r="N330" s="234"/>
      <c r="O330" s="238"/>
      <c r="P330" s="243"/>
      <c r="Q330" s="244"/>
      <c r="R330" s="301"/>
      <c r="S330" s="250"/>
      <c r="T330" s="301"/>
      <c r="U330" s="250"/>
      <c r="V330" s="301"/>
      <c r="W330" s="250"/>
      <c r="X330" s="254"/>
      <c r="Y330" s="301"/>
      <c r="Z330" s="258"/>
      <c r="AA330" s="250"/>
      <c r="AB330" s="301"/>
      <c r="AC330" s="305"/>
      <c r="AD330" s="262"/>
      <c r="AE330" s="262"/>
      <c r="AF330" s="283"/>
    </row>
    <row r="331" spans="2:32" hidden="1">
      <c r="B331" s="267"/>
      <c r="C331" s="219"/>
      <c r="D331" s="219"/>
      <c r="E331" s="219"/>
      <c r="F331" s="219"/>
      <c r="G331" s="222"/>
      <c r="H331" s="227"/>
      <c r="I331" s="227"/>
      <c r="J331" s="217"/>
      <c r="K331" s="217"/>
      <c r="L331" s="217"/>
      <c r="M331" s="231"/>
      <c r="N331" s="235"/>
      <c r="O331" s="239"/>
      <c r="P331" s="245"/>
      <c r="Q331" s="246"/>
      <c r="R331" s="302"/>
      <c r="S331" s="251"/>
      <c r="T331" s="302"/>
      <c r="U331" s="251"/>
      <c r="V331" s="302"/>
      <c r="W331" s="251"/>
      <c r="X331" s="255"/>
      <c r="Y331" s="302"/>
      <c r="Z331" s="259"/>
      <c r="AA331" s="251"/>
      <c r="AB331" s="302"/>
      <c r="AC331" s="306"/>
      <c r="AD331" s="261"/>
      <c r="AE331" s="261"/>
      <c r="AF331" s="282"/>
    </row>
    <row r="332" spans="2:32" hidden="1">
      <c r="B332" s="266"/>
      <c r="C332" s="220"/>
      <c r="D332" s="220"/>
      <c r="E332" s="220"/>
      <c r="F332" s="220"/>
      <c r="G332" s="223"/>
      <c r="H332" s="226"/>
      <c r="I332" s="226"/>
      <c r="J332" s="216"/>
      <c r="K332" s="216"/>
      <c r="L332" s="216"/>
      <c r="M332" s="230"/>
      <c r="N332" s="234"/>
      <c r="O332" s="238"/>
      <c r="P332" s="243"/>
      <c r="Q332" s="244"/>
      <c r="R332" s="301"/>
      <c r="S332" s="250"/>
      <c r="T332" s="301"/>
      <c r="U332" s="250"/>
      <c r="V332" s="301"/>
      <c r="W332" s="250"/>
      <c r="X332" s="254"/>
      <c r="Y332" s="301"/>
      <c r="Z332" s="258"/>
      <c r="AA332" s="250"/>
      <c r="AB332" s="301"/>
      <c r="AC332" s="305"/>
      <c r="AD332" s="262"/>
      <c r="AE332" s="262"/>
      <c r="AF332" s="283"/>
    </row>
    <row r="333" spans="2:32" hidden="1">
      <c r="B333" s="267"/>
      <c r="C333" s="219"/>
      <c r="D333" s="219"/>
      <c r="E333" s="219"/>
      <c r="F333" s="219"/>
      <c r="G333" s="222"/>
      <c r="H333" s="227"/>
      <c r="I333" s="227"/>
      <c r="J333" s="217"/>
      <c r="K333" s="217"/>
      <c r="L333" s="217"/>
      <c r="M333" s="231"/>
      <c r="N333" s="235"/>
      <c r="O333" s="239"/>
      <c r="P333" s="245"/>
      <c r="Q333" s="246"/>
      <c r="R333" s="302"/>
      <c r="S333" s="251"/>
      <c r="T333" s="302"/>
      <c r="U333" s="251"/>
      <c r="V333" s="302"/>
      <c r="W333" s="251"/>
      <c r="X333" s="255"/>
      <c r="Y333" s="302"/>
      <c r="Z333" s="259"/>
      <c r="AA333" s="251"/>
      <c r="AB333" s="302"/>
      <c r="AC333" s="306"/>
      <c r="AD333" s="261"/>
      <c r="AE333" s="261"/>
      <c r="AF333" s="282"/>
    </row>
    <row r="334" spans="2:32" hidden="1">
      <c r="B334" s="266"/>
      <c r="C334" s="220"/>
      <c r="D334" s="220"/>
      <c r="E334" s="220"/>
      <c r="F334" s="220"/>
      <c r="G334" s="223"/>
      <c r="H334" s="226"/>
      <c r="I334" s="226"/>
      <c r="J334" s="216"/>
      <c r="K334" s="216"/>
      <c r="L334" s="216"/>
      <c r="M334" s="230"/>
      <c r="N334" s="234"/>
      <c r="O334" s="238"/>
      <c r="P334" s="243"/>
      <c r="Q334" s="244"/>
      <c r="R334" s="301"/>
      <c r="S334" s="250"/>
      <c r="T334" s="301"/>
      <c r="U334" s="250"/>
      <c r="V334" s="301"/>
      <c r="W334" s="250"/>
      <c r="X334" s="254"/>
      <c r="Y334" s="301"/>
      <c r="Z334" s="258"/>
      <c r="AA334" s="250"/>
      <c r="AB334" s="301"/>
      <c r="AC334" s="305"/>
      <c r="AD334" s="262"/>
      <c r="AE334" s="262"/>
      <c r="AF334" s="283"/>
    </row>
    <row r="335" spans="2:32" hidden="1">
      <c r="B335" s="267"/>
      <c r="C335" s="219"/>
      <c r="D335" s="219"/>
      <c r="E335" s="219"/>
      <c r="F335" s="219"/>
      <c r="G335" s="222"/>
      <c r="H335" s="227"/>
      <c r="I335" s="227"/>
      <c r="J335" s="217"/>
      <c r="K335" s="217"/>
      <c r="L335" s="217"/>
      <c r="M335" s="231"/>
      <c r="N335" s="235"/>
      <c r="O335" s="239"/>
      <c r="P335" s="245"/>
      <c r="Q335" s="246"/>
      <c r="R335" s="302"/>
      <c r="S335" s="251"/>
      <c r="T335" s="302"/>
      <c r="U335" s="251"/>
      <c r="V335" s="302"/>
      <c r="W335" s="251"/>
      <c r="X335" s="255"/>
      <c r="Y335" s="302"/>
      <c r="Z335" s="259"/>
      <c r="AA335" s="251"/>
      <c r="AB335" s="302"/>
      <c r="AC335" s="306"/>
      <c r="AD335" s="261"/>
      <c r="AE335" s="261"/>
      <c r="AF335" s="282"/>
    </row>
    <row r="336" spans="2:32" hidden="1">
      <c r="B336" s="266"/>
      <c r="C336" s="220"/>
      <c r="D336" s="220"/>
      <c r="E336" s="220"/>
      <c r="F336" s="220"/>
      <c r="G336" s="223"/>
      <c r="H336" s="226"/>
      <c r="I336" s="226"/>
      <c r="J336" s="216"/>
      <c r="K336" s="216"/>
      <c r="L336" s="216"/>
      <c r="M336" s="230"/>
      <c r="N336" s="234"/>
      <c r="O336" s="238"/>
      <c r="P336" s="243"/>
      <c r="Q336" s="244"/>
      <c r="R336" s="301"/>
      <c r="S336" s="250"/>
      <c r="T336" s="301"/>
      <c r="U336" s="250"/>
      <c r="V336" s="301"/>
      <c r="W336" s="250"/>
      <c r="X336" s="254"/>
      <c r="Y336" s="301"/>
      <c r="Z336" s="258"/>
      <c r="AA336" s="250"/>
      <c r="AB336" s="301"/>
      <c r="AC336" s="305"/>
      <c r="AD336" s="262"/>
      <c r="AE336" s="262"/>
      <c r="AF336" s="283"/>
    </row>
    <row r="337" spans="2:32" hidden="1">
      <c r="B337" s="267"/>
      <c r="C337" s="219"/>
      <c r="D337" s="219"/>
      <c r="E337" s="219"/>
      <c r="F337" s="219"/>
      <c r="G337" s="222"/>
      <c r="H337" s="227"/>
      <c r="I337" s="227"/>
      <c r="J337" s="217"/>
      <c r="K337" s="217"/>
      <c r="L337" s="217"/>
      <c r="M337" s="231"/>
      <c r="N337" s="235"/>
      <c r="O337" s="239"/>
      <c r="P337" s="245"/>
      <c r="Q337" s="246"/>
      <c r="R337" s="302"/>
      <c r="S337" s="251"/>
      <c r="T337" s="302"/>
      <c r="U337" s="251"/>
      <c r="V337" s="302"/>
      <c r="W337" s="251"/>
      <c r="X337" s="255"/>
      <c r="Y337" s="302"/>
      <c r="Z337" s="259"/>
      <c r="AA337" s="251"/>
      <c r="AB337" s="302"/>
      <c r="AC337" s="306"/>
      <c r="AD337" s="261"/>
      <c r="AE337" s="261"/>
      <c r="AF337" s="282"/>
    </row>
    <row r="338" spans="2:32" hidden="1">
      <c r="B338" s="266"/>
      <c r="C338" s="220"/>
      <c r="D338" s="220"/>
      <c r="E338" s="220"/>
      <c r="F338" s="220"/>
      <c r="G338" s="223"/>
      <c r="H338" s="226"/>
      <c r="I338" s="226"/>
      <c r="J338" s="216"/>
      <c r="K338" s="216"/>
      <c r="L338" s="216"/>
      <c r="M338" s="230"/>
      <c r="N338" s="234"/>
      <c r="O338" s="238"/>
      <c r="P338" s="243"/>
      <c r="Q338" s="244"/>
      <c r="R338" s="301"/>
      <c r="S338" s="250"/>
      <c r="T338" s="301"/>
      <c r="U338" s="250"/>
      <c r="V338" s="301"/>
      <c r="W338" s="250"/>
      <c r="X338" s="254"/>
      <c r="Y338" s="301"/>
      <c r="Z338" s="258"/>
      <c r="AA338" s="250"/>
      <c r="AB338" s="301"/>
      <c r="AC338" s="305"/>
      <c r="AD338" s="262"/>
      <c r="AE338" s="262"/>
      <c r="AF338" s="283"/>
    </row>
    <row r="339" spans="2:32" hidden="1">
      <c r="B339" s="267"/>
      <c r="C339" s="219"/>
      <c r="D339" s="219"/>
      <c r="E339" s="219"/>
      <c r="F339" s="219"/>
      <c r="G339" s="222"/>
      <c r="H339" s="227"/>
      <c r="I339" s="227"/>
      <c r="J339" s="217"/>
      <c r="K339" s="217"/>
      <c r="L339" s="217"/>
      <c r="M339" s="231"/>
      <c r="N339" s="235"/>
      <c r="O339" s="239"/>
      <c r="P339" s="245"/>
      <c r="Q339" s="246"/>
      <c r="R339" s="302"/>
      <c r="S339" s="251"/>
      <c r="T339" s="302"/>
      <c r="U339" s="251"/>
      <c r="V339" s="302"/>
      <c r="W339" s="251"/>
      <c r="X339" s="255"/>
      <c r="Y339" s="302"/>
      <c r="Z339" s="259"/>
      <c r="AA339" s="251"/>
      <c r="AB339" s="302"/>
      <c r="AC339" s="306"/>
      <c r="AD339" s="261"/>
      <c r="AE339" s="261"/>
      <c r="AF339" s="282"/>
    </row>
    <row r="340" spans="2:32" hidden="1">
      <c r="B340" s="266"/>
      <c r="C340" s="220"/>
      <c r="D340" s="220"/>
      <c r="E340" s="220"/>
      <c r="F340" s="220"/>
      <c r="G340" s="223"/>
      <c r="H340" s="226"/>
      <c r="I340" s="226"/>
      <c r="J340" s="216"/>
      <c r="K340" s="216"/>
      <c r="L340" s="216"/>
      <c r="M340" s="230"/>
      <c r="N340" s="234"/>
      <c r="O340" s="238"/>
      <c r="P340" s="243"/>
      <c r="Q340" s="244"/>
      <c r="R340" s="301"/>
      <c r="S340" s="250"/>
      <c r="T340" s="301"/>
      <c r="U340" s="250"/>
      <c r="V340" s="301"/>
      <c r="W340" s="250"/>
      <c r="X340" s="254"/>
      <c r="Y340" s="301"/>
      <c r="Z340" s="258"/>
      <c r="AA340" s="250"/>
      <c r="AB340" s="301"/>
      <c r="AC340" s="305"/>
      <c r="AD340" s="262"/>
      <c r="AE340" s="262"/>
      <c r="AF340" s="283"/>
    </row>
    <row r="341" spans="2:32" hidden="1">
      <c r="B341" s="267"/>
      <c r="C341" s="219"/>
      <c r="D341" s="219"/>
      <c r="E341" s="219"/>
      <c r="F341" s="219"/>
      <c r="G341" s="222"/>
      <c r="H341" s="227"/>
      <c r="I341" s="227"/>
      <c r="J341" s="217"/>
      <c r="K341" s="217"/>
      <c r="L341" s="217"/>
      <c r="M341" s="231"/>
      <c r="N341" s="235"/>
      <c r="O341" s="239"/>
      <c r="P341" s="245"/>
      <c r="Q341" s="246"/>
      <c r="R341" s="302"/>
      <c r="S341" s="251"/>
      <c r="T341" s="302"/>
      <c r="U341" s="251"/>
      <c r="V341" s="302"/>
      <c r="W341" s="251"/>
      <c r="X341" s="255"/>
      <c r="Y341" s="302"/>
      <c r="Z341" s="259"/>
      <c r="AA341" s="251"/>
      <c r="AB341" s="302"/>
      <c r="AC341" s="306"/>
      <c r="AD341" s="261"/>
      <c r="AE341" s="261"/>
      <c r="AF341" s="282"/>
    </row>
    <row r="342" spans="2:32" hidden="1">
      <c r="B342" s="266"/>
      <c r="C342" s="220"/>
      <c r="D342" s="220"/>
      <c r="E342" s="220"/>
      <c r="F342" s="220"/>
      <c r="G342" s="223"/>
      <c r="H342" s="226"/>
      <c r="I342" s="226"/>
      <c r="J342" s="216"/>
      <c r="K342" s="216"/>
      <c r="L342" s="216"/>
      <c r="M342" s="230"/>
      <c r="N342" s="234"/>
      <c r="O342" s="238"/>
      <c r="P342" s="243"/>
      <c r="Q342" s="244"/>
      <c r="R342" s="301"/>
      <c r="S342" s="250"/>
      <c r="T342" s="301"/>
      <c r="U342" s="250"/>
      <c r="V342" s="301"/>
      <c r="W342" s="250"/>
      <c r="X342" s="254"/>
      <c r="Y342" s="301"/>
      <c r="Z342" s="258"/>
      <c r="AA342" s="250"/>
      <c r="AB342" s="301"/>
      <c r="AC342" s="305"/>
      <c r="AD342" s="262"/>
      <c r="AE342" s="262"/>
      <c r="AF342" s="283"/>
    </row>
    <row r="343" spans="2:32" hidden="1">
      <c r="B343" s="267"/>
      <c r="C343" s="219"/>
      <c r="D343" s="219"/>
      <c r="E343" s="219"/>
      <c r="F343" s="219"/>
      <c r="G343" s="222"/>
      <c r="H343" s="227"/>
      <c r="I343" s="227"/>
      <c r="J343" s="217"/>
      <c r="K343" s="217"/>
      <c r="L343" s="217"/>
      <c r="M343" s="231"/>
      <c r="N343" s="235"/>
      <c r="O343" s="239"/>
      <c r="P343" s="245"/>
      <c r="Q343" s="246"/>
      <c r="R343" s="302"/>
      <c r="S343" s="251"/>
      <c r="T343" s="302"/>
      <c r="U343" s="251"/>
      <c r="V343" s="302"/>
      <c r="W343" s="251"/>
      <c r="X343" s="255"/>
      <c r="Y343" s="302"/>
      <c r="Z343" s="259"/>
      <c r="AA343" s="251"/>
      <c r="AB343" s="302"/>
      <c r="AC343" s="306"/>
      <c r="AD343" s="261"/>
      <c r="AE343" s="261"/>
      <c r="AF343" s="282"/>
    </row>
    <row r="344" spans="2:32" hidden="1">
      <c r="B344" s="266"/>
      <c r="C344" s="220"/>
      <c r="D344" s="220"/>
      <c r="E344" s="220"/>
      <c r="F344" s="220"/>
      <c r="G344" s="223"/>
      <c r="H344" s="226"/>
      <c r="I344" s="226"/>
      <c r="J344" s="216"/>
      <c r="K344" s="216"/>
      <c r="L344" s="216"/>
      <c r="M344" s="230"/>
      <c r="N344" s="234"/>
      <c r="O344" s="238"/>
      <c r="P344" s="243"/>
      <c r="Q344" s="244"/>
      <c r="R344" s="301"/>
      <c r="S344" s="250"/>
      <c r="T344" s="301"/>
      <c r="U344" s="250"/>
      <c r="V344" s="301"/>
      <c r="W344" s="250"/>
      <c r="X344" s="254"/>
      <c r="Y344" s="301"/>
      <c r="Z344" s="258"/>
      <c r="AA344" s="250"/>
      <c r="AB344" s="301"/>
      <c r="AC344" s="305"/>
      <c r="AD344" s="262"/>
      <c r="AE344" s="262"/>
      <c r="AF344" s="283"/>
    </row>
    <row r="345" spans="2:32" hidden="1">
      <c r="B345" s="267"/>
      <c r="C345" s="219"/>
      <c r="D345" s="219"/>
      <c r="E345" s="219"/>
      <c r="F345" s="219"/>
      <c r="G345" s="222"/>
      <c r="H345" s="227"/>
      <c r="I345" s="227"/>
      <c r="J345" s="217"/>
      <c r="K345" s="217"/>
      <c r="L345" s="217"/>
      <c r="M345" s="231"/>
      <c r="N345" s="235"/>
      <c r="O345" s="239"/>
      <c r="P345" s="245"/>
      <c r="Q345" s="246"/>
      <c r="R345" s="302"/>
      <c r="S345" s="251"/>
      <c r="T345" s="302"/>
      <c r="U345" s="251"/>
      <c r="V345" s="302"/>
      <c r="W345" s="251"/>
      <c r="X345" s="255"/>
      <c r="Y345" s="302"/>
      <c r="Z345" s="259"/>
      <c r="AA345" s="251"/>
      <c r="AB345" s="302"/>
      <c r="AC345" s="306"/>
      <c r="AD345" s="261"/>
      <c r="AE345" s="261"/>
      <c r="AF345" s="282"/>
    </row>
    <row r="346" spans="2:32" hidden="1">
      <c r="B346" s="266"/>
      <c r="C346" s="220"/>
      <c r="D346" s="220"/>
      <c r="E346" s="220"/>
      <c r="F346" s="220"/>
      <c r="G346" s="223"/>
      <c r="H346" s="226"/>
      <c r="I346" s="226"/>
      <c r="J346" s="216"/>
      <c r="K346" s="216"/>
      <c r="L346" s="216"/>
      <c r="M346" s="230"/>
      <c r="N346" s="234"/>
      <c r="O346" s="238"/>
      <c r="P346" s="243"/>
      <c r="Q346" s="244"/>
      <c r="R346" s="301"/>
      <c r="S346" s="250"/>
      <c r="T346" s="301"/>
      <c r="U346" s="250"/>
      <c r="V346" s="301"/>
      <c r="W346" s="250"/>
      <c r="X346" s="254"/>
      <c r="Y346" s="301"/>
      <c r="Z346" s="258"/>
      <c r="AA346" s="250"/>
      <c r="AB346" s="301"/>
      <c r="AC346" s="305"/>
      <c r="AD346" s="262"/>
      <c r="AE346" s="262"/>
      <c r="AF346" s="283"/>
    </row>
    <row r="347" spans="2:32" hidden="1">
      <c r="B347" s="267"/>
      <c r="C347" s="219"/>
      <c r="D347" s="219"/>
      <c r="E347" s="219"/>
      <c r="F347" s="219"/>
      <c r="G347" s="222"/>
      <c r="H347" s="227"/>
      <c r="I347" s="227"/>
      <c r="J347" s="217"/>
      <c r="K347" s="217"/>
      <c r="L347" s="217"/>
      <c r="M347" s="231"/>
      <c r="N347" s="235"/>
      <c r="O347" s="239"/>
      <c r="P347" s="245"/>
      <c r="Q347" s="246"/>
      <c r="R347" s="302"/>
      <c r="S347" s="251"/>
      <c r="T347" s="302"/>
      <c r="U347" s="251"/>
      <c r="V347" s="302"/>
      <c r="W347" s="251"/>
      <c r="X347" s="255"/>
      <c r="Y347" s="302"/>
      <c r="Z347" s="259"/>
      <c r="AA347" s="251"/>
      <c r="AB347" s="302"/>
      <c r="AC347" s="306"/>
      <c r="AD347" s="261"/>
      <c r="AE347" s="261"/>
      <c r="AF347" s="282"/>
    </row>
    <row r="348" spans="2:32" hidden="1">
      <c r="B348" s="266"/>
      <c r="C348" s="220"/>
      <c r="D348" s="220"/>
      <c r="E348" s="220"/>
      <c r="F348" s="220"/>
      <c r="G348" s="223"/>
      <c r="H348" s="226"/>
      <c r="I348" s="226"/>
      <c r="J348" s="216"/>
      <c r="K348" s="216"/>
      <c r="L348" s="216"/>
      <c r="M348" s="230"/>
      <c r="N348" s="234"/>
      <c r="O348" s="238"/>
      <c r="P348" s="243"/>
      <c r="Q348" s="244"/>
      <c r="R348" s="301"/>
      <c r="S348" s="250"/>
      <c r="T348" s="301"/>
      <c r="U348" s="250"/>
      <c r="V348" s="301"/>
      <c r="W348" s="250"/>
      <c r="X348" s="254"/>
      <c r="Y348" s="301"/>
      <c r="Z348" s="258"/>
      <c r="AA348" s="250"/>
      <c r="AB348" s="301"/>
      <c r="AC348" s="305"/>
      <c r="AD348" s="262"/>
      <c r="AE348" s="262"/>
      <c r="AF348" s="283"/>
    </row>
    <row r="349" spans="2:32" hidden="1">
      <c r="B349" s="267"/>
      <c r="C349" s="219"/>
      <c r="D349" s="219"/>
      <c r="E349" s="219"/>
      <c r="F349" s="219"/>
      <c r="G349" s="222"/>
      <c r="H349" s="227"/>
      <c r="I349" s="227"/>
      <c r="J349" s="217"/>
      <c r="K349" s="217"/>
      <c r="L349" s="217"/>
      <c r="M349" s="231"/>
      <c r="N349" s="235"/>
      <c r="O349" s="239"/>
      <c r="P349" s="245"/>
      <c r="Q349" s="246"/>
      <c r="R349" s="302"/>
      <c r="S349" s="251"/>
      <c r="T349" s="302"/>
      <c r="U349" s="251"/>
      <c r="V349" s="302"/>
      <c r="W349" s="251"/>
      <c r="X349" s="255"/>
      <c r="Y349" s="302"/>
      <c r="Z349" s="259"/>
      <c r="AA349" s="251"/>
      <c r="AB349" s="302"/>
      <c r="AC349" s="306"/>
      <c r="AD349" s="261"/>
      <c r="AE349" s="261"/>
      <c r="AF349" s="282"/>
    </row>
    <row r="350" spans="2:32" hidden="1">
      <c r="B350" s="266"/>
      <c r="C350" s="220"/>
      <c r="D350" s="220"/>
      <c r="E350" s="220"/>
      <c r="F350" s="220"/>
      <c r="G350" s="223"/>
      <c r="H350" s="226"/>
      <c r="I350" s="226"/>
      <c r="J350" s="216"/>
      <c r="K350" s="216"/>
      <c r="L350" s="216"/>
      <c r="M350" s="230"/>
      <c r="N350" s="234"/>
      <c r="O350" s="238"/>
      <c r="P350" s="243"/>
      <c r="Q350" s="244"/>
      <c r="R350" s="301"/>
      <c r="S350" s="250"/>
      <c r="T350" s="301"/>
      <c r="U350" s="250"/>
      <c r="V350" s="301"/>
      <c r="W350" s="250"/>
      <c r="X350" s="254"/>
      <c r="Y350" s="301"/>
      <c r="Z350" s="258"/>
      <c r="AA350" s="250"/>
      <c r="AB350" s="301"/>
      <c r="AC350" s="305"/>
      <c r="AD350" s="262"/>
      <c r="AE350" s="262"/>
      <c r="AF350" s="283"/>
    </row>
    <row r="351" spans="2:32" hidden="1">
      <c r="B351" s="267"/>
      <c r="C351" s="219"/>
      <c r="D351" s="219"/>
      <c r="E351" s="219"/>
      <c r="F351" s="219"/>
      <c r="G351" s="222"/>
      <c r="H351" s="227"/>
      <c r="I351" s="227"/>
      <c r="J351" s="217"/>
      <c r="K351" s="217"/>
      <c r="L351" s="217"/>
      <c r="M351" s="231"/>
      <c r="N351" s="235"/>
      <c r="O351" s="239"/>
      <c r="P351" s="245"/>
      <c r="Q351" s="246"/>
      <c r="R351" s="302"/>
      <c r="S351" s="251"/>
      <c r="T351" s="302"/>
      <c r="U351" s="251"/>
      <c r="V351" s="302"/>
      <c r="W351" s="251"/>
      <c r="X351" s="255"/>
      <c r="Y351" s="302"/>
      <c r="Z351" s="259"/>
      <c r="AA351" s="251"/>
      <c r="AB351" s="302"/>
      <c r="AC351" s="306"/>
      <c r="AD351" s="261"/>
      <c r="AE351" s="261"/>
      <c r="AF351" s="282"/>
    </row>
    <row r="352" spans="2:32" hidden="1">
      <c r="B352" s="266"/>
      <c r="C352" s="220"/>
      <c r="D352" s="220"/>
      <c r="E352" s="220"/>
      <c r="F352" s="220"/>
      <c r="G352" s="223"/>
      <c r="H352" s="226"/>
      <c r="I352" s="226"/>
      <c r="J352" s="216"/>
      <c r="K352" s="216"/>
      <c r="L352" s="216"/>
      <c r="M352" s="230"/>
      <c r="N352" s="234"/>
      <c r="O352" s="238"/>
      <c r="P352" s="243"/>
      <c r="Q352" s="244"/>
      <c r="R352" s="301"/>
      <c r="S352" s="250"/>
      <c r="T352" s="301"/>
      <c r="U352" s="250"/>
      <c r="V352" s="301"/>
      <c r="W352" s="250"/>
      <c r="X352" s="254"/>
      <c r="Y352" s="301"/>
      <c r="Z352" s="258"/>
      <c r="AA352" s="250"/>
      <c r="AB352" s="301"/>
      <c r="AC352" s="305"/>
      <c r="AD352" s="262"/>
      <c r="AE352" s="262"/>
      <c r="AF352" s="283"/>
    </row>
    <row r="353" spans="2:32" hidden="1">
      <c r="B353" s="267"/>
      <c r="C353" s="219"/>
      <c r="D353" s="219"/>
      <c r="E353" s="219"/>
      <c r="F353" s="219"/>
      <c r="G353" s="222"/>
      <c r="H353" s="227"/>
      <c r="I353" s="227"/>
      <c r="J353" s="217"/>
      <c r="K353" s="217"/>
      <c r="L353" s="217"/>
      <c r="M353" s="231"/>
      <c r="N353" s="235"/>
      <c r="O353" s="239"/>
      <c r="P353" s="245"/>
      <c r="Q353" s="246"/>
      <c r="R353" s="302"/>
      <c r="S353" s="251"/>
      <c r="T353" s="302"/>
      <c r="U353" s="251"/>
      <c r="V353" s="302"/>
      <c r="W353" s="251"/>
      <c r="X353" s="255"/>
      <c r="Y353" s="302"/>
      <c r="Z353" s="259"/>
      <c r="AA353" s="251"/>
      <c r="AB353" s="302"/>
      <c r="AC353" s="306"/>
      <c r="AD353" s="261"/>
      <c r="AE353" s="261"/>
      <c r="AF353" s="282"/>
    </row>
    <row r="354" spans="2:32" hidden="1">
      <c r="B354" s="266"/>
      <c r="C354" s="220"/>
      <c r="D354" s="220"/>
      <c r="E354" s="220"/>
      <c r="F354" s="220"/>
      <c r="G354" s="223"/>
      <c r="H354" s="226"/>
      <c r="I354" s="226"/>
      <c r="J354" s="216"/>
      <c r="K354" s="216"/>
      <c r="L354" s="216"/>
      <c r="M354" s="230"/>
      <c r="N354" s="234"/>
      <c r="O354" s="238"/>
      <c r="P354" s="243"/>
      <c r="Q354" s="244"/>
      <c r="R354" s="301"/>
      <c r="S354" s="250"/>
      <c r="T354" s="301"/>
      <c r="U354" s="250"/>
      <c r="V354" s="301"/>
      <c r="W354" s="250"/>
      <c r="X354" s="254"/>
      <c r="Y354" s="301"/>
      <c r="Z354" s="258"/>
      <c r="AA354" s="250"/>
      <c r="AB354" s="301"/>
      <c r="AC354" s="305"/>
      <c r="AD354" s="262"/>
      <c r="AE354" s="262"/>
      <c r="AF354" s="283"/>
    </row>
    <row r="355" spans="2:32" hidden="1">
      <c r="B355" s="267"/>
      <c r="C355" s="219"/>
      <c r="D355" s="219"/>
      <c r="E355" s="219"/>
      <c r="F355" s="219"/>
      <c r="G355" s="222"/>
      <c r="H355" s="227"/>
      <c r="I355" s="227"/>
      <c r="J355" s="217"/>
      <c r="K355" s="217"/>
      <c r="L355" s="217"/>
      <c r="M355" s="231"/>
      <c r="N355" s="235"/>
      <c r="O355" s="239"/>
      <c r="P355" s="245"/>
      <c r="Q355" s="246"/>
      <c r="R355" s="302"/>
      <c r="S355" s="251"/>
      <c r="T355" s="302"/>
      <c r="U355" s="251"/>
      <c r="V355" s="302"/>
      <c r="W355" s="251"/>
      <c r="X355" s="255"/>
      <c r="Y355" s="302"/>
      <c r="Z355" s="259"/>
      <c r="AA355" s="251"/>
      <c r="AB355" s="302"/>
      <c r="AC355" s="306"/>
      <c r="AD355" s="261"/>
      <c r="AE355" s="261"/>
      <c r="AF355" s="282"/>
    </row>
    <row r="356" spans="2:32" hidden="1">
      <c r="B356" s="266"/>
      <c r="C356" s="220"/>
      <c r="D356" s="220"/>
      <c r="E356" s="220"/>
      <c r="F356" s="220"/>
      <c r="G356" s="223"/>
      <c r="H356" s="226"/>
      <c r="I356" s="226"/>
      <c r="J356" s="216"/>
      <c r="K356" s="216"/>
      <c r="L356" s="216"/>
      <c r="M356" s="230"/>
      <c r="N356" s="234"/>
      <c r="O356" s="238"/>
      <c r="P356" s="243"/>
      <c r="Q356" s="244"/>
      <c r="R356" s="301"/>
      <c r="S356" s="250"/>
      <c r="T356" s="301"/>
      <c r="U356" s="250"/>
      <c r="V356" s="301"/>
      <c r="W356" s="250"/>
      <c r="X356" s="254"/>
      <c r="Y356" s="301"/>
      <c r="Z356" s="258"/>
      <c r="AA356" s="250"/>
      <c r="AB356" s="301"/>
      <c r="AC356" s="305"/>
      <c r="AD356" s="262"/>
      <c r="AE356" s="262"/>
      <c r="AF356" s="283"/>
    </row>
    <row r="357" spans="2:32" hidden="1">
      <c r="B357" s="267"/>
      <c r="C357" s="219"/>
      <c r="D357" s="219"/>
      <c r="E357" s="219"/>
      <c r="F357" s="219"/>
      <c r="G357" s="222"/>
      <c r="H357" s="227"/>
      <c r="I357" s="227"/>
      <c r="J357" s="217"/>
      <c r="K357" s="217"/>
      <c r="L357" s="217"/>
      <c r="M357" s="231"/>
      <c r="N357" s="235"/>
      <c r="O357" s="239"/>
      <c r="P357" s="245"/>
      <c r="Q357" s="246"/>
      <c r="R357" s="302"/>
      <c r="S357" s="251"/>
      <c r="T357" s="302"/>
      <c r="U357" s="251"/>
      <c r="V357" s="302"/>
      <c r="W357" s="251"/>
      <c r="X357" s="255"/>
      <c r="Y357" s="302"/>
      <c r="Z357" s="259"/>
      <c r="AA357" s="251"/>
      <c r="AB357" s="302"/>
      <c r="AC357" s="306"/>
      <c r="AD357" s="261"/>
      <c r="AE357" s="261"/>
      <c r="AF357" s="282"/>
    </row>
    <row r="358" spans="2:32" hidden="1">
      <c r="B358" s="266"/>
      <c r="C358" s="220"/>
      <c r="D358" s="220"/>
      <c r="E358" s="220"/>
      <c r="F358" s="220"/>
      <c r="G358" s="223"/>
      <c r="H358" s="226"/>
      <c r="I358" s="226"/>
      <c r="J358" s="216"/>
      <c r="K358" s="216"/>
      <c r="L358" s="216"/>
      <c r="M358" s="230"/>
      <c r="N358" s="234"/>
      <c r="O358" s="238"/>
      <c r="P358" s="243"/>
      <c r="Q358" s="244"/>
      <c r="R358" s="301"/>
      <c r="S358" s="250"/>
      <c r="T358" s="301"/>
      <c r="U358" s="250"/>
      <c r="V358" s="301"/>
      <c r="W358" s="250"/>
      <c r="X358" s="254"/>
      <c r="Y358" s="301"/>
      <c r="Z358" s="258"/>
      <c r="AA358" s="250"/>
      <c r="AB358" s="301"/>
      <c r="AC358" s="305"/>
      <c r="AD358" s="262"/>
      <c r="AE358" s="262"/>
      <c r="AF358" s="283"/>
    </row>
    <row r="359" spans="2:32" hidden="1">
      <c r="B359" s="267"/>
      <c r="C359" s="219"/>
      <c r="D359" s="219"/>
      <c r="E359" s="219"/>
      <c r="F359" s="219"/>
      <c r="G359" s="222"/>
      <c r="H359" s="227"/>
      <c r="I359" s="227"/>
      <c r="J359" s="217"/>
      <c r="K359" s="217"/>
      <c r="L359" s="217"/>
      <c r="M359" s="231"/>
      <c r="N359" s="235"/>
      <c r="O359" s="239"/>
      <c r="P359" s="245"/>
      <c r="Q359" s="246"/>
      <c r="R359" s="302"/>
      <c r="S359" s="251"/>
      <c r="T359" s="302"/>
      <c r="U359" s="251"/>
      <c r="V359" s="302"/>
      <c r="W359" s="251"/>
      <c r="X359" s="255"/>
      <c r="Y359" s="302"/>
      <c r="Z359" s="259"/>
      <c r="AA359" s="251"/>
      <c r="AB359" s="302"/>
      <c r="AC359" s="306"/>
      <c r="AD359" s="261"/>
      <c r="AE359" s="261"/>
      <c r="AF359" s="282"/>
    </row>
    <row r="360" spans="2:32" hidden="1">
      <c r="B360" s="266"/>
      <c r="C360" s="220"/>
      <c r="D360" s="220"/>
      <c r="E360" s="220"/>
      <c r="F360" s="220"/>
      <c r="G360" s="223"/>
      <c r="H360" s="226"/>
      <c r="I360" s="226"/>
      <c r="J360" s="216"/>
      <c r="K360" s="216"/>
      <c r="L360" s="216"/>
      <c r="M360" s="230"/>
      <c r="N360" s="234"/>
      <c r="O360" s="238"/>
      <c r="P360" s="243"/>
      <c r="Q360" s="244"/>
      <c r="R360" s="301"/>
      <c r="S360" s="250"/>
      <c r="T360" s="301"/>
      <c r="U360" s="250"/>
      <c r="V360" s="301"/>
      <c r="W360" s="250"/>
      <c r="X360" s="254"/>
      <c r="Y360" s="301"/>
      <c r="Z360" s="258"/>
      <c r="AA360" s="250"/>
      <c r="AB360" s="301"/>
      <c r="AC360" s="305"/>
      <c r="AD360" s="262"/>
      <c r="AE360" s="262"/>
      <c r="AF360" s="283"/>
    </row>
    <row r="361" spans="2:32" hidden="1">
      <c r="B361" s="267"/>
      <c r="C361" s="219"/>
      <c r="D361" s="219"/>
      <c r="E361" s="219"/>
      <c r="F361" s="219"/>
      <c r="G361" s="222"/>
      <c r="H361" s="227"/>
      <c r="I361" s="227"/>
      <c r="J361" s="217"/>
      <c r="K361" s="217"/>
      <c r="L361" s="217"/>
      <c r="M361" s="231"/>
      <c r="N361" s="235"/>
      <c r="O361" s="239"/>
      <c r="P361" s="245"/>
      <c r="Q361" s="246"/>
      <c r="R361" s="302"/>
      <c r="S361" s="251"/>
      <c r="T361" s="302"/>
      <c r="U361" s="251"/>
      <c r="V361" s="302"/>
      <c r="W361" s="251"/>
      <c r="X361" s="255"/>
      <c r="Y361" s="302"/>
      <c r="Z361" s="259"/>
      <c r="AA361" s="251"/>
      <c r="AB361" s="302"/>
      <c r="AC361" s="306"/>
      <c r="AD361" s="261"/>
      <c r="AE361" s="261"/>
      <c r="AF361" s="282"/>
    </row>
    <row r="362" spans="2:32" hidden="1">
      <c r="B362" s="266"/>
      <c r="C362" s="220"/>
      <c r="D362" s="220"/>
      <c r="E362" s="220"/>
      <c r="F362" s="220"/>
      <c r="G362" s="223"/>
      <c r="H362" s="226"/>
      <c r="I362" s="226"/>
      <c r="J362" s="216"/>
      <c r="K362" s="216"/>
      <c r="L362" s="216"/>
      <c r="M362" s="230"/>
      <c r="N362" s="234"/>
      <c r="O362" s="238"/>
      <c r="P362" s="243"/>
      <c r="Q362" s="244"/>
      <c r="R362" s="301"/>
      <c r="S362" s="250"/>
      <c r="T362" s="301"/>
      <c r="U362" s="250"/>
      <c r="V362" s="301"/>
      <c r="W362" s="250"/>
      <c r="X362" s="254"/>
      <c r="Y362" s="301"/>
      <c r="Z362" s="258"/>
      <c r="AA362" s="250"/>
      <c r="AB362" s="301"/>
      <c r="AC362" s="305"/>
      <c r="AD362" s="262"/>
      <c r="AE362" s="262"/>
      <c r="AF362" s="283"/>
    </row>
    <row r="363" spans="2:32" hidden="1">
      <c r="B363" s="267"/>
      <c r="C363" s="219"/>
      <c r="D363" s="219"/>
      <c r="E363" s="219"/>
      <c r="F363" s="219"/>
      <c r="G363" s="222"/>
      <c r="H363" s="227"/>
      <c r="I363" s="227"/>
      <c r="J363" s="217"/>
      <c r="K363" s="217"/>
      <c r="L363" s="217"/>
      <c r="M363" s="231"/>
      <c r="N363" s="235"/>
      <c r="O363" s="239"/>
      <c r="P363" s="245"/>
      <c r="Q363" s="246"/>
      <c r="R363" s="302"/>
      <c r="S363" s="251"/>
      <c r="T363" s="302"/>
      <c r="U363" s="251"/>
      <c r="V363" s="302"/>
      <c r="W363" s="251"/>
      <c r="X363" s="255"/>
      <c r="Y363" s="302"/>
      <c r="Z363" s="259"/>
      <c r="AA363" s="251"/>
      <c r="AB363" s="302"/>
      <c r="AC363" s="306"/>
      <c r="AD363" s="261"/>
      <c r="AE363" s="261"/>
      <c r="AF363" s="282"/>
    </row>
    <row r="364" spans="2:32" hidden="1">
      <c r="B364" s="266"/>
      <c r="C364" s="220"/>
      <c r="D364" s="220"/>
      <c r="E364" s="220"/>
      <c r="F364" s="220"/>
      <c r="G364" s="223"/>
      <c r="H364" s="226"/>
      <c r="I364" s="226"/>
      <c r="J364" s="216"/>
      <c r="K364" s="216"/>
      <c r="L364" s="216"/>
      <c r="M364" s="230"/>
      <c r="N364" s="234"/>
      <c r="O364" s="238"/>
      <c r="P364" s="243"/>
      <c r="Q364" s="244"/>
      <c r="R364" s="301"/>
      <c r="S364" s="250"/>
      <c r="T364" s="301"/>
      <c r="U364" s="250"/>
      <c r="V364" s="301"/>
      <c r="W364" s="250"/>
      <c r="X364" s="254"/>
      <c r="Y364" s="301"/>
      <c r="Z364" s="258"/>
      <c r="AA364" s="250"/>
      <c r="AB364" s="301"/>
      <c r="AC364" s="305"/>
      <c r="AD364" s="262"/>
      <c r="AE364" s="262"/>
      <c r="AF364" s="283"/>
    </row>
    <row r="365" spans="2:32" hidden="1">
      <c r="B365" s="267"/>
      <c r="C365" s="219"/>
      <c r="D365" s="219"/>
      <c r="E365" s="219"/>
      <c r="F365" s="219"/>
      <c r="G365" s="222"/>
      <c r="H365" s="227"/>
      <c r="I365" s="227"/>
      <c r="J365" s="217"/>
      <c r="K365" s="217"/>
      <c r="L365" s="217"/>
      <c r="M365" s="231"/>
      <c r="N365" s="235"/>
      <c r="O365" s="239"/>
      <c r="P365" s="245"/>
      <c r="Q365" s="246"/>
      <c r="R365" s="302"/>
      <c r="S365" s="251"/>
      <c r="T365" s="302"/>
      <c r="U365" s="251"/>
      <c r="V365" s="302"/>
      <c r="W365" s="251"/>
      <c r="X365" s="255"/>
      <c r="Y365" s="302"/>
      <c r="Z365" s="259"/>
      <c r="AA365" s="251"/>
      <c r="AB365" s="302"/>
      <c r="AC365" s="306"/>
      <c r="AD365" s="261"/>
      <c r="AE365" s="261"/>
      <c r="AF365" s="282"/>
    </row>
    <row r="366" spans="2:32" hidden="1">
      <c r="B366" s="266"/>
      <c r="C366" s="220"/>
      <c r="D366" s="220"/>
      <c r="E366" s="220"/>
      <c r="F366" s="220"/>
      <c r="G366" s="223"/>
      <c r="H366" s="226"/>
      <c r="I366" s="226"/>
      <c r="J366" s="216"/>
      <c r="K366" s="216"/>
      <c r="L366" s="216"/>
      <c r="M366" s="230"/>
      <c r="N366" s="234"/>
      <c r="O366" s="238"/>
      <c r="P366" s="243"/>
      <c r="Q366" s="244"/>
      <c r="R366" s="301"/>
      <c r="S366" s="250"/>
      <c r="T366" s="301"/>
      <c r="U366" s="250"/>
      <c r="V366" s="301"/>
      <c r="W366" s="250"/>
      <c r="X366" s="254"/>
      <c r="Y366" s="301"/>
      <c r="Z366" s="258"/>
      <c r="AA366" s="250"/>
      <c r="AB366" s="301"/>
      <c r="AC366" s="305"/>
      <c r="AD366" s="262"/>
      <c r="AE366" s="262"/>
      <c r="AF366" s="283"/>
    </row>
    <row r="367" spans="2:32" hidden="1">
      <c r="B367" s="267"/>
      <c r="C367" s="219"/>
      <c r="D367" s="219"/>
      <c r="E367" s="219"/>
      <c r="F367" s="219"/>
      <c r="G367" s="222"/>
      <c r="H367" s="227"/>
      <c r="I367" s="227"/>
      <c r="J367" s="217"/>
      <c r="K367" s="217"/>
      <c r="L367" s="217"/>
      <c r="M367" s="231"/>
      <c r="N367" s="235"/>
      <c r="O367" s="239"/>
      <c r="P367" s="245"/>
      <c r="Q367" s="246"/>
      <c r="R367" s="302"/>
      <c r="S367" s="251"/>
      <c r="T367" s="302"/>
      <c r="U367" s="251"/>
      <c r="V367" s="302"/>
      <c r="W367" s="251"/>
      <c r="X367" s="255"/>
      <c r="Y367" s="302"/>
      <c r="Z367" s="259"/>
      <c r="AA367" s="251"/>
      <c r="AB367" s="302"/>
      <c r="AC367" s="306"/>
      <c r="AD367" s="261"/>
      <c r="AE367" s="261"/>
      <c r="AF367" s="282"/>
    </row>
    <row r="368" spans="2:32" hidden="1">
      <c r="B368" s="266"/>
      <c r="C368" s="220"/>
      <c r="D368" s="220"/>
      <c r="E368" s="220"/>
      <c r="F368" s="220"/>
      <c r="G368" s="223"/>
      <c r="H368" s="226"/>
      <c r="I368" s="226"/>
      <c r="J368" s="216"/>
      <c r="K368" s="216"/>
      <c r="L368" s="216"/>
      <c r="M368" s="230"/>
      <c r="N368" s="234"/>
      <c r="O368" s="238"/>
      <c r="P368" s="243"/>
      <c r="Q368" s="244"/>
      <c r="R368" s="301"/>
      <c r="S368" s="250"/>
      <c r="T368" s="301"/>
      <c r="U368" s="250"/>
      <c r="V368" s="301"/>
      <c r="W368" s="250"/>
      <c r="X368" s="254"/>
      <c r="Y368" s="301"/>
      <c r="Z368" s="258"/>
      <c r="AA368" s="250"/>
      <c r="AB368" s="301"/>
      <c r="AC368" s="305"/>
      <c r="AD368" s="262"/>
      <c r="AE368" s="262"/>
      <c r="AF368" s="283"/>
    </row>
    <row r="369" spans="2:32" hidden="1">
      <c r="B369" s="267"/>
      <c r="C369" s="219"/>
      <c r="D369" s="219"/>
      <c r="E369" s="219"/>
      <c r="F369" s="219"/>
      <c r="G369" s="222"/>
      <c r="H369" s="227"/>
      <c r="I369" s="227"/>
      <c r="J369" s="217"/>
      <c r="K369" s="217"/>
      <c r="L369" s="217"/>
      <c r="M369" s="231"/>
      <c r="N369" s="235"/>
      <c r="O369" s="239"/>
      <c r="P369" s="245"/>
      <c r="Q369" s="246"/>
      <c r="R369" s="302"/>
      <c r="S369" s="251"/>
      <c r="T369" s="302"/>
      <c r="U369" s="251"/>
      <c r="V369" s="302"/>
      <c r="W369" s="251"/>
      <c r="X369" s="255"/>
      <c r="Y369" s="302"/>
      <c r="Z369" s="259"/>
      <c r="AA369" s="251"/>
      <c r="AB369" s="302"/>
      <c r="AC369" s="306"/>
      <c r="AD369" s="261"/>
      <c r="AE369" s="261"/>
      <c r="AF369" s="282"/>
    </row>
    <row r="370" spans="2:32" hidden="1">
      <c r="B370" s="266"/>
      <c r="C370" s="220"/>
      <c r="D370" s="220"/>
      <c r="E370" s="220"/>
      <c r="F370" s="220"/>
      <c r="G370" s="223"/>
      <c r="H370" s="226"/>
      <c r="I370" s="226"/>
      <c r="J370" s="216"/>
      <c r="K370" s="216"/>
      <c r="L370" s="216"/>
      <c r="M370" s="230"/>
      <c r="N370" s="234"/>
      <c r="O370" s="238"/>
      <c r="P370" s="243"/>
      <c r="Q370" s="244"/>
      <c r="R370" s="301"/>
      <c r="S370" s="250"/>
      <c r="T370" s="301"/>
      <c r="U370" s="250"/>
      <c r="V370" s="301"/>
      <c r="W370" s="250"/>
      <c r="X370" s="254"/>
      <c r="Y370" s="301"/>
      <c r="Z370" s="258"/>
      <c r="AA370" s="250"/>
      <c r="AB370" s="301"/>
      <c r="AC370" s="305"/>
      <c r="AD370" s="262"/>
      <c r="AE370" s="262"/>
      <c r="AF370" s="283"/>
    </row>
    <row r="371" spans="2:32" hidden="1">
      <c r="B371" s="267"/>
      <c r="C371" s="219"/>
      <c r="D371" s="219"/>
      <c r="E371" s="219"/>
      <c r="F371" s="219"/>
      <c r="G371" s="222"/>
      <c r="H371" s="227"/>
      <c r="I371" s="227"/>
      <c r="J371" s="217"/>
      <c r="K371" s="217"/>
      <c r="L371" s="217"/>
      <c r="M371" s="231"/>
      <c r="N371" s="235"/>
      <c r="O371" s="239"/>
      <c r="P371" s="245"/>
      <c r="Q371" s="246"/>
      <c r="R371" s="302"/>
      <c r="S371" s="251"/>
      <c r="T371" s="302"/>
      <c r="U371" s="251"/>
      <c r="V371" s="302"/>
      <c r="W371" s="251"/>
      <c r="X371" s="255"/>
      <c r="Y371" s="302"/>
      <c r="Z371" s="259"/>
      <c r="AA371" s="251"/>
      <c r="AB371" s="302"/>
      <c r="AC371" s="306"/>
      <c r="AD371" s="261"/>
      <c r="AE371" s="261"/>
      <c r="AF371" s="282"/>
    </row>
    <row r="372" spans="2:32" hidden="1">
      <c r="B372" s="266"/>
      <c r="C372" s="220"/>
      <c r="D372" s="220"/>
      <c r="E372" s="220"/>
      <c r="F372" s="220"/>
      <c r="G372" s="223"/>
      <c r="H372" s="226"/>
      <c r="I372" s="226"/>
      <c r="J372" s="216"/>
      <c r="K372" s="216"/>
      <c r="L372" s="216"/>
      <c r="M372" s="230"/>
      <c r="N372" s="234"/>
      <c r="O372" s="238"/>
      <c r="P372" s="243"/>
      <c r="Q372" s="244"/>
      <c r="R372" s="301"/>
      <c r="S372" s="250"/>
      <c r="T372" s="301"/>
      <c r="U372" s="250"/>
      <c r="V372" s="301"/>
      <c r="W372" s="250"/>
      <c r="X372" s="254"/>
      <c r="Y372" s="301"/>
      <c r="Z372" s="258"/>
      <c r="AA372" s="250"/>
      <c r="AB372" s="301"/>
      <c r="AC372" s="305"/>
      <c r="AD372" s="262"/>
      <c r="AE372" s="262"/>
      <c r="AF372" s="283"/>
    </row>
    <row r="373" spans="2:32" hidden="1">
      <c r="B373" s="267"/>
      <c r="C373" s="219"/>
      <c r="D373" s="219"/>
      <c r="E373" s="219"/>
      <c r="F373" s="219"/>
      <c r="G373" s="222"/>
      <c r="H373" s="227"/>
      <c r="I373" s="227"/>
      <c r="J373" s="217"/>
      <c r="K373" s="217"/>
      <c r="L373" s="217"/>
      <c r="M373" s="231"/>
      <c r="N373" s="235"/>
      <c r="O373" s="239"/>
      <c r="P373" s="245"/>
      <c r="Q373" s="246"/>
      <c r="R373" s="302"/>
      <c r="S373" s="251"/>
      <c r="T373" s="302"/>
      <c r="U373" s="251"/>
      <c r="V373" s="302"/>
      <c r="W373" s="251"/>
      <c r="X373" s="255"/>
      <c r="Y373" s="302"/>
      <c r="Z373" s="259"/>
      <c r="AA373" s="251"/>
      <c r="AB373" s="302"/>
      <c r="AC373" s="306"/>
      <c r="AD373" s="261"/>
      <c r="AE373" s="261"/>
      <c r="AF373" s="282"/>
    </row>
    <row r="374" spans="2:32" hidden="1">
      <c r="B374" s="266"/>
      <c r="C374" s="220"/>
      <c r="D374" s="220"/>
      <c r="E374" s="220"/>
      <c r="F374" s="220"/>
      <c r="G374" s="223"/>
      <c r="H374" s="226"/>
      <c r="I374" s="226"/>
      <c r="J374" s="216"/>
      <c r="K374" s="216"/>
      <c r="L374" s="216"/>
      <c r="M374" s="230"/>
      <c r="N374" s="234"/>
      <c r="O374" s="238"/>
      <c r="P374" s="243"/>
      <c r="Q374" s="244"/>
      <c r="R374" s="301"/>
      <c r="S374" s="250"/>
      <c r="T374" s="301"/>
      <c r="U374" s="250"/>
      <c r="V374" s="301"/>
      <c r="W374" s="250"/>
      <c r="X374" s="254"/>
      <c r="Y374" s="301"/>
      <c r="Z374" s="258"/>
      <c r="AA374" s="250"/>
      <c r="AB374" s="301"/>
      <c r="AC374" s="305"/>
      <c r="AD374" s="262"/>
      <c r="AE374" s="262"/>
      <c r="AF374" s="283"/>
    </row>
    <row r="375" spans="2:32" hidden="1">
      <c r="B375" s="267"/>
      <c r="C375" s="219"/>
      <c r="D375" s="219"/>
      <c r="E375" s="219"/>
      <c r="F375" s="219"/>
      <c r="G375" s="222"/>
      <c r="H375" s="227"/>
      <c r="I375" s="227"/>
      <c r="J375" s="217"/>
      <c r="K375" s="217"/>
      <c r="L375" s="217"/>
      <c r="M375" s="231"/>
      <c r="N375" s="235"/>
      <c r="O375" s="239"/>
      <c r="P375" s="245"/>
      <c r="Q375" s="246"/>
      <c r="R375" s="302"/>
      <c r="S375" s="251"/>
      <c r="T375" s="302"/>
      <c r="U375" s="251"/>
      <c r="V375" s="302"/>
      <c r="W375" s="251"/>
      <c r="X375" s="255"/>
      <c r="Y375" s="302"/>
      <c r="Z375" s="259"/>
      <c r="AA375" s="251"/>
      <c r="AB375" s="302"/>
      <c r="AC375" s="306"/>
      <c r="AD375" s="261"/>
      <c r="AE375" s="261"/>
      <c r="AF375" s="282"/>
    </row>
    <row r="376" spans="2:32" hidden="1">
      <c r="B376" s="266"/>
      <c r="C376" s="220"/>
      <c r="D376" s="220"/>
      <c r="E376" s="220"/>
      <c r="F376" s="220"/>
      <c r="G376" s="223"/>
      <c r="H376" s="226"/>
      <c r="I376" s="226"/>
      <c r="J376" s="216"/>
      <c r="K376" s="216"/>
      <c r="L376" s="216"/>
      <c r="M376" s="230"/>
      <c r="N376" s="234"/>
      <c r="O376" s="238"/>
      <c r="P376" s="243"/>
      <c r="Q376" s="244"/>
      <c r="R376" s="301"/>
      <c r="S376" s="250"/>
      <c r="T376" s="301"/>
      <c r="U376" s="250"/>
      <c r="V376" s="301"/>
      <c r="W376" s="250"/>
      <c r="X376" s="254"/>
      <c r="Y376" s="301"/>
      <c r="Z376" s="258"/>
      <c r="AA376" s="250"/>
      <c r="AB376" s="301"/>
      <c r="AC376" s="305"/>
      <c r="AD376" s="262"/>
      <c r="AE376" s="262"/>
      <c r="AF376" s="283"/>
    </row>
    <row r="377" spans="2:32" hidden="1">
      <c r="B377" s="267"/>
      <c r="C377" s="219"/>
      <c r="D377" s="219"/>
      <c r="E377" s="219"/>
      <c r="F377" s="219"/>
      <c r="G377" s="222"/>
      <c r="H377" s="227"/>
      <c r="I377" s="227"/>
      <c r="J377" s="217"/>
      <c r="K377" s="217"/>
      <c r="L377" s="217"/>
      <c r="M377" s="231"/>
      <c r="N377" s="235"/>
      <c r="O377" s="239"/>
      <c r="P377" s="245"/>
      <c r="Q377" s="246"/>
      <c r="R377" s="302"/>
      <c r="S377" s="251"/>
      <c r="T377" s="302"/>
      <c r="U377" s="251"/>
      <c r="V377" s="302"/>
      <c r="W377" s="251"/>
      <c r="X377" s="255"/>
      <c r="Y377" s="302"/>
      <c r="Z377" s="259"/>
      <c r="AA377" s="251"/>
      <c r="AB377" s="302"/>
      <c r="AC377" s="306"/>
      <c r="AD377" s="261"/>
      <c r="AE377" s="261"/>
      <c r="AF377" s="282"/>
    </row>
    <row r="378" spans="2:32" hidden="1">
      <c r="B378" s="266"/>
      <c r="C378" s="220"/>
      <c r="D378" s="220"/>
      <c r="E378" s="220"/>
      <c r="F378" s="220"/>
      <c r="G378" s="223"/>
      <c r="H378" s="226"/>
      <c r="I378" s="226"/>
      <c r="J378" s="216"/>
      <c r="K378" s="216"/>
      <c r="L378" s="216"/>
      <c r="M378" s="230"/>
      <c r="N378" s="234"/>
      <c r="O378" s="238"/>
      <c r="P378" s="243"/>
      <c r="Q378" s="244"/>
      <c r="R378" s="301"/>
      <c r="S378" s="250"/>
      <c r="T378" s="301"/>
      <c r="U378" s="250"/>
      <c r="V378" s="301"/>
      <c r="W378" s="250"/>
      <c r="X378" s="254"/>
      <c r="Y378" s="301"/>
      <c r="Z378" s="258"/>
      <c r="AA378" s="250"/>
      <c r="AB378" s="301"/>
      <c r="AC378" s="305"/>
      <c r="AD378" s="262"/>
      <c r="AE378" s="262"/>
      <c r="AF378" s="283"/>
    </row>
    <row r="379" spans="2:32" hidden="1">
      <c r="B379" s="267"/>
      <c r="C379" s="219"/>
      <c r="D379" s="219"/>
      <c r="E379" s="219"/>
      <c r="F379" s="219"/>
      <c r="G379" s="222"/>
      <c r="H379" s="227"/>
      <c r="I379" s="227"/>
      <c r="J379" s="217"/>
      <c r="K379" s="217"/>
      <c r="L379" s="217"/>
      <c r="M379" s="231"/>
      <c r="N379" s="235"/>
      <c r="O379" s="239"/>
      <c r="P379" s="245"/>
      <c r="Q379" s="246"/>
      <c r="R379" s="302"/>
      <c r="S379" s="251"/>
      <c r="T379" s="302"/>
      <c r="U379" s="251"/>
      <c r="V379" s="302"/>
      <c r="W379" s="251"/>
      <c r="X379" s="255"/>
      <c r="Y379" s="302"/>
      <c r="Z379" s="259"/>
      <c r="AA379" s="251"/>
      <c r="AB379" s="302"/>
      <c r="AC379" s="306"/>
      <c r="AD379" s="261"/>
      <c r="AE379" s="261"/>
      <c r="AF379" s="282"/>
    </row>
    <row r="380" spans="2:32" hidden="1">
      <c r="B380" s="266"/>
      <c r="C380" s="220"/>
      <c r="D380" s="220"/>
      <c r="E380" s="220"/>
      <c r="F380" s="220"/>
      <c r="G380" s="223"/>
      <c r="H380" s="226"/>
      <c r="I380" s="226"/>
      <c r="J380" s="216"/>
      <c r="K380" s="216"/>
      <c r="L380" s="216"/>
      <c r="M380" s="230"/>
      <c r="N380" s="234"/>
      <c r="O380" s="238"/>
      <c r="P380" s="243"/>
      <c r="Q380" s="244"/>
      <c r="R380" s="301"/>
      <c r="S380" s="250"/>
      <c r="T380" s="301"/>
      <c r="U380" s="250"/>
      <c r="V380" s="301"/>
      <c r="W380" s="250"/>
      <c r="X380" s="254"/>
      <c r="Y380" s="301"/>
      <c r="Z380" s="258"/>
      <c r="AA380" s="250"/>
      <c r="AB380" s="301"/>
      <c r="AC380" s="305"/>
      <c r="AD380" s="262"/>
      <c r="AE380" s="262"/>
      <c r="AF380" s="283"/>
    </row>
    <row r="381" spans="2:32" hidden="1">
      <c r="B381" s="267"/>
      <c r="C381" s="219"/>
      <c r="D381" s="219"/>
      <c r="E381" s="219"/>
      <c r="F381" s="219"/>
      <c r="G381" s="222"/>
      <c r="H381" s="227"/>
      <c r="I381" s="227"/>
      <c r="J381" s="217"/>
      <c r="K381" s="217"/>
      <c r="L381" s="217"/>
      <c r="M381" s="231"/>
      <c r="N381" s="235"/>
      <c r="O381" s="239"/>
      <c r="P381" s="245"/>
      <c r="Q381" s="246"/>
      <c r="R381" s="302"/>
      <c r="S381" s="251"/>
      <c r="T381" s="302"/>
      <c r="U381" s="251"/>
      <c r="V381" s="302"/>
      <c r="W381" s="251"/>
      <c r="X381" s="255"/>
      <c r="Y381" s="302"/>
      <c r="Z381" s="259"/>
      <c r="AA381" s="251"/>
      <c r="AB381" s="302"/>
      <c r="AC381" s="306"/>
      <c r="AD381" s="261"/>
      <c r="AE381" s="261"/>
      <c r="AF381" s="282"/>
    </row>
    <row r="382" spans="2:32" hidden="1">
      <c r="B382" s="266"/>
      <c r="C382" s="220"/>
      <c r="D382" s="220"/>
      <c r="E382" s="220"/>
      <c r="F382" s="220"/>
      <c r="G382" s="223"/>
      <c r="H382" s="226"/>
      <c r="I382" s="226"/>
      <c r="J382" s="216"/>
      <c r="K382" s="216"/>
      <c r="L382" s="216"/>
      <c r="M382" s="230"/>
      <c r="N382" s="234"/>
      <c r="O382" s="238"/>
      <c r="P382" s="243"/>
      <c r="Q382" s="244"/>
      <c r="R382" s="301"/>
      <c r="S382" s="250"/>
      <c r="T382" s="301"/>
      <c r="U382" s="250"/>
      <c r="V382" s="301"/>
      <c r="W382" s="250"/>
      <c r="X382" s="254"/>
      <c r="Y382" s="301"/>
      <c r="Z382" s="258"/>
      <c r="AA382" s="250"/>
      <c r="AB382" s="301"/>
      <c r="AC382" s="305"/>
      <c r="AD382" s="262"/>
      <c r="AE382" s="262"/>
      <c r="AF382" s="283"/>
    </row>
    <row r="383" spans="2:32" hidden="1">
      <c r="B383" s="267"/>
      <c r="C383" s="219"/>
      <c r="D383" s="219"/>
      <c r="E383" s="219"/>
      <c r="F383" s="219"/>
      <c r="G383" s="222"/>
      <c r="H383" s="227"/>
      <c r="I383" s="227"/>
      <c r="J383" s="217"/>
      <c r="K383" s="217"/>
      <c r="L383" s="217"/>
      <c r="M383" s="231"/>
      <c r="N383" s="235"/>
      <c r="O383" s="239"/>
      <c r="P383" s="245"/>
      <c r="Q383" s="246"/>
      <c r="R383" s="302"/>
      <c r="S383" s="251"/>
      <c r="T383" s="302"/>
      <c r="U383" s="251"/>
      <c r="V383" s="302"/>
      <c r="W383" s="251"/>
      <c r="X383" s="255"/>
      <c r="Y383" s="302"/>
      <c r="Z383" s="259"/>
      <c r="AA383" s="251"/>
      <c r="AB383" s="302"/>
      <c r="AC383" s="306"/>
      <c r="AD383" s="261"/>
      <c r="AE383" s="261"/>
      <c r="AF383" s="282"/>
    </row>
    <row r="384" spans="2:32" hidden="1">
      <c r="B384" s="266"/>
      <c r="C384" s="220"/>
      <c r="D384" s="220"/>
      <c r="E384" s="220"/>
      <c r="F384" s="220"/>
      <c r="G384" s="223"/>
      <c r="H384" s="226"/>
      <c r="I384" s="226"/>
      <c r="J384" s="216"/>
      <c r="K384" s="216"/>
      <c r="L384" s="216"/>
      <c r="M384" s="230"/>
      <c r="N384" s="234"/>
      <c r="O384" s="238"/>
      <c r="P384" s="243"/>
      <c r="Q384" s="244"/>
      <c r="R384" s="301"/>
      <c r="S384" s="250"/>
      <c r="T384" s="301"/>
      <c r="U384" s="250"/>
      <c r="V384" s="301"/>
      <c r="W384" s="250"/>
      <c r="X384" s="254"/>
      <c r="Y384" s="301"/>
      <c r="Z384" s="258"/>
      <c r="AA384" s="250"/>
      <c r="AB384" s="301"/>
      <c r="AC384" s="305"/>
      <c r="AD384" s="262"/>
      <c r="AE384" s="262"/>
      <c r="AF384" s="283"/>
    </row>
    <row r="385" spans="2:32" hidden="1">
      <c r="B385" s="267"/>
      <c r="C385" s="219"/>
      <c r="D385" s="219"/>
      <c r="E385" s="219"/>
      <c r="F385" s="219"/>
      <c r="G385" s="222"/>
      <c r="H385" s="227"/>
      <c r="I385" s="227"/>
      <c r="J385" s="217"/>
      <c r="K385" s="217"/>
      <c r="L385" s="217"/>
      <c r="M385" s="231"/>
      <c r="N385" s="235"/>
      <c r="O385" s="239"/>
      <c r="P385" s="245"/>
      <c r="Q385" s="246"/>
      <c r="R385" s="302"/>
      <c r="S385" s="251"/>
      <c r="T385" s="302"/>
      <c r="U385" s="251"/>
      <c r="V385" s="302"/>
      <c r="W385" s="251"/>
      <c r="X385" s="255"/>
      <c r="Y385" s="302"/>
      <c r="Z385" s="259"/>
      <c r="AA385" s="251"/>
      <c r="AB385" s="302"/>
      <c r="AC385" s="306"/>
      <c r="AD385" s="261"/>
      <c r="AE385" s="261"/>
      <c r="AF385" s="282"/>
    </row>
    <row r="386" spans="2:32" hidden="1">
      <c r="B386" s="266"/>
      <c r="C386" s="220"/>
      <c r="D386" s="220"/>
      <c r="E386" s="220"/>
      <c r="F386" s="220"/>
      <c r="G386" s="223"/>
      <c r="H386" s="226"/>
      <c r="I386" s="226"/>
      <c r="J386" s="216"/>
      <c r="K386" s="216"/>
      <c r="L386" s="216"/>
      <c r="M386" s="230"/>
      <c r="N386" s="234"/>
      <c r="O386" s="238"/>
      <c r="P386" s="243"/>
      <c r="Q386" s="244"/>
      <c r="R386" s="301"/>
      <c r="S386" s="250"/>
      <c r="T386" s="301"/>
      <c r="U386" s="250"/>
      <c r="V386" s="301"/>
      <c r="W386" s="250"/>
      <c r="X386" s="254"/>
      <c r="Y386" s="301"/>
      <c r="Z386" s="258"/>
      <c r="AA386" s="250"/>
      <c r="AB386" s="301"/>
      <c r="AC386" s="305"/>
      <c r="AD386" s="262"/>
      <c r="AE386" s="262"/>
      <c r="AF386" s="283"/>
    </row>
    <row r="387" spans="2:32" hidden="1">
      <c r="B387" s="267"/>
      <c r="C387" s="219"/>
      <c r="D387" s="219"/>
      <c r="E387" s="219"/>
      <c r="F387" s="219"/>
      <c r="G387" s="222"/>
      <c r="H387" s="227"/>
      <c r="I387" s="227"/>
      <c r="J387" s="217"/>
      <c r="K387" s="217"/>
      <c r="L387" s="217"/>
      <c r="M387" s="231"/>
      <c r="N387" s="235"/>
      <c r="O387" s="239"/>
      <c r="P387" s="245"/>
      <c r="Q387" s="246"/>
      <c r="R387" s="302"/>
      <c r="S387" s="251"/>
      <c r="T387" s="302"/>
      <c r="U387" s="251"/>
      <c r="V387" s="302"/>
      <c r="W387" s="251"/>
      <c r="X387" s="255"/>
      <c r="Y387" s="302"/>
      <c r="Z387" s="259"/>
      <c r="AA387" s="251"/>
      <c r="AB387" s="302"/>
      <c r="AC387" s="306"/>
      <c r="AD387" s="261"/>
      <c r="AE387" s="261"/>
      <c r="AF387" s="282"/>
    </row>
    <row r="388" spans="2:32" hidden="1">
      <c r="B388" s="266"/>
      <c r="C388" s="220"/>
      <c r="D388" s="220"/>
      <c r="E388" s="220"/>
      <c r="F388" s="220"/>
      <c r="G388" s="223"/>
      <c r="H388" s="226"/>
      <c r="I388" s="226"/>
      <c r="J388" s="216"/>
      <c r="K388" s="216"/>
      <c r="L388" s="216"/>
      <c r="M388" s="230"/>
      <c r="N388" s="234"/>
      <c r="O388" s="238"/>
      <c r="P388" s="243"/>
      <c r="Q388" s="244"/>
      <c r="R388" s="301"/>
      <c r="S388" s="250"/>
      <c r="T388" s="301"/>
      <c r="U388" s="250"/>
      <c r="V388" s="301"/>
      <c r="W388" s="250"/>
      <c r="X388" s="254"/>
      <c r="Y388" s="301"/>
      <c r="Z388" s="258"/>
      <c r="AA388" s="250"/>
      <c r="AB388" s="301"/>
      <c r="AC388" s="305"/>
      <c r="AD388" s="262"/>
      <c r="AE388" s="262"/>
      <c r="AF388" s="283"/>
    </row>
    <row r="389" spans="2:32" hidden="1">
      <c r="B389" s="267"/>
      <c r="C389" s="219"/>
      <c r="D389" s="219"/>
      <c r="E389" s="219"/>
      <c r="F389" s="219"/>
      <c r="G389" s="222"/>
      <c r="H389" s="227"/>
      <c r="I389" s="227"/>
      <c r="J389" s="217"/>
      <c r="K389" s="217"/>
      <c r="L389" s="217"/>
      <c r="M389" s="231"/>
      <c r="N389" s="235"/>
      <c r="O389" s="239"/>
      <c r="P389" s="245"/>
      <c r="Q389" s="246"/>
      <c r="R389" s="302"/>
      <c r="S389" s="251"/>
      <c r="T389" s="302"/>
      <c r="U389" s="251"/>
      <c r="V389" s="302"/>
      <c r="W389" s="251"/>
      <c r="X389" s="255"/>
      <c r="Y389" s="302"/>
      <c r="Z389" s="259"/>
      <c r="AA389" s="251"/>
      <c r="AB389" s="302"/>
      <c r="AC389" s="306"/>
      <c r="AD389" s="261"/>
      <c r="AE389" s="261"/>
      <c r="AF389" s="282"/>
    </row>
    <row r="390" spans="2:32" hidden="1">
      <c r="B390" s="266"/>
      <c r="C390" s="220"/>
      <c r="D390" s="220"/>
      <c r="E390" s="220"/>
      <c r="F390" s="220"/>
      <c r="G390" s="223"/>
      <c r="H390" s="226"/>
      <c r="I390" s="226"/>
      <c r="J390" s="216"/>
      <c r="K390" s="216"/>
      <c r="L390" s="216"/>
      <c r="M390" s="230"/>
      <c r="N390" s="234"/>
      <c r="O390" s="238"/>
      <c r="P390" s="243"/>
      <c r="Q390" s="244"/>
      <c r="R390" s="301"/>
      <c r="S390" s="250"/>
      <c r="T390" s="301"/>
      <c r="U390" s="250"/>
      <c r="V390" s="301"/>
      <c r="W390" s="250"/>
      <c r="X390" s="254"/>
      <c r="Y390" s="301"/>
      <c r="Z390" s="258"/>
      <c r="AA390" s="250"/>
      <c r="AB390" s="301"/>
      <c r="AC390" s="305"/>
      <c r="AD390" s="262"/>
      <c r="AE390" s="262"/>
      <c r="AF390" s="283"/>
    </row>
    <row r="391" spans="2:32" hidden="1">
      <c r="B391" s="267"/>
      <c r="C391" s="219"/>
      <c r="D391" s="219"/>
      <c r="E391" s="219"/>
      <c r="F391" s="219"/>
      <c r="G391" s="222"/>
      <c r="H391" s="227"/>
      <c r="I391" s="227"/>
      <c r="J391" s="217"/>
      <c r="K391" s="217"/>
      <c r="L391" s="217"/>
      <c r="M391" s="231"/>
      <c r="N391" s="235"/>
      <c r="O391" s="239"/>
      <c r="P391" s="245"/>
      <c r="Q391" s="246"/>
      <c r="R391" s="302"/>
      <c r="S391" s="251"/>
      <c r="T391" s="302"/>
      <c r="U391" s="251"/>
      <c r="V391" s="302"/>
      <c r="W391" s="251"/>
      <c r="X391" s="255"/>
      <c r="Y391" s="302"/>
      <c r="Z391" s="259"/>
      <c r="AA391" s="251"/>
      <c r="AB391" s="302"/>
      <c r="AC391" s="306"/>
      <c r="AD391" s="261"/>
      <c r="AE391" s="261"/>
      <c r="AF391" s="282"/>
    </row>
    <row r="392" spans="2:32" hidden="1">
      <c r="B392" s="266"/>
      <c r="C392" s="220"/>
      <c r="D392" s="220"/>
      <c r="E392" s="220"/>
      <c r="F392" s="220"/>
      <c r="G392" s="223"/>
      <c r="H392" s="226"/>
      <c r="I392" s="226"/>
      <c r="J392" s="216"/>
      <c r="K392" s="216"/>
      <c r="L392" s="216"/>
      <c r="M392" s="230"/>
      <c r="N392" s="234"/>
      <c r="O392" s="238"/>
      <c r="P392" s="243"/>
      <c r="Q392" s="244"/>
      <c r="R392" s="301"/>
      <c r="S392" s="250"/>
      <c r="T392" s="301"/>
      <c r="U392" s="250"/>
      <c r="V392" s="301"/>
      <c r="W392" s="250"/>
      <c r="X392" s="254"/>
      <c r="Y392" s="301"/>
      <c r="Z392" s="258"/>
      <c r="AA392" s="250"/>
      <c r="AB392" s="301"/>
      <c r="AC392" s="305"/>
      <c r="AD392" s="262"/>
      <c r="AE392" s="262"/>
      <c r="AF392" s="283"/>
    </row>
    <row r="393" spans="2:32" hidden="1">
      <c r="B393" s="267"/>
      <c r="C393" s="219"/>
      <c r="D393" s="219"/>
      <c r="E393" s="219"/>
      <c r="F393" s="219"/>
      <c r="G393" s="222"/>
      <c r="H393" s="227"/>
      <c r="I393" s="227"/>
      <c r="J393" s="217"/>
      <c r="K393" s="217"/>
      <c r="L393" s="217"/>
      <c r="M393" s="231"/>
      <c r="N393" s="235"/>
      <c r="O393" s="239"/>
      <c r="P393" s="245"/>
      <c r="Q393" s="246"/>
      <c r="R393" s="302"/>
      <c r="S393" s="251"/>
      <c r="T393" s="302"/>
      <c r="U393" s="251"/>
      <c r="V393" s="302"/>
      <c r="W393" s="251"/>
      <c r="X393" s="255"/>
      <c r="Y393" s="302"/>
      <c r="Z393" s="259"/>
      <c r="AA393" s="251"/>
      <c r="AB393" s="302"/>
      <c r="AC393" s="306"/>
      <c r="AD393" s="261"/>
      <c r="AE393" s="261"/>
      <c r="AF393" s="282"/>
    </row>
    <row r="394" spans="2:32" hidden="1">
      <c r="B394" s="266"/>
      <c r="C394" s="220"/>
      <c r="D394" s="220"/>
      <c r="E394" s="220"/>
      <c r="F394" s="220"/>
      <c r="G394" s="223"/>
      <c r="H394" s="226"/>
      <c r="I394" s="226"/>
      <c r="J394" s="216"/>
      <c r="K394" s="216"/>
      <c r="L394" s="216"/>
      <c r="M394" s="230"/>
      <c r="N394" s="234"/>
      <c r="O394" s="238"/>
      <c r="P394" s="243"/>
      <c r="Q394" s="244"/>
      <c r="R394" s="301"/>
      <c r="S394" s="250"/>
      <c r="T394" s="301"/>
      <c r="U394" s="250"/>
      <c r="V394" s="301"/>
      <c r="W394" s="250"/>
      <c r="X394" s="254"/>
      <c r="Y394" s="301"/>
      <c r="Z394" s="258"/>
      <c r="AA394" s="250"/>
      <c r="AB394" s="301"/>
      <c r="AC394" s="305"/>
      <c r="AD394" s="262"/>
      <c r="AE394" s="262"/>
      <c r="AF394" s="283"/>
    </row>
    <row r="395" spans="2:32" hidden="1">
      <c r="B395" s="267"/>
      <c r="C395" s="219"/>
      <c r="D395" s="219"/>
      <c r="E395" s="219"/>
      <c r="F395" s="219"/>
      <c r="G395" s="222"/>
      <c r="H395" s="227"/>
      <c r="I395" s="227"/>
      <c r="J395" s="217"/>
      <c r="K395" s="217"/>
      <c r="L395" s="217"/>
      <c r="M395" s="231"/>
      <c r="N395" s="235"/>
      <c r="O395" s="239"/>
      <c r="P395" s="245"/>
      <c r="Q395" s="246"/>
      <c r="R395" s="302"/>
      <c r="S395" s="251"/>
      <c r="T395" s="302"/>
      <c r="U395" s="251"/>
      <c r="V395" s="302"/>
      <c r="W395" s="251"/>
      <c r="X395" s="255"/>
      <c r="Y395" s="302"/>
      <c r="Z395" s="259"/>
      <c r="AA395" s="251"/>
      <c r="AB395" s="302"/>
      <c r="AC395" s="306"/>
      <c r="AD395" s="261"/>
      <c r="AE395" s="261"/>
      <c r="AF395" s="282"/>
    </row>
    <row r="396" spans="2:32" hidden="1">
      <c r="B396" s="266"/>
      <c r="C396" s="220"/>
      <c r="D396" s="220"/>
      <c r="E396" s="220"/>
      <c r="F396" s="220"/>
      <c r="G396" s="223"/>
      <c r="H396" s="226"/>
      <c r="I396" s="226"/>
      <c r="J396" s="216"/>
      <c r="K396" s="216"/>
      <c r="L396" s="216"/>
      <c r="M396" s="230"/>
      <c r="N396" s="234"/>
      <c r="O396" s="238"/>
      <c r="P396" s="243"/>
      <c r="Q396" s="244"/>
      <c r="R396" s="301"/>
      <c r="S396" s="250"/>
      <c r="T396" s="301"/>
      <c r="U396" s="250"/>
      <c r="V396" s="301"/>
      <c r="W396" s="250"/>
      <c r="X396" s="254"/>
      <c r="Y396" s="301"/>
      <c r="Z396" s="258"/>
      <c r="AA396" s="250"/>
      <c r="AB396" s="301"/>
      <c r="AC396" s="305"/>
      <c r="AD396" s="262"/>
      <c r="AE396" s="262"/>
      <c r="AF396" s="283"/>
    </row>
    <row r="397" spans="2:32" hidden="1">
      <c r="B397" s="267"/>
      <c r="C397" s="219"/>
      <c r="D397" s="219"/>
      <c r="E397" s="219"/>
      <c r="F397" s="219"/>
      <c r="G397" s="222"/>
      <c r="H397" s="227"/>
      <c r="I397" s="227"/>
      <c r="J397" s="217"/>
      <c r="K397" s="217"/>
      <c r="L397" s="217"/>
      <c r="M397" s="231"/>
      <c r="N397" s="235"/>
      <c r="O397" s="239"/>
      <c r="P397" s="245"/>
      <c r="Q397" s="246"/>
      <c r="R397" s="302"/>
      <c r="S397" s="251"/>
      <c r="T397" s="302"/>
      <c r="U397" s="251"/>
      <c r="V397" s="302"/>
      <c r="W397" s="251"/>
      <c r="X397" s="255"/>
      <c r="Y397" s="302"/>
      <c r="Z397" s="259"/>
      <c r="AA397" s="251"/>
      <c r="AB397" s="302"/>
      <c r="AC397" s="306"/>
      <c r="AD397" s="261"/>
      <c r="AE397" s="261"/>
      <c r="AF397" s="282"/>
    </row>
    <row r="398" spans="2:32" hidden="1">
      <c r="B398" s="266"/>
      <c r="C398" s="220"/>
      <c r="D398" s="220"/>
      <c r="E398" s="220"/>
      <c r="F398" s="220"/>
      <c r="G398" s="223"/>
      <c r="H398" s="226"/>
      <c r="I398" s="226"/>
      <c r="J398" s="216"/>
      <c r="K398" s="216"/>
      <c r="L398" s="216"/>
      <c r="M398" s="230"/>
      <c r="N398" s="234"/>
      <c r="O398" s="238"/>
      <c r="P398" s="243"/>
      <c r="Q398" s="244"/>
      <c r="R398" s="301"/>
      <c r="S398" s="250"/>
      <c r="T398" s="301"/>
      <c r="U398" s="250"/>
      <c r="V398" s="301"/>
      <c r="W398" s="250"/>
      <c r="X398" s="254"/>
      <c r="Y398" s="301"/>
      <c r="Z398" s="258"/>
      <c r="AA398" s="250"/>
      <c r="AB398" s="301"/>
      <c r="AC398" s="305"/>
      <c r="AD398" s="262"/>
      <c r="AE398" s="262"/>
      <c r="AF398" s="283"/>
    </row>
    <row r="399" spans="2:32" hidden="1">
      <c r="B399" s="267"/>
      <c r="C399" s="219"/>
      <c r="D399" s="219"/>
      <c r="E399" s="219"/>
      <c r="F399" s="219"/>
      <c r="G399" s="222"/>
      <c r="H399" s="227"/>
      <c r="I399" s="227"/>
      <c r="J399" s="217"/>
      <c r="K399" s="217"/>
      <c r="L399" s="217"/>
      <c r="M399" s="231"/>
      <c r="N399" s="235"/>
      <c r="O399" s="239"/>
      <c r="P399" s="245"/>
      <c r="Q399" s="246"/>
      <c r="R399" s="302"/>
      <c r="S399" s="251"/>
      <c r="T399" s="302"/>
      <c r="U399" s="251"/>
      <c r="V399" s="302"/>
      <c r="W399" s="251"/>
      <c r="X399" s="255"/>
      <c r="Y399" s="302"/>
      <c r="Z399" s="259"/>
      <c r="AA399" s="251"/>
      <c r="AB399" s="302"/>
      <c r="AC399" s="306"/>
      <c r="AD399" s="261"/>
      <c r="AE399" s="261"/>
      <c r="AF399" s="282"/>
    </row>
    <row r="400" spans="2:32" hidden="1">
      <c r="B400" s="266"/>
      <c r="C400" s="220"/>
      <c r="D400" s="220"/>
      <c r="E400" s="220"/>
      <c r="F400" s="220"/>
      <c r="G400" s="223"/>
      <c r="H400" s="226"/>
      <c r="I400" s="226"/>
      <c r="J400" s="216"/>
      <c r="K400" s="216"/>
      <c r="L400" s="216"/>
      <c r="M400" s="230"/>
      <c r="N400" s="234"/>
      <c r="O400" s="238"/>
      <c r="P400" s="243"/>
      <c r="Q400" s="244"/>
      <c r="R400" s="301"/>
      <c r="S400" s="250"/>
      <c r="T400" s="301"/>
      <c r="U400" s="250"/>
      <c r="V400" s="301"/>
      <c r="W400" s="250"/>
      <c r="X400" s="254"/>
      <c r="Y400" s="301"/>
      <c r="Z400" s="258"/>
      <c r="AA400" s="250"/>
      <c r="AB400" s="301"/>
      <c r="AC400" s="305"/>
      <c r="AD400" s="262"/>
      <c r="AE400" s="262"/>
      <c r="AF400" s="283"/>
    </row>
    <row r="401" spans="2:32" hidden="1">
      <c r="B401" s="267"/>
      <c r="C401" s="219"/>
      <c r="D401" s="219"/>
      <c r="E401" s="219"/>
      <c r="F401" s="219"/>
      <c r="G401" s="222"/>
      <c r="H401" s="227"/>
      <c r="I401" s="227"/>
      <c r="J401" s="217"/>
      <c r="K401" s="217"/>
      <c r="L401" s="217"/>
      <c r="M401" s="231"/>
      <c r="N401" s="235"/>
      <c r="O401" s="239"/>
      <c r="P401" s="245"/>
      <c r="Q401" s="246"/>
      <c r="R401" s="302"/>
      <c r="S401" s="251"/>
      <c r="T401" s="302"/>
      <c r="U401" s="251"/>
      <c r="V401" s="302"/>
      <c r="W401" s="251"/>
      <c r="X401" s="255"/>
      <c r="Y401" s="302"/>
      <c r="Z401" s="259"/>
      <c r="AA401" s="251"/>
      <c r="AB401" s="302"/>
      <c r="AC401" s="306"/>
      <c r="AD401" s="261"/>
      <c r="AE401" s="261"/>
      <c r="AF401" s="282"/>
    </row>
    <row r="402" spans="2:32" hidden="1">
      <c r="B402" s="266"/>
      <c r="C402" s="220"/>
      <c r="D402" s="220"/>
      <c r="E402" s="220"/>
      <c r="F402" s="220"/>
      <c r="G402" s="223"/>
      <c r="H402" s="226"/>
      <c r="I402" s="226"/>
      <c r="J402" s="216"/>
      <c r="K402" s="216"/>
      <c r="L402" s="216"/>
      <c r="M402" s="230"/>
      <c r="N402" s="234"/>
      <c r="O402" s="238"/>
      <c r="P402" s="243"/>
      <c r="Q402" s="244"/>
      <c r="R402" s="301"/>
      <c r="S402" s="250"/>
      <c r="T402" s="301"/>
      <c r="U402" s="250"/>
      <c r="V402" s="301"/>
      <c r="W402" s="250"/>
      <c r="X402" s="254"/>
      <c r="Y402" s="301"/>
      <c r="Z402" s="258"/>
      <c r="AA402" s="250"/>
      <c r="AB402" s="301"/>
      <c r="AC402" s="305"/>
      <c r="AD402" s="262"/>
      <c r="AE402" s="262"/>
      <c r="AF402" s="283"/>
    </row>
    <row r="403" spans="2:32" hidden="1">
      <c r="B403" s="267"/>
      <c r="C403" s="219"/>
      <c r="D403" s="219"/>
      <c r="E403" s="219"/>
      <c r="F403" s="219"/>
      <c r="G403" s="222"/>
      <c r="H403" s="227"/>
      <c r="I403" s="227"/>
      <c r="J403" s="217"/>
      <c r="K403" s="217"/>
      <c r="L403" s="217"/>
      <c r="M403" s="231"/>
      <c r="N403" s="235"/>
      <c r="O403" s="239"/>
      <c r="P403" s="245"/>
      <c r="Q403" s="246"/>
      <c r="R403" s="302"/>
      <c r="S403" s="251"/>
      <c r="T403" s="302"/>
      <c r="U403" s="251"/>
      <c r="V403" s="302"/>
      <c r="W403" s="251"/>
      <c r="X403" s="255"/>
      <c r="Y403" s="302"/>
      <c r="Z403" s="259"/>
      <c r="AA403" s="251"/>
      <c r="AB403" s="302"/>
      <c r="AC403" s="306"/>
      <c r="AD403" s="261"/>
      <c r="AE403" s="261"/>
      <c r="AF403" s="282"/>
    </row>
    <row r="404" spans="2:32" hidden="1">
      <c r="B404" s="266"/>
      <c r="C404" s="220"/>
      <c r="D404" s="220"/>
      <c r="E404" s="220"/>
      <c r="F404" s="220"/>
      <c r="G404" s="223"/>
      <c r="H404" s="226"/>
      <c r="I404" s="226"/>
      <c r="J404" s="216"/>
      <c r="K404" s="216"/>
      <c r="L404" s="216"/>
      <c r="M404" s="230"/>
      <c r="N404" s="234"/>
      <c r="O404" s="238"/>
      <c r="P404" s="243"/>
      <c r="Q404" s="244"/>
      <c r="R404" s="301"/>
      <c r="S404" s="250"/>
      <c r="T404" s="301"/>
      <c r="U404" s="250"/>
      <c r="V404" s="301"/>
      <c r="W404" s="250"/>
      <c r="X404" s="254"/>
      <c r="Y404" s="301"/>
      <c r="Z404" s="258"/>
      <c r="AA404" s="250"/>
      <c r="AB404" s="301"/>
      <c r="AC404" s="305"/>
      <c r="AD404" s="262"/>
      <c r="AE404" s="262"/>
      <c r="AF404" s="283"/>
    </row>
    <row r="405" spans="2:32" hidden="1">
      <c r="B405" s="267"/>
      <c r="C405" s="219"/>
      <c r="D405" s="219"/>
      <c r="E405" s="219"/>
      <c r="F405" s="219"/>
      <c r="G405" s="222"/>
      <c r="H405" s="227"/>
      <c r="I405" s="227"/>
      <c r="J405" s="217"/>
      <c r="K405" s="217"/>
      <c r="L405" s="217"/>
      <c r="M405" s="231"/>
      <c r="N405" s="235"/>
      <c r="O405" s="239"/>
      <c r="P405" s="245"/>
      <c r="Q405" s="246"/>
      <c r="R405" s="302"/>
      <c r="S405" s="251"/>
      <c r="T405" s="302"/>
      <c r="U405" s="251"/>
      <c r="V405" s="302"/>
      <c r="W405" s="251"/>
      <c r="X405" s="255"/>
      <c r="Y405" s="302"/>
      <c r="Z405" s="259"/>
      <c r="AA405" s="251"/>
      <c r="AB405" s="302"/>
      <c r="AC405" s="306"/>
      <c r="AD405" s="261"/>
      <c r="AE405" s="261"/>
      <c r="AF405" s="282"/>
    </row>
    <row r="406" spans="2:32" hidden="1">
      <c r="B406" s="266"/>
      <c r="C406" s="220"/>
      <c r="D406" s="220"/>
      <c r="E406" s="220"/>
      <c r="F406" s="220"/>
      <c r="G406" s="223"/>
      <c r="H406" s="226"/>
      <c r="I406" s="226"/>
      <c r="J406" s="216"/>
      <c r="K406" s="216"/>
      <c r="L406" s="216"/>
      <c r="M406" s="230"/>
      <c r="N406" s="234"/>
      <c r="O406" s="238"/>
      <c r="P406" s="243"/>
      <c r="Q406" s="244"/>
      <c r="R406" s="301"/>
      <c r="S406" s="250"/>
      <c r="T406" s="301"/>
      <c r="U406" s="250"/>
      <c r="V406" s="301"/>
      <c r="W406" s="250"/>
      <c r="X406" s="254"/>
      <c r="Y406" s="301"/>
      <c r="Z406" s="258"/>
      <c r="AA406" s="250"/>
      <c r="AB406" s="301"/>
      <c r="AC406" s="305"/>
      <c r="AD406" s="262"/>
      <c r="AE406" s="262"/>
      <c r="AF406" s="283"/>
    </row>
    <row r="407" spans="2:32" hidden="1">
      <c r="B407" s="267"/>
      <c r="C407" s="219"/>
      <c r="D407" s="219"/>
      <c r="E407" s="219"/>
      <c r="F407" s="219"/>
      <c r="G407" s="222"/>
      <c r="H407" s="227"/>
      <c r="I407" s="227"/>
      <c r="J407" s="217"/>
      <c r="K407" s="217"/>
      <c r="L407" s="217"/>
      <c r="M407" s="231"/>
      <c r="N407" s="235"/>
      <c r="O407" s="239"/>
      <c r="P407" s="245"/>
      <c r="Q407" s="246"/>
      <c r="R407" s="302"/>
      <c r="S407" s="251"/>
      <c r="T407" s="302"/>
      <c r="U407" s="251"/>
      <c r="V407" s="302"/>
      <c r="W407" s="251"/>
      <c r="X407" s="255"/>
      <c r="Y407" s="302"/>
      <c r="Z407" s="259"/>
      <c r="AA407" s="251"/>
      <c r="AB407" s="302"/>
      <c r="AC407" s="306"/>
      <c r="AD407" s="261"/>
      <c r="AE407" s="261"/>
      <c r="AF407" s="282"/>
    </row>
    <row r="408" spans="2:32" hidden="1">
      <c r="B408" s="266"/>
      <c r="C408" s="220"/>
      <c r="D408" s="220"/>
      <c r="E408" s="220"/>
      <c r="F408" s="220"/>
      <c r="G408" s="223"/>
      <c r="H408" s="226"/>
      <c r="I408" s="226"/>
      <c r="J408" s="216"/>
      <c r="K408" s="216"/>
      <c r="L408" s="216"/>
      <c r="M408" s="230"/>
      <c r="N408" s="234"/>
      <c r="O408" s="238"/>
      <c r="P408" s="243"/>
      <c r="Q408" s="244"/>
      <c r="R408" s="301"/>
      <c r="S408" s="250"/>
      <c r="T408" s="301"/>
      <c r="U408" s="250"/>
      <c r="V408" s="301"/>
      <c r="W408" s="250"/>
      <c r="X408" s="254"/>
      <c r="Y408" s="301"/>
      <c r="Z408" s="258"/>
      <c r="AA408" s="250"/>
      <c r="AB408" s="301"/>
      <c r="AC408" s="305"/>
      <c r="AD408" s="262"/>
      <c r="AE408" s="262"/>
      <c r="AF408" s="283"/>
    </row>
    <row r="409" spans="2:32" hidden="1">
      <c r="B409" s="267"/>
      <c r="C409" s="219"/>
      <c r="D409" s="219"/>
      <c r="E409" s="219"/>
      <c r="F409" s="219"/>
      <c r="G409" s="222"/>
      <c r="H409" s="227"/>
      <c r="I409" s="227"/>
      <c r="J409" s="217"/>
      <c r="K409" s="217"/>
      <c r="L409" s="217"/>
      <c r="M409" s="231"/>
      <c r="N409" s="235"/>
      <c r="O409" s="239"/>
      <c r="P409" s="245"/>
      <c r="Q409" s="246"/>
      <c r="R409" s="302"/>
      <c r="S409" s="251"/>
      <c r="T409" s="302"/>
      <c r="U409" s="251"/>
      <c r="V409" s="302"/>
      <c r="W409" s="251"/>
      <c r="X409" s="255"/>
      <c r="Y409" s="302"/>
      <c r="Z409" s="259"/>
      <c r="AA409" s="251"/>
      <c r="AB409" s="302"/>
      <c r="AC409" s="306"/>
      <c r="AD409" s="261"/>
      <c r="AE409" s="261"/>
      <c r="AF409" s="282"/>
    </row>
    <row r="410" spans="2:32" hidden="1">
      <c r="B410" s="266"/>
      <c r="C410" s="220"/>
      <c r="D410" s="220"/>
      <c r="E410" s="220"/>
      <c r="F410" s="220"/>
      <c r="G410" s="223"/>
      <c r="H410" s="226"/>
      <c r="I410" s="226"/>
      <c r="J410" s="216"/>
      <c r="K410" s="216"/>
      <c r="L410" s="216"/>
      <c r="M410" s="230"/>
      <c r="N410" s="234"/>
      <c r="O410" s="238"/>
      <c r="P410" s="243"/>
      <c r="Q410" s="244"/>
      <c r="R410" s="301"/>
      <c r="S410" s="250"/>
      <c r="T410" s="301"/>
      <c r="U410" s="250"/>
      <c r="V410" s="301"/>
      <c r="W410" s="250"/>
      <c r="X410" s="254"/>
      <c r="Y410" s="301"/>
      <c r="Z410" s="258"/>
      <c r="AA410" s="250"/>
      <c r="AB410" s="301"/>
      <c r="AC410" s="305"/>
      <c r="AD410" s="262"/>
      <c r="AE410" s="262"/>
      <c r="AF410" s="283"/>
    </row>
    <row r="411" spans="2:32" hidden="1">
      <c r="B411" s="267"/>
      <c r="C411" s="219"/>
      <c r="D411" s="219"/>
      <c r="E411" s="219"/>
      <c r="F411" s="219"/>
      <c r="G411" s="222"/>
      <c r="H411" s="227"/>
      <c r="I411" s="227"/>
      <c r="J411" s="217"/>
      <c r="K411" s="217"/>
      <c r="L411" s="217"/>
      <c r="M411" s="231"/>
      <c r="N411" s="235"/>
      <c r="O411" s="239"/>
      <c r="P411" s="245"/>
      <c r="Q411" s="246"/>
      <c r="R411" s="302"/>
      <c r="S411" s="251"/>
      <c r="T411" s="302"/>
      <c r="U411" s="251"/>
      <c r="V411" s="302"/>
      <c r="W411" s="251"/>
      <c r="X411" s="255"/>
      <c r="Y411" s="302"/>
      <c r="Z411" s="259"/>
      <c r="AA411" s="251"/>
      <c r="AB411" s="302"/>
      <c r="AC411" s="306"/>
      <c r="AD411" s="261"/>
      <c r="AE411" s="261"/>
      <c r="AF411" s="282"/>
    </row>
    <row r="412" spans="2:32" hidden="1">
      <c r="B412" s="266"/>
      <c r="C412" s="220"/>
      <c r="D412" s="220"/>
      <c r="E412" s="220"/>
      <c r="F412" s="220"/>
      <c r="G412" s="223"/>
      <c r="H412" s="226"/>
      <c r="I412" s="226"/>
      <c r="J412" s="216"/>
      <c r="K412" s="216"/>
      <c r="L412" s="216"/>
      <c r="M412" s="230"/>
      <c r="N412" s="234"/>
      <c r="O412" s="238"/>
      <c r="P412" s="243"/>
      <c r="Q412" s="244"/>
      <c r="R412" s="301"/>
      <c r="S412" s="250"/>
      <c r="T412" s="301"/>
      <c r="U412" s="250"/>
      <c r="V412" s="301"/>
      <c r="W412" s="250"/>
      <c r="X412" s="254"/>
      <c r="Y412" s="301"/>
      <c r="Z412" s="258"/>
      <c r="AA412" s="250"/>
      <c r="AB412" s="301"/>
      <c r="AC412" s="305"/>
      <c r="AD412" s="262"/>
      <c r="AE412" s="262"/>
      <c r="AF412" s="283"/>
    </row>
    <row r="413" spans="2:32" hidden="1">
      <c r="B413" s="267"/>
      <c r="C413" s="219"/>
      <c r="D413" s="219"/>
      <c r="E413" s="219"/>
      <c r="F413" s="219"/>
      <c r="G413" s="222"/>
      <c r="H413" s="227"/>
      <c r="I413" s="227"/>
      <c r="J413" s="217"/>
      <c r="K413" s="217"/>
      <c r="L413" s="217"/>
      <c r="M413" s="231"/>
      <c r="N413" s="235"/>
      <c r="O413" s="239"/>
      <c r="P413" s="245"/>
      <c r="Q413" s="246"/>
      <c r="R413" s="302"/>
      <c r="S413" s="251"/>
      <c r="T413" s="302"/>
      <c r="U413" s="251"/>
      <c r="V413" s="302"/>
      <c r="W413" s="251"/>
      <c r="X413" s="255"/>
      <c r="Y413" s="302"/>
      <c r="Z413" s="259"/>
      <c r="AA413" s="251"/>
      <c r="AB413" s="302"/>
      <c r="AC413" s="306"/>
      <c r="AD413" s="261"/>
      <c r="AE413" s="261"/>
      <c r="AF413" s="282"/>
    </row>
    <row r="414" spans="2:32" hidden="1">
      <c r="B414" s="266"/>
      <c r="C414" s="220"/>
      <c r="D414" s="220"/>
      <c r="E414" s="220"/>
      <c r="F414" s="220"/>
      <c r="G414" s="223"/>
      <c r="H414" s="226"/>
      <c r="I414" s="226"/>
      <c r="J414" s="216"/>
      <c r="K414" s="216"/>
      <c r="L414" s="216"/>
      <c r="M414" s="230"/>
      <c r="N414" s="234"/>
      <c r="O414" s="238"/>
      <c r="P414" s="243"/>
      <c r="Q414" s="244"/>
      <c r="R414" s="301"/>
      <c r="S414" s="250"/>
      <c r="T414" s="301"/>
      <c r="U414" s="250"/>
      <c r="V414" s="301"/>
      <c r="W414" s="250"/>
      <c r="X414" s="254"/>
      <c r="Y414" s="301"/>
      <c r="Z414" s="258"/>
      <c r="AA414" s="250"/>
      <c r="AB414" s="301"/>
      <c r="AC414" s="305"/>
      <c r="AD414" s="262"/>
      <c r="AE414" s="262"/>
      <c r="AF414" s="283"/>
    </row>
    <row r="415" spans="2:32" hidden="1">
      <c r="B415" s="267"/>
      <c r="C415" s="219"/>
      <c r="D415" s="219"/>
      <c r="E415" s="219"/>
      <c r="F415" s="219"/>
      <c r="G415" s="222"/>
      <c r="H415" s="227"/>
      <c r="I415" s="227"/>
      <c r="J415" s="217"/>
      <c r="K415" s="217"/>
      <c r="L415" s="217"/>
      <c r="M415" s="231"/>
      <c r="N415" s="235"/>
      <c r="O415" s="239"/>
      <c r="P415" s="245"/>
      <c r="Q415" s="246"/>
      <c r="R415" s="302"/>
      <c r="S415" s="251"/>
      <c r="T415" s="302"/>
      <c r="U415" s="251"/>
      <c r="V415" s="302"/>
      <c r="W415" s="251"/>
      <c r="X415" s="255"/>
      <c r="Y415" s="302"/>
      <c r="Z415" s="259"/>
      <c r="AA415" s="251"/>
      <c r="AB415" s="302"/>
      <c r="AC415" s="306"/>
      <c r="AD415" s="261"/>
      <c r="AE415" s="261"/>
      <c r="AF415" s="282"/>
    </row>
    <row r="416" spans="2:32" hidden="1">
      <c r="B416" s="266"/>
      <c r="C416" s="220"/>
      <c r="D416" s="220"/>
      <c r="E416" s="220"/>
      <c r="F416" s="220"/>
      <c r="G416" s="223"/>
      <c r="H416" s="226"/>
      <c r="I416" s="226"/>
      <c r="J416" s="216"/>
      <c r="K416" s="216"/>
      <c r="L416" s="216"/>
      <c r="M416" s="230"/>
      <c r="N416" s="234"/>
      <c r="O416" s="238"/>
      <c r="P416" s="243"/>
      <c r="Q416" s="244"/>
      <c r="R416" s="301"/>
      <c r="S416" s="250"/>
      <c r="T416" s="301"/>
      <c r="U416" s="250"/>
      <c r="V416" s="301"/>
      <c r="W416" s="250"/>
      <c r="X416" s="254"/>
      <c r="Y416" s="301"/>
      <c r="Z416" s="258"/>
      <c r="AA416" s="250"/>
      <c r="AB416" s="301"/>
      <c r="AC416" s="305"/>
      <c r="AD416" s="262"/>
      <c r="AE416" s="262"/>
      <c r="AF416" s="283"/>
    </row>
    <row r="417" spans="2:32" hidden="1">
      <c r="B417" s="267"/>
      <c r="C417" s="219"/>
      <c r="D417" s="219"/>
      <c r="E417" s="219"/>
      <c r="F417" s="219"/>
      <c r="G417" s="222"/>
      <c r="H417" s="227"/>
      <c r="I417" s="227"/>
      <c r="J417" s="217"/>
      <c r="K417" s="217"/>
      <c r="L417" s="217"/>
      <c r="M417" s="231"/>
      <c r="N417" s="235"/>
      <c r="O417" s="239"/>
      <c r="P417" s="245"/>
      <c r="Q417" s="246"/>
      <c r="R417" s="302"/>
      <c r="S417" s="251"/>
      <c r="T417" s="302"/>
      <c r="U417" s="251"/>
      <c r="V417" s="302"/>
      <c r="W417" s="251"/>
      <c r="X417" s="255"/>
      <c r="Y417" s="302"/>
      <c r="Z417" s="259"/>
      <c r="AA417" s="251"/>
      <c r="AB417" s="302"/>
      <c r="AC417" s="306"/>
      <c r="AD417" s="261"/>
      <c r="AE417" s="261"/>
      <c r="AF417" s="282"/>
    </row>
    <row r="418" spans="2:32" hidden="1">
      <c r="B418" s="266"/>
      <c r="C418" s="220"/>
      <c r="D418" s="220"/>
      <c r="E418" s="220"/>
      <c r="F418" s="220"/>
      <c r="G418" s="223"/>
      <c r="H418" s="226"/>
      <c r="I418" s="226"/>
      <c r="J418" s="216"/>
      <c r="K418" s="216"/>
      <c r="L418" s="216"/>
      <c r="M418" s="230"/>
      <c r="N418" s="234"/>
      <c r="O418" s="238"/>
      <c r="P418" s="243"/>
      <c r="Q418" s="244"/>
      <c r="R418" s="301"/>
      <c r="S418" s="250"/>
      <c r="T418" s="301"/>
      <c r="U418" s="250"/>
      <c r="V418" s="301"/>
      <c r="W418" s="250"/>
      <c r="X418" s="254"/>
      <c r="Y418" s="301"/>
      <c r="Z418" s="258"/>
      <c r="AA418" s="250"/>
      <c r="AB418" s="301"/>
      <c r="AC418" s="305"/>
      <c r="AD418" s="262"/>
      <c r="AE418" s="262"/>
      <c r="AF418" s="283"/>
    </row>
    <row r="419" spans="2:32" hidden="1">
      <c r="B419" s="267"/>
      <c r="C419" s="219"/>
      <c r="D419" s="219"/>
      <c r="E419" s="219"/>
      <c r="F419" s="219"/>
      <c r="G419" s="222"/>
      <c r="H419" s="227"/>
      <c r="I419" s="227"/>
      <c r="J419" s="217"/>
      <c r="K419" s="217"/>
      <c r="L419" s="217"/>
      <c r="M419" s="231"/>
      <c r="N419" s="235"/>
      <c r="O419" s="239"/>
      <c r="P419" s="245"/>
      <c r="Q419" s="246"/>
      <c r="R419" s="302"/>
      <c r="S419" s="251"/>
      <c r="T419" s="302"/>
      <c r="U419" s="251"/>
      <c r="V419" s="302"/>
      <c r="W419" s="251"/>
      <c r="X419" s="255"/>
      <c r="Y419" s="302"/>
      <c r="Z419" s="259"/>
      <c r="AA419" s="251"/>
      <c r="AB419" s="302"/>
      <c r="AC419" s="306"/>
      <c r="AD419" s="261"/>
      <c r="AE419" s="261"/>
      <c r="AF419" s="282"/>
    </row>
    <row r="420" spans="2:32" hidden="1">
      <c r="B420" s="266"/>
      <c r="C420" s="220"/>
      <c r="D420" s="220"/>
      <c r="E420" s="220"/>
      <c r="F420" s="220"/>
      <c r="G420" s="223"/>
      <c r="H420" s="226"/>
      <c r="I420" s="226"/>
      <c r="J420" s="216"/>
      <c r="K420" s="216"/>
      <c r="L420" s="216"/>
      <c r="M420" s="230"/>
      <c r="N420" s="234"/>
      <c r="O420" s="238"/>
      <c r="P420" s="243"/>
      <c r="Q420" s="244"/>
      <c r="R420" s="301"/>
      <c r="S420" s="250"/>
      <c r="T420" s="301"/>
      <c r="U420" s="250"/>
      <c r="V420" s="301"/>
      <c r="W420" s="250"/>
      <c r="X420" s="254"/>
      <c r="Y420" s="301"/>
      <c r="Z420" s="258"/>
      <c r="AA420" s="250"/>
      <c r="AB420" s="301"/>
      <c r="AC420" s="305"/>
      <c r="AD420" s="262"/>
      <c r="AE420" s="262"/>
      <c r="AF420" s="283"/>
    </row>
    <row r="421" spans="2:32" hidden="1">
      <c r="B421" s="267"/>
      <c r="C421" s="219"/>
      <c r="D421" s="219"/>
      <c r="E421" s="219"/>
      <c r="F421" s="219"/>
      <c r="G421" s="222"/>
      <c r="H421" s="227"/>
      <c r="I421" s="227"/>
      <c r="J421" s="217"/>
      <c r="K421" s="217"/>
      <c r="L421" s="217"/>
      <c r="M421" s="231"/>
      <c r="N421" s="235"/>
      <c r="O421" s="239"/>
      <c r="P421" s="245"/>
      <c r="Q421" s="246"/>
      <c r="R421" s="302"/>
      <c r="S421" s="251"/>
      <c r="T421" s="302"/>
      <c r="U421" s="251"/>
      <c r="V421" s="302"/>
      <c r="W421" s="251"/>
      <c r="X421" s="255"/>
      <c r="Y421" s="302"/>
      <c r="Z421" s="259"/>
      <c r="AA421" s="251"/>
      <c r="AB421" s="302"/>
      <c r="AC421" s="306"/>
      <c r="AD421" s="261"/>
      <c r="AE421" s="261"/>
      <c r="AF421" s="282"/>
    </row>
    <row r="422" spans="2:32" hidden="1">
      <c r="B422" s="266"/>
      <c r="C422" s="220"/>
      <c r="D422" s="220"/>
      <c r="E422" s="220"/>
      <c r="F422" s="220"/>
      <c r="G422" s="223"/>
      <c r="H422" s="226"/>
      <c r="I422" s="226"/>
      <c r="J422" s="216"/>
      <c r="K422" s="216"/>
      <c r="L422" s="216"/>
      <c r="M422" s="230"/>
      <c r="N422" s="234"/>
      <c r="O422" s="238"/>
      <c r="P422" s="243"/>
      <c r="Q422" s="244"/>
      <c r="R422" s="301"/>
      <c r="S422" s="250"/>
      <c r="T422" s="301"/>
      <c r="U422" s="250"/>
      <c r="V422" s="301"/>
      <c r="W422" s="250"/>
      <c r="X422" s="254"/>
      <c r="Y422" s="301"/>
      <c r="Z422" s="258"/>
      <c r="AA422" s="250"/>
      <c r="AB422" s="301"/>
      <c r="AC422" s="305"/>
      <c r="AD422" s="262"/>
      <c r="AE422" s="262"/>
      <c r="AF422" s="283"/>
    </row>
    <row r="423" spans="2:32" hidden="1">
      <c r="B423" s="267"/>
      <c r="C423" s="219"/>
      <c r="D423" s="219"/>
      <c r="E423" s="219"/>
      <c r="F423" s="219"/>
      <c r="G423" s="222"/>
      <c r="H423" s="227"/>
      <c r="I423" s="227"/>
      <c r="J423" s="217"/>
      <c r="K423" s="217"/>
      <c r="L423" s="217"/>
      <c r="M423" s="231"/>
      <c r="N423" s="235"/>
      <c r="O423" s="239"/>
      <c r="P423" s="245"/>
      <c r="Q423" s="246"/>
      <c r="R423" s="302"/>
      <c r="S423" s="251"/>
      <c r="T423" s="302"/>
      <c r="U423" s="251"/>
      <c r="V423" s="302"/>
      <c r="W423" s="251"/>
      <c r="X423" s="255"/>
      <c r="Y423" s="302"/>
      <c r="Z423" s="259"/>
      <c r="AA423" s="251"/>
      <c r="AB423" s="302"/>
      <c r="AC423" s="306"/>
      <c r="AD423" s="261"/>
      <c r="AE423" s="261"/>
      <c r="AF423" s="282"/>
    </row>
    <row r="424" spans="2:32" hidden="1">
      <c r="B424" s="266"/>
      <c r="C424" s="220"/>
      <c r="D424" s="220"/>
      <c r="E424" s="220"/>
      <c r="F424" s="220"/>
      <c r="G424" s="223"/>
      <c r="H424" s="226"/>
      <c r="I424" s="226"/>
      <c r="J424" s="216"/>
      <c r="K424" s="216"/>
      <c r="L424" s="216"/>
      <c r="M424" s="230"/>
      <c r="N424" s="234"/>
      <c r="O424" s="238"/>
      <c r="P424" s="243"/>
      <c r="Q424" s="244"/>
      <c r="R424" s="301"/>
      <c r="S424" s="250"/>
      <c r="T424" s="301"/>
      <c r="U424" s="250"/>
      <c r="V424" s="301"/>
      <c r="W424" s="250"/>
      <c r="X424" s="254"/>
      <c r="Y424" s="301"/>
      <c r="Z424" s="258"/>
      <c r="AA424" s="250"/>
      <c r="AB424" s="301"/>
      <c r="AC424" s="305"/>
      <c r="AD424" s="262"/>
      <c r="AE424" s="262"/>
      <c r="AF424" s="283"/>
    </row>
    <row r="425" spans="2:32" hidden="1">
      <c r="B425" s="267"/>
      <c r="C425" s="219"/>
      <c r="D425" s="219"/>
      <c r="E425" s="219"/>
      <c r="F425" s="219"/>
      <c r="G425" s="222"/>
      <c r="H425" s="227"/>
      <c r="I425" s="227"/>
      <c r="J425" s="217"/>
      <c r="K425" s="217"/>
      <c r="L425" s="217"/>
      <c r="M425" s="231"/>
      <c r="N425" s="235"/>
      <c r="O425" s="239"/>
      <c r="P425" s="245"/>
      <c r="Q425" s="246"/>
      <c r="R425" s="302"/>
      <c r="S425" s="251"/>
      <c r="T425" s="302"/>
      <c r="U425" s="251"/>
      <c r="V425" s="302"/>
      <c r="W425" s="251"/>
      <c r="X425" s="255"/>
      <c r="Y425" s="302"/>
      <c r="Z425" s="259"/>
      <c r="AA425" s="251"/>
      <c r="AB425" s="302"/>
      <c r="AC425" s="306"/>
      <c r="AD425" s="261"/>
      <c r="AE425" s="261"/>
      <c r="AF425" s="282"/>
    </row>
    <row r="426" spans="2:32" hidden="1">
      <c r="B426" s="266"/>
      <c r="C426" s="220"/>
      <c r="D426" s="220"/>
      <c r="E426" s="220"/>
      <c r="F426" s="220"/>
      <c r="G426" s="223"/>
      <c r="H426" s="226"/>
      <c r="I426" s="226"/>
      <c r="J426" s="216"/>
      <c r="K426" s="216"/>
      <c r="L426" s="216"/>
      <c r="M426" s="230"/>
      <c r="N426" s="234"/>
      <c r="O426" s="238"/>
      <c r="P426" s="243"/>
      <c r="Q426" s="244"/>
      <c r="R426" s="301"/>
      <c r="S426" s="250"/>
      <c r="T426" s="301"/>
      <c r="U426" s="250"/>
      <c r="V426" s="301"/>
      <c r="W426" s="250"/>
      <c r="X426" s="254"/>
      <c r="Y426" s="301"/>
      <c r="Z426" s="258"/>
      <c r="AA426" s="250"/>
      <c r="AB426" s="301"/>
      <c r="AC426" s="305"/>
      <c r="AD426" s="262"/>
      <c r="AE426" s="262"/>
      <c r="AF426" s="283"/>
    </row>
    <row r="427" spans="2:32" hidden="1">
      <c r="B427" s="267"/>
      <c r="C427" s="219"/>
      <c r="D427" s="219"/>
      <c r="E427" s="219"/>
      <c r="F427" s="219"/>
      <c r="G427" s="222"/>
      <c r="H427" s="227"/>
      <c r="I427" s="227"/>
      <c r="J427" s="217"/>
      <c r="K427" s="217"/>
      <c r="L427" s="217"/>
      <c r="M427" s="231"/>
      <c r="N427" s="235"/>
      <c r="O427" s="239"/>
      <c r="P427" s="245"/>
      <c r="Q427" s="246"/>
      <c r="R427" s="302"/>
      <c r="S427" s="251"/>
      <c r="T427" s="302"/>
      <c r="U427" s="251"/>
      <c r="V427" s="302"/>
      <c r="W427" s="251"/>
      <c r="X427" s="255"/>
      <c r="Y427" s="302"/>
      <c r="Z427" s="259"/>
      <c r="AA427" s="251"/>
      <c r="AB427" s="302"/>
      <c r="AC427" s="306"/>
      <c r="AD427" s="261"/>
      <c r="AE427" s="261"/>
      <c r="AF427" s="282"/>
    </row>
    <row r="428" spans="2:32" hidden="1">
      <c r="B428" s="266"/>
      <c r="C428" s="220"/>
      <c r="D428" s="220"/>
      <c r="E428" s="220"/>
      <c r="F428" s="220"/>
      <c r="G428" s="223"/>
      <c r="H428" s="226"/>
      <c r="I428" s="226"/>
      <c r="J428" s="216"/>
      <c r="K428" s="216"/>
      <c r="L428" s="216"/>
      <c r="M428" s="230"/>
      <c r="N428" s="234"/>
      <c r="O428" s="238"/>
      <c r="P428" s="243"/>
      <c r="Q428" s="244"/>
      <c r="R428" s="301"/>
      <c r="S428" s="250"/>
      <c r="T428" s="301"/>
      <c r="U428" s="250"/>
      <c r="V428" s="301"/>
      <c r="W428" s="250"/>
      <c r="X428" s="254"/>
      <c r="Y428" s="301"/>
      <c r="Z428" s="258"/>
      <c r="AA428" s="250"/>
      <c r="AB428" s="301"/>
      <c r="AC428" s="305"/>
      <c r="AD428" s="262"/>
      <c r="AE428" s="262"/>
      <c r="AF428" s="283"/>
    </row>
    <row r="429" spans="2:32" hidden="1">
      <c r="B429" s="267"/>
      <c r="C429" s="219"/>
      <c r="D429" s="219"/>
      <c r="E429" s="219"/>
      <c r="F429" s="219"/>
      <c r="G429" s="222"/>
      <c r="H429" s="227"/>
      <c r="I429" s="227"/>
      <c r="J429" s="217"/>
      <c r="K429" s="217"/>
      <c r="L429" s="217"/>
      <c r="M429" s="231"/>
      <c r="N429" s="235"/>
      <c r="O429" s="239"/>
      <c r="P429" s="245"/>
      <c r="Q429" s="246"/>
      <c r="R429" s="302"/>
      <c r="S429" s="251"/>
      <c r="T429" s="302"/>
      <c r="U429" s="251"/>
      <c r="V429" s="302"/>
      <c r="W429" s="251"/>
      <c r="X429" s="255"/>
      <c r="Y429" s="302"/>
      <c r="Z429" s="259"/>
      <c r="AA429" s="251"/>
      <c r="AB429" s="302"/>
      <c r="AC429" s="306"/>
      <c r="AD429" s="261"/>
      <c r="AE429" s="261"/>
      <c r="AF429" s="282"/>
    </row>
    <row r="430" spans="2:32" hidden="1">
      <c r="B430" s="266"/>
      <c r="C430" s="220"/>
      <c r="D430" s="220"/>
      <c r="E430" s="220"/>
      <c r="F430" s="220"/>
      <c r="G430" s="223"/>
      <c r="H430" s="226"/>
      <c r="I430" s="226"/>
      <c r="J430" s="216"/>
      <c r="K430" s="216"/>
      <c r="L430" s="216"/>
      <c r="M430" s="230"/>
      <c r="N430" s="234"/>
      <c r="O430" s="238"/>
      <c r="P430" s="243"/>
      <c r="Q430" s="244"/>
      <c r="R430" s="301"/>
      <c r="S430" s="250"/>
      <c r="T430" s="301"/>
      <c r="U430" s="250"/>
      <c r="V430" s="301"/>
      <c r="W430" s="250"/>
      <c r="X430" s="254"/>
      <c r="Y430" s="301"/>
      <c r="Z430" s="258"/>
      <c r="AA430" s="250"/>
      <c r="AB430" s="301"/>
      <c r="AC430" s="305"/>
      <c r="AD430" s="262"/>
      <c r="AE430" s="262"/>
      <c r="AF430" s="283"/>
    </row>
    <row r="431" spans="2:32" hidden="1">
      <c r="B431" s="267"/>
      <c r="C431" s="219"/>
      <c r="D431" s="219"/>
      <c r="E431" s="219"/>
      <c r="F431" s="219"/>
      <c r="G431" s="222"/>
      <c r="H431" s="227"/>
      <c r="I431" s="227"/>
      <c r="J431" s="217"/>
      <c r="K431" s="217"/>
      <c r="L431" s="217"/>
      <c r="M431" s="231"/>
      <c r="N431" s="235"/>
      <c r="O431" s="239"/>
      <c r="P431" s="245"/>
      <c r="Q431" s="246"/>
      <c r="R431" s="302"/>
      <c r="S431" s="251"/>
      <c r="T431" s="302"/>
      <c r="U431" s="251"/>
      <c r="V431" s="302"/>
      <c r="W431" s="251"/>
      <c r="X431" s="255"/>
      <c r="Y431" s="302"/>
      <c r="Z431" s="259"/>
      <c r="AA431" s="251"/>
      <c r="AB431" s="302"/>
      <c r="AC431" s="306"/>
      <c r="AD431" s="261"/>
      <c r="AE431" s="261"/>
      <c r="AF431" s="282"/>
    </row>
    <row r="432" spans="2:32" hidden="1">
      <c r="B432" s="266"/>
      <c r="C432" s="220"/>
      <c r="D432" s="220"/>
      <c r="E432" s="220"/>
      <c r="F432" s="220"/>
      <c r="G432" s="223"/>
      <c r="H432" s="226"/>
      <c r="I432" s="226"/>
      <c r="J432" s="216"/>
      <c r="K432" s="216"/>
      <c r="L432" s="216"/>
      <c r="M432" s="230"/>
      <c r="N432" s="234"/>
      <c r="O432" s="238"/>
      <c r="P432" s="243"/>
      <c r="Q432" s="244"/>
      <c r="R432" s="301"/>
      <c r="S432" s="250"/>
      <c r="T432" s="301"/>
      <c r="U432" s="250"/>
      <c r="V432" s="301"/>
      <c r="W432" s="250"/>
      <c r="X432" s="254"/>
      <c r="Y432" s="301"/>
      <c r="Z432" s="258"/>
      <c r="AA432" s="250"/>
      <c r="AB432" s="301"/>
      <c r="AC432" s="305"/>
      <c r="AD432" s="262"/>
      <c r="AE432" s="262"/>
      <c r="AF432" s="283"/>
    </row>
    <row r="433" spans="2:32" hidden="1">
      <c r="B433" s="267"/>
      <c r="C433" s="219"/>
      <c r="D433" s="219"/>
      <c r="E433" s="219"/>
      <c r="F433" s="219"/>
      <c r="G433" s="222"/>
      <c r="H433" s="227"/>
      <c r="I433" s="227"/>
      <c r="J433" s="217"/>
      <c r="K433" s="217"/>
      <c r="L433" s="217"/>
      <c r="M433" s="231"/>
      <c r="N433" s="235"/>
      <c r="O433" s="239"/>
      <c r="P433" s="245"/>
      <c r="Q433" s="246"/>
      <c r="R433" s="302"/>
      <c r="S433" s="251"/>
      <c r="T433" s="302"/>
      <c r="U433" s="251"/>
      <c r="V433" s="302"/>
      <c r="W433" s="251"/>
      <c r="X433" s="255"/>
      <c r="Y433" s="302"/>
      <c r="Z433" s="259"/>
      <c r="AA433" s="251"/>
      <c r="AB433" s="302"/>
      <c r="AC433" s="306"/>
      <c r="AD433" s="261"/>
      <c r="AE433" s="261"/>
      <c r="AF433" s="282"/>
    </row>
    <row r="434" spans="2:32" hidden="1">
      <c r="B434" s="266"/>
      <c r="C434" s="220"/>
      <c r="D434" s="220"/>
      <c r="E434" s="220"/>
      <c r="F434" s="220"/>
      <c r="G434" s="223"/>
      <c r="H434" s="226"/>
      <c r="I434" s="226"/>
      <c r="J434" s="216"/>
      <c r="K434" s="216"/>
      <c r="L434" s="216"/>
      <c r="M434" s="230"/>
      <c r="N434" s="234"/>
      <c r="O434" s="238"/>
      <c r="P434" s="243"/>
      <c r="Q434" s="244"/>
      <c r="R434" s="301"/>
      <c r="S434" s="250"/>
      <c r="T434" s="301"/>
      <c r="U434" s="250"/>
      <c r="V434" s="301"/>
      <c r="W434" s="250"/>
      <c r="X434" s="254"/>
      <c r="Y434" s="301"/>
      <c r="Z434" s="258"/>
      <c r="AA434" s="250"/>
      <c r="AB434" s="301"/>
      <c r="AC434" s="305"/>
      <c r="AD434" s="262"/>
      <c r="AE434" s="262"/>
      <c r="AF434" s="283"/>
    </row>
    <row r="435" spans="2:32" hidden="1">
      <c r="B435" s="267"/>
      <c r="C435" s="219"/>
      <c r="D435" s="219"/>
      <c r="E435" s="219"/>
      <c r="F435" s="219"/>
      <c r="G435" s="222"/>
      <c r="H435" s="227"/>
      <c r="I435" s="227"/>
      <c r="J435" s="217"/>
      <c r="K435" s="217"/>
      <c r="L435" s="217"/>
      <c r="M435" s="231"/>
      <c r="N435" s="235"/>
      <c r="O435" s="239"/>
      <c r="P435" s="245"/>
      <c r="Q435" s="246"/>
      <c r="R435" s="302"/>
      <c r="S435" s="251"/>
      <c r="T435" s="302"/>
      <c r="U435" s="251"/>
      <c r="V435" s="302"/>
      <c r="W435" s="251"/>
      <c r="X435" s="255"/>
      <c r="Y435" s="302"/>
      <c r="Z435" s="259"/>
      <c r="AA435" s="251"/>
      <c r="AB435" s="302"/>
      <c r="AC435" s="306"/>
      <c r="AD435" s="261"/>
      <c r="AE435" s="261"/>
      <c r="AF435" s="282"/>
    </row>
    <row r="436" spans="2:32" hidden="1">
      <c r="B436" s="266"/>
      <c r="C436" s="220"/>
      <c r="D436" s="220"/>
      <c r="E436" s="220"/>
      <c r="F436" s="220"/>
      <c r="G436" s="223"/>
      <c r="H436" s="226"/>
      <c r="I436" s="226"/>
      <c r="J436" s="216"/>
      <c r="K436" s="216"/>
      <c r="L436" s="216"/>
      <c r="M436" s="230"/>
      <c r="N436" s="234"/>
      <c r="O436" s="238"/>
      <c r="P436" s="243"/>
      <c r="Q436" s="244"/>
      <c r="R436" s="301"/>
      <c r="S436" s="250"/>
      <c r="T436" s="301"/>
      <c r="U436" s="250"/>
      <c r="V436" s="301"/>
      <c r="W436" s="250"/>
      <c r="X436" s="254"/>
      <c r="Y436" s="301"/>
      <c r="Z436" s="258"/>
      <c r="AA436" s="250"/>
      <c r="AB436" s="301"/>
      <c r="AC436" s="305"/>
      <c r="AD436" s="262"/>
      <c r="AE436" s="262"/>
      <c r="AF436" s="283"/>
    </row>
    <row r="437" spans="2:32" hidden="1">
      <c r="B437" s="267"/>
      <c r="C437" s="219"/>
      <c r="D437" s="219"/>
      <c r="E437" s="219"/>
      <c r="F437" s="219"/>
      <c r="G437" s="222"/>
      <c r="H437" s="227"/>
      <c r="I437" s="227"/>
      <c r="J437" s="217"/>
      <c r="K437" s="217"/>
      <c r="L437" s="217"/>
      <c r="M437" s="231"/>
      <c r="N437" s="235"/>
      <c r="O437" s="239"/>
      <c r="P437" s="245"/>
      <c r="Q437" s="246"/>
      <c r="R437" s="302"/>
      <c r="S437" s="251"/>
      <c r="T437" s="302"/>
      <c r="U437" s="251"/>
      <c r="V437" s="302"/>
      <c r="W437" s="251"/>
      <c r="X437" s="255"/>
      <c r="Y437" s="302"/>
      <c r="Z437" s="259"/>
      <c r="AA437" s="251"/>
      <c r="AB437" s="302"/>
      <c r="AC437" s="306"/>
      <c r="AD437" s="261"/>
      <c r="AE437" s="261"/>
      <c r="AF437" s="282"/>
    </row>
    <row r="438" spans="2:32" hidden="1">
      <c r="B438" s="266"/>
      <c r="C438" s="220"/>
      <c r="D438" s="220"/>
      <c r="E438" s="220"/>
      <c r="F438" s="220"/>
      <c r="G438" s="223"/>
      <c r="H438" s="226"/>
      <c r="I438" s="226"/>
      <c r="J438" s="216"/>
      <c r="K438" s="216"/>
      <c r="L438" s="216"/>
      <c r="M438" s="230"/>
      <c r="N438" s="234"/>
      <c r="O438" s="238"/>
      <c r="P438" s="243"/>
      <c r="Q438" s="244"/>
      <c r="R438" s="301"/>
      <c r="S438" s="250"/>
      <c r="T438" s="301"/>
      <c r="U438" s="250"/>
      <c r="V438" s="301"/>
      <c r="W438" s="250"/>
      <c r="X438" s="254"/>
      <c r="Y438" s="301"/>
      <c r="Z438" s="258"/>
      <c r="AA438" s="250"/>
      <c r="AB438" s="301"/>
      <c r="AC438" s="305"/>
      <c r="AD438" s="262"/>
      <c r="AE438" s="262"/>
      <c r="AF438" s="283"/>
    </row>
    <row r="439" spans="2:32" hidden="1">
      <c r="B439" s="267"/>
      <c r="C439" s="219"/>
      <c r="D439" s="219"/>
      <c r="E439" s="219"/>
      <c r="F439" s="219"/>
      <c r="G439" s="222"/>
      <c r="H439" s="227"/>
      <c r="I439" s="227"/>
      <c r="J439" s="217"/>
      <c r="K439" s="217"/>
      <c r="L439" s="217"/>
      <c r="M439" s="231"/>
      <c r="N439" s="235"/>
      <c r="O439" s="239"/>
      <c r="P439" s="245"/>
      <c r="Q439" s="246"/>
      <c r="R439" s="302"/>
      <c r="S439" s="251"/>
      <c r="T439" s="302"/>
      <c r="U439" s="251"/>
      <c r="V439" s="302"/>
      <c r="W439" s="251"/>
      <c r="X439" s="255"/>
      <c r="Y439" s="302"/>
      <c r="Z439" s="259"/>
      <c r="AA439" s="251"/>
      <c r="AB439" s="302"/>
      <c r="AC439" s="306"/>
      <c r="AD439" s="261"/>
      <c r="AE439" s="261"/>
      <c r="AF439" s="282"/>
    </row>
    <row r="440" spans="2:32" hidden="1">
      <c r="B440" s="266"/>
      <c r="C440" s="220"/>
      <c r="D440" s="220"/>
      <c r="E440" s="220"/>
      <c r="F440" s="220"/>
      <c r="G440" s="223"/>
      <c r="H440" s="226"/>
      <c r="I440" s="226"/>
      <c r="J440" s="216"/>
      <c r="K440" s="216"/>
      <c r="L440" s="216"/>
      <c r="M440" s="230"/>
      <c r="N440" s="234"/>
      <c r="O440" s="238"/>
      <c r="P440" s="243"/>
      <c r="Q440" s="244"/>
      <c r="R440" s="301"/>
      <c r="S440" s="250"/>
      <c r="T440" s="301"/>
      <c r="U440" s="250"/>
      <c r="V440" s="301"/>
      <c r="W440" s="250"/>
      <c r="X440" s="254"/>
      <c r="Y440" s="301"/>
      <c r="Z440" s="258"/>
      <c r="AA440" s="250"/>
      <c r="AB440" s="301"/>
      <c r="AC440" s="305"/>
      <c r="AD440" s="262"/>
      <c r="AE440" s="262"/>
      <c r="AF440" s="283"/>
    </row>
    <row r="441" spans="2:32" hidden="1">
      <c r="B441" s="267"/>
      <c r="C441" s="219"/>
      <c r="D441" s="219"/>
      <c r="E441" s="219"/>
      <c r="F441" s="219"/>
      <c r="G441" s="222"/>
      <c r="H441" s="227"/>
      <c r="I441" s="227"/>
      <c r="J441" s="217"/>
      <c r="K441" s="217"/>
      <c r="L441" s="217"/>
      <c r="M441" s="231"/>
      <c r="N441" s="235"/>
      <c r="O441" s="239"/>
      <c r="P441" s="245"/>
      <c r="Q441" s="246"/>
      <c r="R441" s="302"/>
      <c r="S441" s="251"/>
      <c r="T441" s="302"/>
      <c r="U441" s="251"/>
      <c r="V441" s="302"/>
      <c r="W441" s="251"/>
      <c r="X441" s="255"/>
      <c r="Y441" s="302"/>
      <c r="Z441" s="259"/>
      <c r="AA441" s="251"/>
      <c r="AB441" s="302"/>
      <c r="AC441" s="306"/>
      <c r="AD441" s="261"/>
      <c r="AE441" s="261"/>
      <c r="AF441" s="282"/>
    </row>
    <row r="442" spans="2:32" hidden="1">
      <c r="B442" s="266"/>
      <c r="C442" s="220"/>
      <c r="D442" s="220"/>
      <c r="E442" s="220"/>
      <c r="F442" s="220"/>
      <c r="G442" s="223"/>
      <c r="H442" s="226"/>
      <c r="I442" s="226"/>
      <c r="J442" s="216"/>
      <c r="K442" s="216"/>
      <c r="L442" s="216"/>
      <c r="M442" s="230"/>
      <c r="N442" s="234"/>
      <c r="O442" s="238"/>
      <c r="P442" s="243"/>
      <c r="Q442" s="244"/>
      <c r="R442" s="301"/>
      <c r="S442" s="250"/>
      <c r="T442" s="301"/>
      <c r="U442" s="250"/>
      <c r="V442" s="301"/>
      <c r="W442" s="250"/>
      <c r="X442" s="254"/>
      <c r="Y442" s="301"/>
      <c r="Z442" s="258"/>
      <c r="AA442" s="250"/>
      <c r="AB442" s="301"/>
      <c r="AC442" s="305"/>
      <c r="AD442" s="262"/>
      <c r="AE442" s="262"/>
      <c r="AF442" s="283"/>
    </row>
    <row r="443" spans="2:32" hidden="1">
      <c r="B443" s="267"/>
      <c r="C443" s="219"/>
      <c r="D443" s="219"/>
      <c r="E443" s="219"/>
      <c r="F443" s="219"/>
      <c r="G443" s="222"/>
      <c r="H443" s="227"/>
      <c r="I443" s="227"/>
      <c r="J443" s="217"/>
      <c r="K443" s="217"/>
      <c r="L443" s="217"/>
      <c r="M443" s="231"/>
      <c r="N443" s="235"/>
      <c r="O443" s="239"/>
      <c r="P443" s="245"/>
      <c r="Q443" s="246"/>
      <c r="R443" s="302"/>
      <c r="S443" s="251"/>
      <c r="T443" s="302"/>
      <c r="U443" s="251"/>
      <c r="V443" s="302"/>
      <c r="W443" s="251"/>
      <c r="X443" s="255"/>
      <c r="Y443" s="302"/>
      <c r="Z443" s="259"/>
      <c r="AA443" s="251"/>
      <c r="AB443" s="302"/>
      <c r="AC443" s="306"/>
      <c r="AD443" s="261"/>
      <c r="AE443" s="261"/>
      <c r="AF443" s="282"/>
    </row>
    <row r="444" spans="2:32" hidden="1">
      <c r="B444" s="266"/>
      <c r="C444" s="220"/>
      <c r="D444" s="220"/>
      <c r="E444" s="220"/>
      <c r="F444" s="220"/>
      <c r="G444" s="223"/>
      <c r="H444" s="226"/>
      <c r="I444" s="226"/>
      <c r="J444" s="216"/>
      <c r="K444" s="216"/>
      <c r="L444" s="216"/>
      <c r="M444" s="230"/>
      <c r="N444" s="234"/>
      <c r="O444" s="238"/>
      <c r="P444" s="243"/>
      <c r="Q444" s="244"/>
      <c r="R444" s="301"/>
      <c r="S444" s="250"/>
      <c r="T444" s="301"/>
      <c r="U444" s="250"/>
      <c r="V444" s="301"/>
      <c r="W444" s="250"/>
      <c r="X444" s="254"/>
      <c r="Y444" s="301"/>
      <c r="Z444" s="258"/>
      <c r="AA444" s="250"/>
      <c r="AB444" s="301"/>
      <c r="AC444" s="305"/>
      <c r="AD444" s="262"/>
      <c r="AE444" s="262"/>
      <c r="AF444" s="283"/>
    </row>
    <row r="445" spans="2:32" hidden="1">
      <c r="B445" s="267"/>
      <c r="C445" s="219"/>
      <c r="D445" s="219"/>
      <c r="E445" s="219"/>
      <c r="F445" s="219"/>
      <c r="G445" s="222"/>
      <c r="H445" s="227"/>
      <c r="I445" s="227"/>
      <c r="J445" s="217"/>
      <c r="K445" s="217"/>
      <c r="L445" s="217"/>
      <c r="M445" s="231"/>
      <c r="N445" s="235"/>
      <c r="O445" s="239"/>
      <c r="P445" s="245"/>
      <c r="Q445" s="246"/>
      <c r="R445" s="302"/>
      <c r="S445" s="251"/>
      <c r="T445" s="302"/>
      <c r="U445" s="251"/>
      <c r="V445" s="302"/>
      <c r="W445" s="251"/>
      <c r="X445" s="255"/>
      <c r="Y445" s="302"/>
      <c r="Z445" s="259"/>
      <c r="AA445" s="251"/>
      <c r="AB445" s="302"/>
      <c r="AC445" s="306"/>
      <c r="AD445" s="261"/>
      <c r="AE445" s="261"/>
      <c r="AF445" s="282"/>
    </row>
    <row r="446" spans="2:32" hidden="1">
      <c r="B446" s="266"/>
      <c r="C446" s="220"/>
      <c r="D446" s="220"/>
      <c r="E446" s="220"/>
      <c r="F446" s="220"/>
      <c r="G446" s="223"/>
      <c r="H446" s="226"/>
      <c r="I446" s="226"/>
      <c r="J446" s="216"/>
      <c r="K446" s="216"/>
      <c r="L446" s="216"/>
      <c r="M446" s="230"/>
      <c r="N446" s="234"/>
      <c r="O446" s="238"/>
      <c r="P446" s="243"/>
      <c r="Q446" s="244"/>
      <c r="R446" s="301"/>
      <c r="S446" s="250"/>
      <c r="T446" s="301"/>
      <c r="U446" s="250"/>
      <c r="V446" s="301"/>
      <c r="W446" s="250"/>
      <c r="X446" s="254"/>
      <c r="Y446" s="301"/>
      <c r="Z446" s="258"/>
      <c r="AA446" s="250"/>
      <c r="AB446" s="301"/>
      <c r="AC446" s="305"/>
      <c r="AD446" s="262"/>
      <c r="AE446" s="262"/>
      <c r="AF446" s="283"/>
    </row>
    <row r="447" spans="2:32" hidden="1">
      <c r="B447" s="267"/>
      <c r="C447" s="219"/>
      <c r="D447" s="219"/>
      <c r="E447" s="219"/>
      <c r="F447" s="219"/>
      <c r="G447" s="222"/>
      <c r="H447" s="227"/>
      <c r="I447" s="227"/>
      <c r="J447" s="217"/>
      <c r="K447" s="217"/>
      <c r="L447" s="217"/>
      <c r="M447" s="231"/>
      <c r="N447" s="235"/>
      <c r="O447" s="239"/>
      <c r="P447" s="245"/>
      <c r="Q447" s="246"/>
      <c r="R447" s="302"/>
      <c r="S447" s="251"/>
      <c r="T447" s="302"/>
      <c r="U447" s="251"/>
      <c r="V447" s="302"/>
      <c r="W447" s="251"/>
      <c r="X447" s="255"/>
      <c r="Y447" s="302"/>
      <c r="Z447" s="259"/>
      <c r="AA447" s="251"/>
      <c r="AB447" s="302"/>
      <c r="AC447" s="306"/>
      <c r="AD447" s="261"/>
      <c r="AE447" s="261"/>
      <c r="AF447" s="282"/>
    </row>
    <row r="448" spans="2:32" hidden="1">
      <c r="B448" s="266"/>
      <c r="C448" s="220"/>
      <c r="D448" s="220"/>
      <c r="E448" s="220"/>
      <c r="F448" s="220"/>
      <c r="G448" s="223"/>
      <c r="H448" s="226"/>
      <c r="I448" s="226"/>
      <c r="J448" s="216"/>
      <c r="K448" s="216"/>
      <c r="L448" s="216"/>
      <c r="M448" s="230"/>
      <c r="N448" s="234"/>
      <c r="O448" s="238"/>
      <c r="P448" s="243"/>
      <c r="Q448" s="244"/>
      <c r="R448" s="301"/>
      <c r="S448" s="250"/>
      <c r="T448" s="301"/>
      <c r="U448" s="250"/>
      <c r="V448" s="301"/>
      <c r="W448" s="250"/>
      <c r="X448" s="254"/>
      <c r="Y448" s="301"/>
      <c r="Z448" s="258"/>
      <c r="AA448" s="250"/>
      <c r="AB448" s="301"/>
      <c r="AC448" s="305"/>
      <c r="AD448" s="262"/>
      <c r="AE448" s="262"/>
      <c r="AF448" s="283"/>
    </row>
    <row r="449" spans="2:32" hidden="1">
      <c r="B449" s="267"/>
      <c r="C449" s="219"/>
      <c r="D449" s="219"/>
      <c r="E449" s="219"/>
      <c r="F449" s="219"/>
      <c r="G449" s="222"/>
      <c r="H449" s="227"/>
      <c r="I449" s="227"/>
      <c r="J449" s="217"/>
      <c r="K449" s="217"/>
      <c r="L449" s="217"/>
      <c r="M449" s="231"/>
      <c r="N449" s="235"/>
      <c r="O449" s="239"/>
      <c r="P449" s="245"/>
      <c r="Q449" s="246"/>
      <c r="R449" s="302"/>
      <c r="S449" s="251"/>
      <c r="T449" s="302"/>
      <c r="U449" s="251"/>
      <c r="V449" s="302"/>
      <c r="W449" s="251"/>
      <c r="X449" s="255"/>
      <c r="Y449" s="302"/>
      <c r="Z449" s="259"/>
      <c r="AA449" s="251"/>
      <c r="AB449" s="302"/>
      <c r="AC449" s="306"/>
      <c r="AD449" s="261"/>
      <c r="AE449" s="261"/>
      <c r="AF449" s="282"/>
    </row>
    <row r="450" spans="2:32" hidden="1">
      <c r="B450" s="266"/>
      <c r="C450" s="220"/>
      <c r="D450" s="220"/>
      <c r="E450" s="220"/>
      <c r="F450" s="220"/>
      <c r="G450" s="223"/>
      <c r="H450" s="226"/>
      <c r="I450" s="226"/>
      <c r="J450" s="216"/>
      <c r="K450" s="216"/>
      <c r="L450" s="216"/>
      <c r="M450" s="230"/>
      <c r="N450" s="234"/>
      <c r="O450" s="238"/>
      <c r="P450" s="243"/>
      <c r="Q450" s="244"/>
      <c r="R450" s="301"/>
      <c r="S450" s="250"/>
      <c r="T450" s="301"/>
      <c r="U450" s="250"/>
      <c r="V450" s="301"/>
      <c r="W450" s="250"/>
      <c r="X450" s="254"/>
      <c r="Y450" s="301"/>
      <c r="Z450" s="258"/>
      <c r="AA450" s="250"/>
      <c r="AB450" s="301"/>
      <c r="AC450" s="305"/>
      <c r="AD450" s="262"/>
      <c r="AE450" s="262"/>
      <c r="AF450" s="283"/>
    </row>
    <row r="451" spans="2:32" hidden="1">
      <c r="B451" s="267"/>
      <c r="C451" s="219"/>
      <c r="D451" s="219"/>
      <c r="E451" s="219"/>
      <c r="F451" s="219"/>
      <c r="G451" s="222"/>
      <c r="H451" s="227"/>
      <c r="I451" s="227"/>
      <c r="J451" s="217"/>
      <c r="K451" s="217"/>
      <c r="L451" s="217"/>
      <c r="M451" s="231"/>
      <c r="N451" s="235"/>
      <c r="O451" s="239"/>
      <c r="P451" s="245"/>
      <c r="Q451" s="246"/>
      <c r="R451" s="302"/>
      <c r="S451" s="251"/>
      <c r="T451" s="302"/>
      <c r="U451" s="251"/>
      <c r="V451" s="302"/>
      <c r="W451" s="251"/>
      <c r="X451" s="255"/>
      <c r="Y451" s="302"/>
      <c r="Z451" s="259"/>
      <c r="AA451" s="251"/>
      <c r="AB451" s="302"/>
      <c r="AC451" s="306"/>
      <c r="AD451" s="261"/>
      <c r="AE451" s="261"/>
      <c r="AF451" s="282"/>
    </row>
    <row r="452" spans="2:32" hidden="1">
      <c r="B452" s="266"/>
      <c r="C452" s="220"/>
      <c r="D452" s="220"/>
      <c r="E452" s="220"/>
      <c r="F452" s="220"/>
      <c r="G452" s="223"/>
      <c r="H452" s="226"/>
      <c r="I452" s="226"/>
      <c r="J452" s="216"/>
      <c r="K452" s="216"/>
      <c r="L452" s="216"/>
      <c r="M452" s="230"/>
      <c r="N452" s="234"/>
      <c r="O452" s="238"/>
      <c r="P452" s="243"/>
      <c r="Q452" s="244"/>
      <c r="R452" s="301"/>
      <c r="S452" s="250"/>
      <c r="T452" s="301"/>
      <c r="U452" s="250"/>
      <c r="V452" s="301"/>
      <c r="W452" s="250"/>
      <c r="X452" s="254"/>
      <c r="Y452" s="301"/>
      <c r="Z452" s="258"/>
      <c r="AA452" s="250"/>
      <c r="AB452" s="301"/>
      <c r="AC452" s="305"/>
      <c r="AD452" s="262"/>
      <c r="AE452" s="262"/>
      <c r="AF452" s="283"/>
    </row>
    <row r="453" spans="2:32" hidden="1">
      <c r="B453" s="267"/>
      <c r="C453" s="219"/>
      <c r="D453" s="219"/>
      <c r="E453" s="219"/>
      <c r="F453" s="219"/>
      <c r="G453" s="222"/>
      <c r="H453" s="227"/>
      <c r="I453" s="227"/>
      <c r="J453" s="217"/>
      <c r="K453" s="217"/>
      <c r="L453" s="217"/>
      <c r="M453" s="231"/>
      <c r="N453" s="235"/>
      <c r="O453" s="239"/>
      <c r="P453" s="245"/>
      <c r="Q453" s="246"/>
      <c r="R453" s="302"/>
      <c r="S453" s="251"/>
      <c r="T453" s="302"/>
      <c r="U453" s="251"/>
      <c r="V453" s="302"/>
      <c r="W453" s="251"/>
      <c r="X453" s="255"/>
      <c r="Y453" s="302"/>
      <c r="Z453" s="259"/>
      <c r="AA453" s="251"/>
      <c r="AB453" s="302"/>
      <c r="AC453" s="306"/>
      <c r="AD453" s="261"/>
      <c r="AE453" s="261"/>
      <c r="AF453" s="282"/>
    </row>
    <row r="454" spans="2:32" hidden="1">
      <c r="B454" s="266"/>
      <c r="C454" s="220"/>
      <c r="D454" s="220"/>
      <c r="E454" s="220"/>
      <c r="F454" s="220"/>
      <c r="G454" s="223"/>
      <c r="H454" s="226"/>
      <c r="I454" s="226"/>
      <c r="J454" s="216"/>
      <c r="K454" s="216"/>
      <c r="L454" s="216"/>
      <c r="M454" s="230"/>
      <c r="N454" s="234"/>
      <c r="O454" s="238"/>
      <c r="P454" s="243"/>
      <c r="Q454" s="244"/>
      <c r="R454" s="301"/>
      <c r="S454" s="250"/>
      <c r="T454" s="301"/>
      <c r="U454" s="250"/>
      <c r="V454" s="301"/>
      <c r="W454" s="250"/>
      <c r="X454" s="254"/>
      <c r="Y454" s="301"/>
      <c r="Z454" s="258"/>
      <c r="AA454" s="250"/>
      <c r="AB454" s="301"/>
      <c r="AC454" s="305"/>
      <c r="AD454" s="262"/>
      <c r="AE454" s="262"/>
      <c r="AF454" s="283"/>
    </row>
    <row r="455" spans="2:32" hidden="1">
      <c r="B455" s="267"/>
      <c r="C455" s="219"/>
      <c r="D455" s="219"/>
      <c r="E455" s="219"/>
      <c r="F455" s="219"/>
      <c r="G455" s="222"/>
      <c r="H455" s="227"/>
      <c r="I455" s="227"/>
      <c r="J455" s="217"/>
      <c r="K455" s="217"/>
      <c r="L455" s="217"/>
      <c r="M455" s="231"/>
      <c r="N455" s="235"/>
      <c r="O455" s="239"/>
      <c r="P455" s="245"/>
      <c r="Q455" s="246"/>
      <c r="R455" s="302"/>
      <c r="S455" s="251"/>
      <c r="T455" s="302"/>
      <c r="U455" s="251"/>
      <c r="V455" s="302"/>
      <c r="W455" s="251"/>
      <c r="X455" s="255"/>
      <c r="Y455" s="302"/>
      <c r="Z455" s="259"/>
      <c r="AA455" s="251"/>
      <c r="AB455" s="302"/>
      <c r="AC455" s="306"/>
      <c r="AD455" s="261"/>
      <c r="AE455" s="261"/>
      <c r="AF455" s="282"/>
    </row>
    <row r="456" spans="2:32" hidden="1">
      <c r="B456" s="266"/>
      <c r="C456" s="220"/>
      <c r="D456" s="220"/>
      <c r="E456" s="220"/>
      <c r="F456" s="220"/>
      <c r="G456" s="223"/>
      <c r="H456" s="226"/>
      <c r="I456" s="226"/>
      <c r="J456" s="216"/>
      <c r="K456" s="216"/>
      <c r="L456" s="216"/>
      <c r="M456" s="230"/>
      <c r="N456" s="234"/>
      <c r="O456" s="238"/>
      <c r="P456" s="243"/>
      <c r="Q456" s="244"/>
      <c r="R456" s="301"/>
      <c r="S456" s="250"/>
      <c r="T456" s="301"/>
      <c r="U456" s="250"/>
      <c r="V456" s="301"/>
      <c r="W456" s="250"/>
      <c r="X456" s="254"/>
      <c r="Y456" s="301"/>
      <c r="Z456" s="258"/>
      <c r="AA456" s="250"/>
      <c r="AB456" s="301"/>
      <c r="AC456" s="305"/>
      <c r="AD456" s="262"/>
      <c r="AE456" s="262"/>
      <c r="AF456" s="283"/>
    </row>
    <row r="457" spans="2:32" hidden="1">
      <c r="B457" s="267"/>
      <c r="C457" s="219"/>
      <c r="D457" s="219"/>
      <c r="E457" s="219"/>
      <c r="F457" s="219"/>
      <c r="G457" s="222"/>
      <c r="H457" s="227"/>
      <c r="I457" s="227"/>
      <c r="J457" s="217"/>
      <c r="K457" s="217"/>
      <c r="L457" s="217"/>
      <c r="M457" s="231"/>
      <c r="N457" s="235"/>
      <c r="O457" s="239"/>
      <c r="P457" s="245"/>
      <c r="Q457" s="246"/>
      <c r="R457" s="302"/>
      <c r="S457" s="251"/>
      <c r="T457" s="302"/>
      <c r="U457" s="251"/>
      <c r="V457" s="302"/>
      <c r="W457" s="251"/>
      <c r="X457" s="255"/>
      <c r="Y457" s="302"/>
      <c r="Z457" s="259"/>
      <c r="AA457" s="251"/>
      <c r="AB457" s="302"/>
      <c r="AC457" s="306"/>
      <c r="AD457" s="261"/>
      <c r="AE457" s="261"/>
      <c r="AF457" s="282"/>
    </row>
    <row r="458" spans="2:32" hidden="1">
      <c r="B458" s="266"/>
      <c r="C458" s="220"/>
      <c r="D458" s="220"/>
      <c r="E458" s="220"/>
      <c r="F458" s="220"/>
      <c r="G458" s="223"/>
      <c r="H458" s="226"/>
      <c r="I458" s="226"/>
      <c r="J458" s="216"/>
      <c r="K458" s="216"/>
      <c r="L458" s="216"/>
      <c r="M458" s="230"/>
      <c r="N458" s="234"/>
      <c r="O458" s="238"/>
      <c r="P458" s="243"/>
      <c r="Q458" s="244"/>
      <c r="R458" s="301"/>
      <c r="S458" s="250"/>
      <c r="T458" s="301"/>
      <c r="U458" s="250"/>
      <c r="V458" s="301"/>
      <c r="W458" s="250"/>
      <c r="X458" s="254"/>
      <c r="Y458" s="301"/>
      <c r="Z458" s="258"/>
      <c r="AA458" s="250"/>
      <c r="AB458" s="301"/>
      <c r="AC458" s="305"/>
      <c r="AD458" s="262"/>
      <c r="AE458" s="262"/>
      <c r="AF458" s="283"/>
    </row>
    <row r="459" spans="2:32" hidden="1">
      <c r="B459" s="267"/>
      <c r="C459" s="219"/>
      <c r="D459" s="219"/>
      <c r="E459" s="219"/>
      <c r="F459" s="219"/>
      <c r="G459" s="222"/>
      <c r="H459" s="227"/>
      <c r="I459" s="227"/>
      <c r="J459" s="217"/>
      <c r="K459" s="217"/>
      <c r="L459" s="217"/>
      <c r="M459" s="231"/>
      <c r="N459" s="235"/>
      <c r="O459" s="239"/>
      <c r="P459" s="245"/>
      <c r="Q459" s="246"/>
      <c r="R459" s="302"/>
      <c r="S459" s="251"/>
      <c r="T459" s="302"/>
      <c r="U459" s="251"/>
      <c r="V459" s="302"/>
      <c r="W459" s="251"/>
      <c r="X459" s="255"/>
      <c r="Y459" s="302"/>
      <c r="Z459" s="259"/>
      <c r="AA459" s="251"/>
      <c r="AB459" s="302"/>
      <c r="AC459" s="306"/>
      <c r="AD459" s="261"/>
      <c r="AE459" s="261"/>
      <c r="AF459" s="282"/>
    </row>
    <row r="460" spans="2:32" hidden="1">
      <c r="B460" s="266"/>
      <c r="C460" s="220"/>
      <c r="D460" s="220"/>
      <c r="E460" s="220"/>
      <c r="F460" s="220"/>
      <c r="G460" s="223"/>
      <c r="H460" s="226"/>
      <c r="I460" s="226"/>
      <c r="J460" s="216"/>
      <c r="K460" s="216"/>
      <c r="L460" s="216"/>
      <c r="M460" s="230"/>
      <c r="N460" s="234"/>
      <c r="O460" s="238"/>
      <c r="P460" s="243"/>
      <c r="Q460" s="244"/>
      <c r="R460" s="301"/>
      <c r="S460" s="250"/>
      <c r="T460" s="301"/>
      <c r="U460" s="250"/>
      <c r="V460" s="301"/>
      <c r="W460" s="250"/>
      <c r="X460" s="254"/>
      <c r="Y460" s="301"/>
      <c r="Z460" s="258"/>
      <c r="AA460" s="250"/>
      <c r="AB460" s="301"/>
      <c r="AC460" s="305"/>
      <c r="AD460" s="262"/>
      <c r="AE460" s="262"/>
      <c r="AF460" s="283"/>
    </row>
    <row r="461" spans="2:32" hidden="1">
      <c r="B461" s="267"/>
      <c r="C461" s="219"/>
      <c r="D461" s="219"/>
      <c r="E461" s="219"/>
      <c r="F461" s="219"/>
      <c r="G461" s="222"/>
      <c r="H461" s="227"/>
      <c r="I461" s="227"/>
      <c r="J461" s="217"/>
      <c r="K461" s="217"/>
      <c r="L461" s="217"/>
      <c r="M461" s="231"/>
      <c r="N461" s="235"/>
      <c r="O461" s="239"/>
      <c r="P461" s="245"/>
      <c r="Q461" s="246"/>
      <c r="R461" s="302"/>
      <c r="S461" s="251"/>
      <c r="T461" s="302"/>
      <c r="U461" s="251"/>
      <c r="V461" s="302"/>
      <c r="W461" s="251"/>
      <c r="X461" s="255"/>
      <c r="Y461" s="302"/>
      <c r="Z461" s="259"/>
      <c r="AA461" s="251"/>
      <c r="AB461" s="302"/>
      <c r="AC461" s="306"/>
      <c r="AD461" s="261"/>
      <c r="AE461" s="261"/>
      <c r="AF461" s="282"/>
    </row>
    <row r="462" spans="2:32" hidden="1">
      <c r="B462" s="266"/>
      <c r="C462" s="220"/>
      <c r="D462" s="220"/>
      <c r="E462" s="220"/>
      <c r="F462" s="220"/>
      <c r="G462" s="223"/>
      <c r="H462" s="226"/>
      <c r="I462" s="226"/>
      <c r="J462" s="216"/>
      <c r="K462" s="216"/>
      <c r="L462" s="216"/>
      <c r="M462" s="230"/>
      <c r="N462" s="234"/>
      <c r="O462" s="238"/>
      <c r="P462" s="243"/>
      <c r="Q462" s="244"/>
      <c r="R462" s="301"/>
      <c r="S462" s="250"/>
      <c r="T462" s="301"/>
      <c r="U462" s="250"/>
      <c r="V462" s="301"/>
      <c r="W462" s="250"/>
      <c r="X462" s="254"/>
      <c r="Y462" s="301"/>
      <c r="Z462" s="258"/>
      <c r="AA462" s="250"/>
      <c r="AB462" s="301"/>
      <c r="AC462" s="305"/>
      <c r="AD462" s="262"/>
      <c r="AE462" s="262"/>
      <c r="AF462" s="283"/>
    </row>
    <row r="463" spans="2:32" hidden="1">
      <c r="B463" s="267"/>
      <c r="C463" s="219"/>
      <c r="D463" s="219"/>
      <c r="E463" s="219"/>
      <c r="F463" s="219"/>
      <c r="G463" s="222"/>
      <c r="H463" s="227"/>
      <c r="I463" s="227"/>
      <c r="J463" s="217"/>
      <c r="K463" s="217"/>
      <c r="L463" s="217"/>
      <c r="M463" s="231"/>
      <c r="N463" s="235"/>
      <c r="O463" s="239"/>
      <c r="P463" s="245"/>
      <c r="Q463" s="246"/>
      <c r="R463" s="302"/>
      <c r="S463" s="251"/>
      <c r="T463" s="302"/>
      <c r="U463" s="251"/>
      <c r="V463" s="302"/>
      <c r="W463" s="251"/>
      <c r="X463" s="255"/>
      <c r="Y463" s="302"/>
      <c r="Z463" s="259"/>
      <c r="AA463" s="251"/>
      <c r="AB463" s="302"/>
      <c r="AC463" s="306"/>
      <c r="AD463" s="261"/>
      <c r="AE463" s="261"/>
      <c r="AF463" s="282"/>
    </row>
    <row r="464" spans="2:32" hidden="1">
      <c r="B464" s="266"/>
      <c r="C464" s="220"/>
      <c r="D464" s="220"/>
      <c r="E464" s="220"/>
      <c r="F464" s="220"/>
      <c r="G464" s="223"/>
      <c r="H464" s="226"/>
      <c r="I464" s="226"/>
      <c r="J464" s="216"/>
      <c r="K464" s="216"/>
      <c r="L464" s="216"/>
      <c r="M464" s="230"/>
      <c r="N464" s="234"/>
      <c r="O464" s="238"/>
      <c r="P464" s="243"/>
      <c r="Q464" s="244"/>
      <c r="R464" s="301"/>
      <c r="S464" s="250"/>
      <c r="T464" s="301"/>
      <c r="U464" s="250"/>
      <c r="V464" s="301"/>
      <c r="W464" s="250"/>
      <c r="X464" s="254"/>
      <c r="Y464" s="301"/>
      <c r="Z464" s="258"/>
      <c r="AA464" s="250"/>
      <c r="AB464" s="301"/>
      <c r="AC464" s="305"/>
      <c r="AD464" s="262"/>
      <c r="AE464" s="262"/>
      <c r="AF464" s="283"/>
    </row>
    <row r="465" spans="2:32" hidden="1">
      <c r="B465" s="267"/>
      <c r="C465" s="219"/>
      <c r="D465" s="219"/>
      <c r="E465" s="219"/>
      <c r="F465" s="219"/>
      <c r="G465" s="222"/>
      <c r="H465" s="227"/>
      <c r="I465" s="227"/>
      <c r="J465" s="217"/>
      <c r="K465" s="217"/>
      <c r="L465" s="217"/>
      <c r="M465" s="231"/>
      <c r="N465" s="235"/>
      <c r="O465" s="239"/>
      <c r="P465" s="245"/>
      <c r="Q465" s="246"/>
      <c r="R465" s="302"/>
      <c r="S465" s="251"/>
      <c r="T465" s="302"/>
      <c r="U465" s="251"/>
      <c r="V465" s="302"/>
      <c r="W465" s="251"/>
      <c r="X465" s="255"/>
      <c r="Y465" s="302"/>
      <c r="Z465" s="259"/>
      <c r="AA465" s="251"/>
      <c r="AB465" s="302"/>
      <c r="AC465" s="306"/>
      <c r="AD465" s="261"/>
      <c r="AE465" s="261"/>
      <c r="AF465" s="282"/>
    </row>
    <row r="466" spans="2:32" hidden="1">
      <c r="B466" s="266"/>
      <c r="C466" s="220"/>
      <c r="D466" s="220"/>
      <c r="E466" s="220"/>
      <c r="F466" s="220"/>
      <c r="G466" s="223"/>
      <c r="H466" s="226"/>
      <c r="I466" s="226"/>
      <c r="J466" s="216"/>
      <c r="K466" s="216"/>
      <c r="L466" s="216"/>
      <c r="M466" s="230"/>
      <c r="N466" s="234"/>
      <c r="O466" s="238"/>
      <c r="P466" s="243"/>
      <c r="Q466" s="244"/>
      <c r="R466" s="301"/>
      <c r="S466" s="250"/>
      <c r="T466" s="301"/>
      <c r="U466" s="250"/>
      <c r="V466" s="301"/>
      <c r="W466" s="250"/>
      <c r="X466" s="254"/>
      <c r="Y466" s="301"/>
      <c r="Z466" s="258"/>
      <c r="AA466" s="250"/>
      <c r="AB466" s="301"/>
      <c r="AC466" s="305"/>
      <c r="AD466" s="262"/>
      <c r="AE466" s="262"/>
      <c r="AF466" s="283"/>
    </row>
    <row r="467" spans="2:32" hidden="1">
      <c r="B467" s="267"/>
      <c r="C467" s="219"/>
      <c r="D467" s="219"/>
      <c r="E467" s="219"/>
      <c r="F467" s="219"/>
      <c r="G467" s="222"/>
      <c r="H467" s="227"/>
      <c r="I467" s="227"/>
      <c r="J467" s="217"/>
      <c r="K467" s="217"/>
      <c r="L467" s="217"/>
      <c r="M467" s="231"/>
      <c r="N467" s="235"/>
      <c r="O467" s="239"/>
      <c r="P467" s="245"/>
      <c r="Q467" s="246"/>
      <c r="R467" s="302"/>
      <c r="S467" s="251"/>
      <c r="T467" s="302"/>
      <c r="U467" s="251"/>
      <c r="V467" s="302"/>
      <c r="W467" s="251"/>
      <c r="X467" s="255"/>
      <c r="Y467" s="302"/>
      <c r="Z467" s="259"/>
      <c r="AA467" s="251"/>
      <c r="AB467" s="302"/>
      <c r="AC467" s="306"/>
      <c r="AD467" s="261"/>
      <c r="AE467" s="261"/>
      <c r="AF467" s="282"/>
    </row>
    <row r="468" spans="2:32" hidden="1">
      <c r="B468" s="266"/>
      <c r="C468" s="220"/>
      <c r="D468" s="220"/>
      <c r="E468" s="220"/>
      <c r="F468" s="220"/>
      <c r="G468" s="223"/>
      <c r="H468" s="226"/>
      <c r="I468" s="226"/>
      <c r="J468" s="216"/>
      <c r="K468" s="216"/>
      <c r="L468" s="216"/>
      <c r="M468" s="230"/>
      <c r="N468" s="234"/>
      <c r="O468" s="238"/>
      <c r="P468" s="243"/>
      <c r="Q468" s="244"/>
      <c r="R468" s="301"/>
      <c r="S468" s="250"/>
      <c r="T468" s="301"/>
      <c r="U468" s="250"/>
      <c r="V468" s="301"/>
      <c r="W468" s="250"/>
      <c r="X468" s="254"/>
      <c r="Y468" s="301"/>
      <c r="Z468" s="258"/>
      <c r="AA468" s="250"/>
      <c r="AB468" s="301"/>
      <c r="AC468" s="305"/>
      <c r="AD468" s="262"/>
      <c r="AE468" s="262"/>
      <c r="AF468" s="283"/>
    </row>
    <row r="469" spans="2:32" hidden="1">
      <c r="B469" s="267"/>
      <c r="C469" s="219"/>
      <c r="D469" s="219"/>
      <c r="E469" s="219"/>
      <c r="F469" s="219"/>
      <c r="G469" s="222"/>
      <c r="H469" s="227"/>
      <c r="I469" s="227"/>
      <c r="J469" s="217"/>
      <c r="K469" s="217"/>
      <c r="L469" s="217"/>
      <c r="M469" s="231"/>
      <c r="N469" s="235"/>
      <c r="O469" s="239"/>
      <c r="P469" s="245"/>
      <c r="Q469" s="246"/>
      <c r="R469" s="302"/>
      <c r="S469" s="251"/>
      <c r="T469" s="302"/>
      <c r="U469" s="251"/>
      <c r="V469" s="302"/>
      <c r="W469" s="251"/>
      <c r="X469" s="255"/>
      <c r="Y469" s="302"/>
      <c r="Z469" s="259"/>
      <c r="AA469" s="251"/>
      <c r="AB469" s="302"/>
      <c r="AC469" s="306"/>
      <c r="AD469" s="261"/>
      <c r="AE469" s="261"/>
      <c r="AF469" s="282"/>
    </row>
    <row r="470" spans="2:32" hidden="1">
      <c r="B470" s="266"/>
      <c r="C470" s="220"/>
      <c r="D470" s="220"/>
      <c r="E470" s="220"/>
      <c r="F470" s="220"/>
      <c r="G470" s="223"/>
      <c r="H470" s="226"/>
      <c r="I470" s="226"/>
      <c r="J470" s="216"/>
      <c r="K470" s="216"/>
      <c r="L470" s="216"/>
      <c r="M470" s="230"/>
      <c r="N470" s="234"/>
      <c r="O470" s="238"/>
      <c r="P470" s="243"/>
      <c r="Q470" s="244"/>
      <c r="R470" s="301"/>
      <c r="S470" s="250"/>
      <c r="T470" s="301"/>
      <c r="U470" s="250"/>
      <c r="V470" s="301"/>
      <c r="W470" s="250"/>
      <c r="X470" s="254"/>
      <c r="Y470" s="301"/>
      <c r="Z470" s="258"/>
      <c r="AA470" s="250"/>
      <c r="AB470" s="301"/>
      <c r="AC470" s="305"/>
      <c r="AD470" s="262"/>
      <c r="AE470" s="262"/>
      <c r="AF470" s="283"/>
    </row>
    <row r="471" spans="2:32" hidden="1">
      <c r="B471" s="267"/>
      <c r="C471" s="219"/>
      <c r="D471" s="219"/>
      <c r="E471" s="219"/>
      <c r="F471" s="219"/>
      <c r="G471" s="222"/>
      <c r="H471" s="227"/>
      <c r="I471" s="227"/>
      <c r="J471" s="217"/>
      <c r="K471" s="217"/>
      <c r="L471" s="217"/>
      <c r="M471" s="231"/>
      <c r="N471" s="235"/>
      <c r="O471" s="239"/>
      <c r="P471" s="245"/>
      <c r="Q471" s="246"/>
      <c r="R471" s="302"/>
      <c r="S471" s="251"/>
      <c r="T471" s="302"/>
      <c r="U471" s="251"/>
      <c r="V471" s="302"/>
      <c r="W471" s="251"/>
      <c r="X471" s="255"/>
      <c r="Y471" s="302"/>
      <c r="Z471" s="259"/>
      <c r="AA471" s="251"/>
      <c r="AB471" s="302"/>
      <c r="AC471" s="306"/>
      <c r="AD471" s="261"/>
      <c r="AE471" s="261"/>
      <c r="AF471" s="282"/>
    </row>
    <row r="472" spans="2:32" hidden="1">
      <c r="B472" s="266"/>
      <c r="C472" s="220"/>
      <c r="D472" s="220"/>
      <c r="E472" s="220"/>
      <c r="F472" s="220"/>
      <c r="G472" s="223"/>
      <c r="H472" s="226"/>
      <c r="I472" s="226"/>
      <c r="J472" s="216"/>
      <c r="K472" s="216"/>
      <c r="L472" s="216"/>
      <c r="M472" s="230"/>
      <c r="N472" s="234"/>
      <c r="O472" s="238"/>
      <c r="P472" s="243"/>
      <c r="Q472" s="244"/>
      <c r="R472" s="301"/>
      <c r="S472" s="250"/>
      <c r="T472" s="301"/>
      <c r="U472" s="250"/>
      <c r="V472" s="301"/>
      <c r="W472" s="250"/>
      <c r="X472" s="254"/>
      <c r="Y472" s="301"/>
      <c r="Z472" s="258"/>
      <c r="AA472" s="250"/>
      <c r="AB472" s="301"/>
      <c r="AC472" s="305"/>
      <c r="AD472" s="262"/>
      <c r="AE472" s="262"/>
      <c r="AF472" s="283"/>
    </row>
    <row r="473" spans="2:32" hidden="1">
      <c r="B473" s="267"/>
      <c r="C473" s="219"/>
      <c r="D473" s="219"/>
      <c r="E473" s="219"/>
      <c r="F473" s="219"/>
      <c r="G473" s="222"/>
      <c r="H473" s="227"/>
      <c r="I473" s="227"/>
      <c r="J473" s="217"/>
      <c r="K473" s="217"/>
      <c r="L473" s="217"/>
      <c r="M473" s="231"/>
      <c r="N473" s="235"/>
      <c r="O473" s="239"/>
      <c r="P473" s="245"/>
      <c r="Q473" s="246"/>
      <c r="R473" s="302"/>
      <c r="S473" s="251"/>
      <c r="T473" s="302"/>
      <c r="U473" s="251"/>
      <c r="V473" s="302"/>
      <c r="W473" s="251"/>
      <c r="X473" s="255"/>
      <c r="Y473" s="302"/>
      <c r="Z473" s="259"/>
      <c r="AA473" s="251"/>
      <c r="AB473" s="302"/>
      <c r="AC473" s="306"/>
      <c r="AD473" s="261"/>
      <c r="AE473" s="261"/>
      <c r="AF473" s="282"/>
    </row>
    <row r="474" spans="2:32" hidden="1">
      <c r="B474" s="266"/>
      <c r="C474" s="220"/>
      <c r="D474" s="220"/>
      <c r="E474" s="220"/>
      <c r="F474" s="220"/>
      <c r="G474" s="223"/>
      <c r="H474" s="226"/>
      <c r="I474" s="226"/>
      <c r="J474" s="216"/>
      <c r="K474" s="216"/>
      <c r="L474" s="216"/>
      <c r="M474" s="230"/>
      <c r="N474" s="234"/>
      <c r="O474" s="238"/>
      <c r="P474" s="243"/>
      <c r="Q474" s="244"/>
      <c r="R474" s="301"/>
      <c r="S474" s="250"/>
      <c r="T474" s="301"/>
      <c r="U474" s="250"/>
      <c r="V474" s="301"/>
      <c r="W474" s="250"/>
      <c r="X474" s="254"/>
      <c r="Y474" s="301"/>
      <c r="Z474" s="258"/>
      <c r="AA474" s="250"/>
      <c r="AB474" s="301"/>
      <c r="AC474" s="305"/>
      <c r="AD474" s="262"/>
      <c r="AE474" s="262"/>
      <c r="AF474" s="283"/>
    </row>
    <row r="475" spans="2:32" hidden="1">
      <c r="B475" s="267"/>
      <c r="C475" s="219"/>
      <c r="D475" s="219"/>
      <c r="E475" s="219"/>
      <c r="F475" s="219"/>
      <c r="G475" s="222"/>
      <c r="H475" s="227"/>
      <c r="I475" s="227"/>
      <c r="J475" s="217"/>
      <c r="K475" s="217"/>
      <c r="L475" s="217"/>
      <c r="M475" s="231"/>
      <c r="N475" s="235"/>
      <c r="O475" s="239"/>
      <c r="P475" s="245"/>
      <c r="Q475" s="246"/>
      <c r="R475" s="302"/>
      <c r="S475" s="251"/>
      <c r="T475" s="302"/>
      <c r="U475" s="251"/>
      <c r="V475" s="302"/>
      <c r="W475" s="251"/>
      <c r="X475" s="255"/>
      <c r="Y475" s="302"/>
      <c r="Z475" s="259"/>
      <c r="AA475" s="251"/>
      <c r="AB475" s="302"/>
      <c r="AC475" s="306"/>
      <c r="AD475" s="261"/>
      <c r="AE475" s="261"/>
      <c r="AF475" s="282"/>
    </row>
    <row r="476" spans="2:32" hidden="1">
      <c r="B476" s="266"/>
      <c r="C476" s="220"/>
      <c r="D476" s="220"/>
      <c r="E476" s="220"/>
      <c r="F476" s="220"/>
      <c r="G476" s="223"/>
      <c r="H476" s="226"/>
      <c r="I476" s="226"/>
      <c r="J476" s="216"/>
      <c r="K476" s="216"/>
      <c r="L476" s="216"/>
      <c r="M476" s="230"/>
      <c r="N476" s="234"/>
      <c r="O476" s="238"/>
      <c r="P476" s="243"/>
      <c r="Q476" s="244"/>
      <c r="R476" s="301"/>
      <c r="S476" s="250"/>
      <c r="T476" s="301"/>
      <c r="U476" s="250"/>
      <c r="V476" s="301"/>
      <c r="W476" s="250"/>
      <c r="X476" s="254"/>
      <c r="Y476" s="301"/>
      <c r="Z476" s="258"/>
      <c r="AA476" s="250"/>
      <c r="AB476" s="301"/>
      <c r="AC476" s="305"/>
      <c r="AD476" s="262"/>
      <c r="AE476" s="262"/>
      <c r="AF476" s="283"/>
    </row>
    <row r="477" spans="2:32" hidden="1">
      <c r="B477" s="267"/>
      <c r="C477" s="219"/>
      <c r="D477" s="219"/>
      <c r="E477" s="219"/>
      <c r="F477" s="219"/>
      <c r="G477" s="222"/>
      <c r="H477" s="227"/>
      <c r="I477" s="227"/>
      <c r="J477" s="217"/>
      <c r="K477" s="217"/>
      <c r="L477" s="217"/>
      <c r="M477" s="231"/>
      <c r="N477" s="235"/>
      <c r="O477" s="239"/>
      <c r="P477" s="245"/>
      <c r="Q477" s="246"/>
      <c r="R477" s="302"/>
      <c r="S477" s="251"/>
      <c r="T477" s="302"/>
      <c r="U477" s="251"/>
      <c r="V477" s="302"/>
      <c r="W477" s="251"/>
      <c r="X477" s="255"/>
      <c r="Y477" s="302"/>
      <c r="Z477" s="259"/>
      <c r="AA477" s="251"/>
      <c r="AB477" s="302"/>
      <c r="AC477" s="306"/>
      <c r="AD477" s="261"/>
      <c r="AE477" s="261"/>
      <c r="AF477" s="282"/>
    </row>
    <row r="478" spans="2:32" hidden="1">
      <c r="B478" s="266"/>
      <c r="C478" s="220"/>
      <c r="D478" s="220"/>
      <c r="E478" s="220"/>
      <c r="F478" s="220"/>
      <c r="G478" s="223"/>
      <c r="H478" s="226"/>
      <c r="I478" s="226"/>
      <c r="J478" s="216"/>
      <c r="K478" s="216"/>
      <c r="L478" s="216"/>
      <c r="M478" s="230"/>
      <c r="N478" s="234"/>
      <c r="O478" s="238"/>
      <c r="P478" s="243"/>
      <c r="Q478" s="244"/>
      <c r="R478" s="301"/>
      <c r="S478" s="250"/>
      <c r="T478" s="301"/>
      <c r="U478" s="250"/>
      <c r="V478" s="301"/>
      <c r="W478" s="250"/>
      <c r="X478" s="254"/>
      <c r="Y478" s="301"/>
      <c r="Z478" s="258"/>
      <c r="AA478" s="250"/>
      <c r="AB478" s="301"/>
      <c r="AC478" s="305"/>
      <c r="AD478" s="262"/>
      <c r="AE478" s="262"/>
      <c r="AF478" s="283"/>
    </row>
    <row r="479" spans="2:32" hidden="1">
      <c r="B479" s="267"/>
      <c r="C479" s="219"/>
      <c r="D479" s="219"/>
      <c r="E479" s="219"/>
      <c r="F479" s="219"/>
      <c r="G479" s="222"/>
      <c r="H479" s="227"/>
      <c r="I479" s="227"/>
      <c r="J479" s="217"/>
      <c r="K479" s="217"/>
      <c r="L479" s="217"/>
      <c r="M479" s="231"/>
      <c r="N479" s="235"/>
      <c r="O479" s="239"/>
      <c r="P479" s="245"/>
      <c r="Q479" s="246"/>
      <c r="R479" s="302"/>
      <c r="S479" s="251"/>
      <c r="T479" s="302"/>
      <c r="U479" s="251"/>
      <c r="V479" s="302"/>
      <c r="W479" s="251"/>
      <c r="X479" s="255"/>
      <c r="Y479" s="302"/>
      <c r="Z479" s="259"/>
      <c r="AA479" s="251"/>
      <c r="AB479" s="302"/>
      <c r="AC479" s="306"/>
      <c r="AD479" s="261"/>
      <c r="AE479" s="261"/>
      <c r="AF479" s="282"/>
    </row>
    <row r="480" spans="2:32" hidden="1">
      <c r="B480" s="266"/>
      <c r="C480" s="220"/>
      <c r="D480" s="220"/>
      <c r="E480" s="220"/>
      <c r="F480" s="220"/>
      <c r="G480" s="223"/>
      <c r="H480" s="226"/>
      <c r="I480" s="226"/>
      <c r="J480" s="216"/>
      <c r="K480" s="216"/>
      <c r="L480" s="216"/>
      <c r="M480" s="230"/>
      <c r="N480" s="234"/>
      <c r="O480" s="238"/>
      <c r="P480" s="243"/>
      <c r="Q480" s="244"/>
      <c r="R480" s="301"/>
      <c r="S480" s="250"/>
      <c r="T480" s="301"/>
      <c r="U480" s="250"/>
      <c r="V480" s="301"/>
      <c r="W480" s="250"/>
      <c r="X480" s="254"/>
      <c r="Y480" s="301"/>
      <c r="Z480" s="258"/>
      <c r="AA480" s="250"/>
      <c r="AB480" s="301"/>
      <c r="AC480" s="305"/>
      <c r="AD480" s="262"/>
      <c r="AE480" s="262"/>
      <c r="AF480" s="283"/>
    </row>
    <row r="481" spans="2:32" hidden="1">
      <c r="B481" s="267"/>
      <c r="C481" s="219"/>
      <c r="D481" s="219"/>
      <c r="E481" s="219"/>
      <c r="F481" s="219"/>
      <c r="G481" s="222"/>
      <c r="H481" s="227"/>
      <c r="I481" s="227"/>
      <c r="J481" s="217"/>
      <c r="K481" s="217"/>
      <c r="L481" s="217"/>
      <c r="M481" s="231"/>
      <c r="N481" s="235"/>
      <c r="O481" s="239"/>
      <c r="P481" s="245"/>
      <c r="Q481" s="246"/>
      <c r="R481" s="302"/>
      <c r="S481" s="251"/>
      <c r="T481" s="302"/>
      <c r="U481" s="251"/>
      <c r="V481" s="302"/>
      <c r="W481" s="251"/>
      <c r="X481" s="255"/>
      <c r="Y481" s="302"/>
      <c r="Z481" s="259"/>
      <c r="AA481" s="251"/>
      <c r="AB481" s="302"/>
      <c r="AC481" s="306"/>
      <c r="AD481" s="261"/>
      <c r="AE481" s="261"/>
      <c r="AF481" s="282"/>
    </row>
    <row r="482" spans="2:32" hidden="1">
      <c r="B482" s="266"/>
      <c r="C482" s="220"/>
      <c r="D482" s="220"/>
      <c r="E482" s="220"/>
      <c r="F482" s="220"/>
      <c r="G482" s="223"/>
      <c r="H482" s="226"/>
      <c r="I482" s="226"/>
      <c r="J482" s="216"/>
      <c r="K482" s="216"/>
      <c r="L482" s="216"/>
      <c r="M482" s="230"/>
      <c r="N482" s="234"/>
      <c r="O482" s="238"/>
      <c r="P482" s="243"/>
      <c r="Q482" s="244"/>
      <c r="R482" s="301"/>
      <c r="S482" s="250"/>
      <c r="T482" s="301"/>
      <c r="U482" s="250"/>
      <c r="V482" s="301"/>
      <c r="W482" s="250"/>
      <c r="X482" s="254"/>
      <c r="Y482" s="301"/>
      <c r="Z482" s="258"/>
      <c r="AA482" s="250"/>
      <c r="AB482" s="301"/>
      <c r="AC482" s="305"/>
      <c r="AD482" s="262"/>
      <c r="AE482" s="262"/>
      <c r="AF482" s="283"/>
    </row>
    <row r="483" spans="2:32" hidden="1">
      <c r="B483" s="267"/>
      <c r="C483" s="219"/>
      <c r="D483" s="219"/>
      <c r="E483" s="219"/>
      <c r="F483" s="219"/>
      <c r="G483" s="222"/>
      <c r="H483" s="227"/>
      <c r="I483" s="227"/>
      <c r="J483" s="217"/>
      <c r="K483" s="217"/>
      <c r="L483" s="217"/>
      <c r="M483" s="231"/>
      <c r="N483" s="235"/>
      <c r="O483" s="239"/>
      <c r="P483" s="245"/>
      <c r="Q483" s="246"/>
      <c r="R483" s="302"/>
      <c r="S483" s="251"/>
      <c r="T483" s="302"/>
      <c r="U483" s="251"/>
      <c r="V483" s="302"/>
      <c r="W483" s="251"/>
      <c r="X483" s="255"/>
      <c r="Y483" s="302"/>
      <c r="Z483" s="259"/>
      <c r="AA483" s="251"/>
      <c r="AB483" s="302"/>
      <c r="AC483" s="306"/>
      <c r="AD483" s="261"/>
      <c r="AE483" s="261"/>
      <c r="AF483" s="282"/>
    </row>
    <row r="484" spans="2:32" hidden="1">
      <c r="B484" s="266"/>
      <c r="C484" s="220"/>
      <c r="D484" s="220"/>
      <c r="E484" s="220"/>
      <c r="F484" s="220"/>
      <c r="G484" s="223"/>
      <c r="H484" s="226"/>
      <c r="I484" s="226"/>
      <c r="J484" s="216"/>
      <c r="K484" s="216"/>
      <c r="L484" s="216"/>
      <c r="M484" s="230"/>
      <c r="N484" s="234"/>
      <c r="O484" s="238"/>
      <c r="P484" s="243"/>
      <c r="Q484" s="244"/>
      <c r="R484" s="301"/>
      <c r="S484" s="250"/>
      <c r="T484" s="301"/>
      <c r="U484" s="250"/>
      <c r="V484" s="301"/>
      <c r="W484" s="250"/>
      <c r="X484" s="254"/>
      <c r="Y484" s="301"/>
      <c r="Z484" s="258"/>
      <c r="AA484" s="250"/>
      <c r="AB484" s="301"/>
      <c r="AC484" s="305"/>
      <c r="AD484" s="262"/>
      <c r="AE484" s="262"/>
      <c r="AF484" s="283"/>
    </row>
    <row r="485" spans="2:32" hidden="1">
      <c r="B485" s="267"/>
      <c r="C485" s="219"/>
      <c r="D485" s="219"/>
      <c r="E485" s="219"/>
      <c r="F485" s="219"/>
      <c r="G485" s="222"/>
      <c r="H485" s="227"/>
      <c r="I485" s="227"/>
      <c r="J485" s="217"/>
      <c r="K485" s="217"/>
      <c r="L485" s="217"/>
      <c r="M485" s="231"/>
      <c r="N485" s="235"/>
      <c r="O485" s="239"/>
      <c r="P485" s="245"/>
      <c r="Q485" s="246"/>
      <c r="R485" s="302"/>
      <c r="S485" s="251"/>
      <c r="T485" s="302"/>
      <c r="U485" s="251"/>
      <c r="V485" s="302"/>
      <c r="W485" s="251"/>
      <c r="X485" s="255"/>
      <c r="Y485" s="302"/>
      <c r="Z485" s="259"/>
      <c r="AA485" s="251"/>
      <c r="AB485" s="302"/>
      <c r="AC485" s="306"/>
      <c r="AD485" s="261"/>
      <c r="AE485" s="261"/>
      <c r="AF485" s="282"/>
    </row>
    <row r="486" spans="2:32" hidden="1">
      <c r="B486" s="266"/>
      <c r="C486" s="220"/>
      <c r="D486" s="220"/>
      <c r="E486" s="220"/>
      <c r="F486" s="220"/>
      <c r="G486" s="223"/>
      <c r="H486" s="226"/>
      <c r="I486" s="226"/>
      <c r="J486" s="216"/>
      <c r="K486" s="216"/>
      <c r="L486" s="216"/>
      <c r="M486" s="230"/>
      <c r="N486" s="234"/>
      <c r="O486" s="238"/>
      <c r="P486" s="243"/>
      <c r="Q486" s="244"/>
      <c r="R486" s="301"/>
      <c r="S486" s="250"/>
      <c r="T486" s="301"/>
      <c r="U486" s="250"/>
      <c r="V486" s="301"/>
      <c r="W486" s="250"/>
      <c r="X486" s="254"/>
      <c r="Y486" s="301"/>
      <c r="Z486" s="258"/>
      <c r="AA486" s="250"/>
      <c r="AB486" s="301"/>
      <c r="AC486" s="305"/>
      <c r="AD486" s="262"/>
      <c r="AE486" s="262"/>
      <c r="AF486" s="283"/>
    </row>
    <row r="487" spans="2:32" hidden="1">
      <c r="B487" s="267"/>
      <c r="C487" s="219"/>
      <c r="D487" s="219"/>
      <c r="E487" s="219"/>
      <c r="F487" s="219"/>
      <c r="G487" s="222"/>
      <c r="H487" s="227"/>
      <c r="I487" s="227"/>
      <c r="J487" s="217"/>
      <c r="K487" s="217"/>
      <c r="L487" s="217"/>
      <c r="M487" s="231"/>
      <c r="N487" s="235"/>
      <c r="O487" s="239"/>
      <c r="P487" s="245"/>
      <c r="Q487" s="246"/>
      <c r="R487" s="302"/>
      <c r="S487" s="251"/>
      <c r="T487" s="302"/>
      <c r="U487" s="251"/>
      <c r="V487" s="302"/>
      <c r="W487" s="251"/>
      <c r="X487" s="255"/>
      <c r="Y487" s="302"/>
      <c r="Z487" s="259"/>
      <c r="AA487" s="251"/>
      <c r="AB487" s="302"/>
      <c r="AC487" s="306"/>
      <c r="AD487" s="261"/>
      <c r="AE487" s="261"/>
      <c r="AF487" s="282"/>
    </row>
    <row r="488" spans="2:32" hidden="1">
      <c r="B488" s="266"/>
      <c r="C488" s="220"/>
      <c r="D488" s="220"/>
      <c r="E488" s="220"/>
      <c r="F488" s="220"/>
      <c r="G488" s="223"/>
      <c r="H488" s="226"/>
      <c r="I488" s="226"/>
      <c r="J488" s="216"/>
      <c r="K488" s="216"/>
      <c r="L488" s="216"/>
      <c r="M488" s="230"/>
      <c r="N488" s="234"/>
      <c r="O488" s="238"/>
      <c r="P488" s="243"/>
      <c r="Q488" s="244"/>
      <c r="R488" s="301"/>
      <c r="S488" s="250"/>
      <c r="T488" s="301"/>
      <c r="U488" s="250"/>
      <c r="V488" s="301"/>
      <c r="W488" s="250"/>
      <c r="X488" s="254"/>
      <c r="Y488" s="301"/>
      <c r="Z488" s="258"/>
      <c r="AA488" s="250"/>
      <c r="AB488" s="301"/>
      <c r="AC488" s="305"/>
      <c r="AD488" s="262"/>
      <c r="AE488" s="262"/>
      <c r="AF488" s="283"/>
    </row>
    <row r="489" spans="2:32" hidden="1">
      <c r="B489" s="267"/>
      <c r="C489" s="219"/>
      <c r="D489" s="219"/>
      <c r="E489" s="219"/>
      <c r="F489" s="219"/>
      <c r="G489" s="222"/>
      <c r="H489" s="227"/>
      <c r="I489" s="227"/>
      <c r="J489" s="217"/>
      <c r="K489" s="217"/>
      <c r="L489" s="217"/>
      <c r="M489" s="231"/>
      <c r="N489" s="235"/>
      <c r="O489" s="239"/>
      <c r="P489" s="245"/>
      <c r="Q489" s="246"/>
      <c r="R489" s="302"/>
      <c r="S489" s="251"/>
      <c r="T489" s="302"/>
      <c r="U489" s="251"/>
      <c r="V489" s="302"/>
      <c r="W489" s="251"/>
      <c r="X489" s="255"/>
      <c r="Y489" s="302"/>
      <c r="Z489" s="259"/>
      <c r="AA489" s="251"/>
      <c r="AB489" s="302"/>
      <c r="AC489" s="306"/>
      <c r="AD489" s="261"/>
      <c r="AE489" s="261"/>
      <c r="AF489" s="282"/>
    </row>
    <row r="490" spans="2:32" hidden="1">
      <c r="B490" s="266"/>
      <c r="C490" s="220"/>
      <c r="D490" s="220"/>
      <c r="E490" s="220"/>
      <c r="F490" s="220"/>
      <c r="G490" s="223"/>
      <c r="H490" s="226"/>
      <c r="I490" s="226"/>
      <c r="J490" s="216"/>
      <c r="K490" s="216"/>
      <c r="L490" s="216"/>
      <c r="M490" s="230"/>
      <c r="N490" s="234"/>
      <c r="O490" s="238"/>
      <c r="P490" s="243"/>
      <c r="Q490" s="244"/>
      <c r="R490" s="301"/>
      <c r="S490" s="250"/>
      <c r="T490" s="301"/>
      <c r="U490" s="250"/>
      <c r="V490" s="301"/>
      <c r="W490" s="250"/>
      <c r="X490" s="254"/>
      <c r="Y490" s="301"/>
      <c r="Z490" s="258"/>
      <c r="AA490" s="250"/>
      <c r="AB490" s="301"/>
      <c r="AC490" s="305"/>
      <c r="AD490" s="262"/>
      <c r="AE490" s="262"/>
      <c r="AF490" s="283"/>
    </row>
    <row r="491" spans="2:32" hidden="1">
      <c r="B491" s="267"/>
      <c r="C491" s="219"/>
      <c r="D491" s="219"/>
      <c r="E491" s="219"/>
      <c r="F491" s="219"/>
      <c r="G491" s="222"/>
      <c r="H491" s="227"/>
      <c r="I491" s="227"/>
      <c r="J491" s="217"/>
      <c r="K491" s="217"/>
      <c r="L491" s="217"/>
      <c r="M491" s="231"/>
      <c r="N491" s="235"/>
      <c r="O491" s="239"/>
      <c r="P491" s="245"/>
      <c r="Q491" s="246"/>
      <c r="R491" s="302"/>
      <c r="S491" s="251"/>
      <c r="T491" s="302"/>
      <c r="U491" s="251"/>
      <c r="V491" s="302"/>
      <c r="W491" s="251"/>
      <c r="X491" s="255"/>
      <c r="Y491" s="302"/>
      <c r="Z491" s="259"/>
      <c r="AA491" s="251"/>
      <c r="AB491" s="302"/>
      <c r="AC491" s="306"/>
      <c r="AD491" s="261"/>
      <c r="AE491" s="261"/>
      <c r="AF491" s="282"/>
    </row>
    <row r="492" spans="2:32" hidden="1">
      <c r="B492" s="266"/>
      <c r="C492" s="220"/>
      <c r="D492" s="220"/>
      <c r="E492" s="220"/>
      <c r="F492" s="220"/>
      <c r="G492" s="223"/>
      <c r="H492" s="226"/>
      <c r="I492" s="226"/>
      <c r="J492" s="216"/>
      <c r="K492" s="216"/>
      <c r="L492" s="216"/>
      <c r="M492" s="230"/>
      <c r="N492" s="234"/>
      <c r="O492" s="238"/>
      <c r="P492" s="243"/>
      <c r="Q492" s="244"/>
      <c r="R492" s="301"/>
      <c r="S492" s="250"/>
      <c r="T492" s="301"/>
      <c r="U492" s="250"/>
      <c r="V492" s="301"/>
      <c r="W492" s="250"/>
      <c r="X492" s="254"/>
      <c r="Y492" s="301"/>
      <c r="Z492" s="258"/>
      <c r="AA492" s="250"/>
      <c r="AB492" s="301"/>
      <c r="AC492" s="305"/>
      <c r="AD492" s="262"/>
      <c r="AE492" s="262"/>
      <c r="AF492" s="283"/>
    </row>
    <row r="493" spans="2:32" hidden="1">
      <c r="B493" s="267"/>
      <c r="C493" s="219"/>
      <c r="D493" s="219"/>
      <c r="E493" s="219"/>
      <c r="F493" s="219"/>
      <c r="G493" s="222"/>
      <c r="H493" s="227"/>
      <c r="I493" s="227"/>
      <c r="J493" s="217"/>
      <c r="K493" s="217"/>
      <c r="L493" s="217"/>
      <c r="M493" s="231"/>
      <c r="N493" s="235"/>
      <c r="O493" s="239"/>
      <c r="P493" s="245"/>
      <c r="Q493" s="246"/>
      <c r="R493" s="302"/>
      <c r="S493" s="251"/>
      <c r="T493" s="302"/>
      <c r="U493" s="251"/>
      <c r="V493" s="302"/>
      <c r="W493" s="251"/>
      <c r="X493" s="255"/>
      <c r="Y493" s="302"/>
      <c r="Z493" s="259"/>
      <c r="AA493" s="251"/>
      <c r="AB493" s="302"/>
      <c r="AC493" s="306"/>
      <c r="AD493" s="261"/>
      <c r="AE493" s="261"/>
      <c r="AF493" s="282"/>
    </row>
    <row r="494" spans="2:32" hidden="1">
      <c r="B494" s="266"/>
      <c r="C494" s="220"/>
      <c r="D494" s="220"/>
      <c r="E494" s="220"/>
      <c r="F494" s="220"/>
      <c r="G494" s="223"/>
      <c r="H494" s="226"/>
      <c r="I494" s="226"/>
      <c r="J494" s="216"/>
      <c r="K494" s="216"/>
      <c r="L494" s="216"/>
      <c r="M494" s="230"/>
      <c r="N494" s="234"/>
      <c r="O494" s="238"/>
      <c r="P494" s="243"/>
      <c r="Q494" s="244"/>
      <c r="R494" s="301"/>
      <c r="S494" s="250"/>
      <c r="T494" s="301"/>
      <c r="U494" s="250"/>
      <c r="V494" s="301"/>
      <c r="W494" s="250"/>
      <c r="X494" s="254"/>
      <c r="Y494" s="301"/>
      <c r="Z494" s="258"/>
      <c r="AA494" s="250"/>
      <c r="AB494" s="301"/>
      <c r="AC494" s="305"/>
      <c r="AD494" s="262"/>
      <c r="AE494" s="262"/>
      <c r="AF494" s="283"/>
    </row>
    <row r="495" spans="2:32" hidden="1">
      <c r="B495" s="267"/>
      <c r="C495" s="219"/>
      <c r="D495" s="219"/>
      <c r="E495" s="219"/>
      <c r="F495" s="219"/>
      <c r="G495" s="222"/>
      <c r="H495" s="227"/>
      <c r="I495" s="227"/>
      <c r="J495" s="217"/>
      <c r="K495" s="217"/>
      <c r="L495" s="217"/>
      <c r="M495" s="231"/>
      <c r="N495" s="235"/>
      <c r="O495" s="239"/>
      <c r="P495" s="245"/>
      <c r="Q495" s="246"/>
      <c r="R495" s="302"/>
      <c r="S495" s="251"/>
      <c r="T495" s="302"/>
      <c r="U495" s="251"/>
      <c r="V495" s="302"/>
      <c r="W495" s="251"/>
      <c r="X495" s="255"/>
      <c r="Y495" s="302"/>
      <c r="Z495" s="259"/>
      <c r="AA495" s="251"/>
      <c r="AB495" s="302"/>
      <c r="AC495" s="306"/>
      <c r="AD495" s="261"/>
      <c r="AE495" s="261"/>
      <c r="AF495" s="282"/>
    </row>
    <row r="496" spans="2:32" hidden="1">
      <c r="B496" s="266"/>
      <c r="C496" s="220"/>
      <c r="D496" s="220"/>
      <c r="E496" s="220"/>
      <c r="F496" s="220"/>
      <c r="G496" s="223"/>
      <c r="H496" s="226"/>
      <c r="I496" s="226"/>
      <c r="J496" s="216"/>
      <c r="K496" s="216"/>
      <c r="L496" s="216"/>
      <c r="M496" s="230"/>
      <c r="N496" s="234"/>
      <c r="O496" s="238"/>
      <c r="P496" s="243"/>
      <c r="Q496" s="244"/>
      <c r="R496" s="301"/>
      <c r="S496" s="250"/>
      <c r="T496" s="301"/>
      <c r="U496" s="250"/>
      <c r="V496" s="301"/>
      <c r="W496" s="250"/>
      <c r="X496" s="254"/>
      <c r="Y496" s="301"/>
      <c r="Z496" s="258"/>
      <c r="AA496" s="250"/>
      <c r="AB496" s="301"/>
      <c r="AC496" s="305"/>
      <c r="AD496" s="262"/>
      <c r="AE496" s="262"/>
      <c r="AF496" s="283"/>
    </row>
    <row r="497" spans="2:32" hidden="1">
      <c r="B497" s="267"/>
      <c r="C497" s="219"/>
      <c r="D497" s="219"/>
      <c r="E497" s="219"/>
      <c r="F497" s="219"/>
      <c r="G497" s="222"/>
      <c r="H497" s="227"/>
      <c r="I497" s="227"/>
      <c r="J497" s="217"/>
      <c r="K497" s="217"/>
      <c r="L497" s="217"/>
      <c r="M497" s="231"/>
      <c r="N497" s="235"/>
      <c r="O497" s="239"/>
      <c r="P497" s="245"/>
      <c r="Q497" s="246"/>
      <c r="R497" s="302"/>
      <c r="S497" s="251"/>
      <c r="T497" s="302"/>
      <c r="U497" s="251"/>
      <c r="V497" s="302"/>
      <c r="W497" s="251"/>
      <c r="X497" s="255"/>
      <c r="Y497" s="302"/>
      <c r="Z497" s="259"/>
      <c r="AA497" s="251"/>
      <c r="AB497" s="302"/>
      <c r="AC497" s="306"/>
      <c r="AD497" s="261"/>
      <c r="AE497" s="261"/>
      <c r="AF497" s="282"/>
    </row>
    <row r="498" spans="2:32" hidden="1">
      <c r="B498" s="266"/>
      <c r="C498" s="220"/>
      <c r="D498" s="220"/>
      <c r="E498" s="220"/>
      <c r="F498" s="220"/>
      <c r="G498" s="223"/>
      <c r="H498" s="226"/>
      <c r="I498" s="226"/>
      <c r="J498" s="216"/>
      <c r="K498" s="216"/>
      <c r="L498" s="216"/>
      <c r="M498" s="230"/>
      <c r="N498" s="234"/>
      <c r="O498" s="238"/>
      <c r="P498" s="243"/>
      <c r="Q498" s="244"/>
      <c r="R498" s="301"/>
      <c r="S498" s="250"/>
      <c r="T498" s="301"/>
      <c r="U498" s="250"/>
      <c r="V498" s="301"/>
      <c r="W498" s="250"/>
      <c r="X498" s="254"/>
      <c r="Y498" s="301"/>
      <c r="Z498" s="258"/>
      <c r="AA498" s="250"/>
      <c r="AB498" s="301"/>
      <c r="AC498" s="305"/>
      <c r="AD498" s="262"/>
      <c r="AE498" s="262"/>
      <c r="AF498" s="283"/>
    </row>
    <row r="499" spans="2:32" hidden="1">
      <c r="B499" s="267"/>
      <c r="C499" s="219"/>
      <c r="D499" s="219"/>
      <c r="E499" s="219"/>
      <c r="F499" s="219"/>
      <c r="G499" s="222"/>
      <c r="H499" s="227"/>
      <c r="I499" s="227"/>
      <c r="J499" s="217"/>
      <c r="K499" s="217"/>
      <c r="L499" s="217"/>
      <c r="M499" s="231"/>
      <c r="N499" s="235"/>
      <c r="O499" s="239"/>
      <c r="P499" s="245"/>
      <c r="Q499" s="246"/>
      <c r="R499" s="302"/>
      <c r="S499" s="251"/>
      <c r="T499" s="302"/>
      <c r="U499" s="251"/>
      <c r="V499" s="302"/>
      <c r="W499" s="251"/>
      <c r="X499" s="255"/>
      <c r="Y499" s="302"/>
      <c r="Z499" s="259"/>
      <c r="AA499" s="251"/>
      <c r="AB499" s="302"/>
      <c r="AC499" s="306"/>
      <c r="AD499" s="261"/>
      <c r="AE499" s="261"/>
      <c r="AF499" s="282"/>
    </row>
    <row r="500" spans="2:32" hidden="1">
      <c r="B500" s="266"/>
      <c r="C500" s="220"/>
      <c r="D500" s="220"/>
      <c r="E500" s="220"/>
      <c r="F500" s="220"/>
      <c r="G500" s="223"/>
      <c r="H500" s="226"/>
      <c r="I500" s="226"/>
      <c r="J500" s="216"/>
      <c r="K500" s="216"/>
      <c r="L500" s="216"/>
      <c r="M500" s="230"/>
      <c r="N500" s="234"/>
      <c r="O500" s="238"/>
      <c r="P500" s="243"/>
      <c r="Q500" s="244"/>
      <c r="R500" s="301"/>
      <c r="S500" s="250"/>
      <c r="T500" s="301"/>
      <c r="U500" s="250"/>
      <c r="V500" s="301"/>
      <c r="W500" s="250"/>
      <c r="X500" s="254"/>
      <c r="Y500" s="301"/>
      <c r="Z500" s="258"/>
      <c r="AA500" s="250"/>
      <c r="AB500" s="301"/>
      <c r="AC500" s="305"/>
      <c r="AD500" s="262"/>
      <c r="AE500" s="262"/>
      <c r="AF500" s="283"/>
    </row>
    <row r="501" spans="2:32" hidden="1">
      <c r="B501" s="267"/>
      <c r="C501" s="219"/>
      <c r="D501" s="219"/>
      <c r="E501" s="219"/>
      <c r="F501" s="219"/>
      <c r="G501" s="222"/>
      <c r="H501" s="227"/>
      <c r="I501" s="227"/>
      <c r="J501" s="217"/>
      <c r="K501" s="217"/>
      <c r="L501" s="217"/>
      <c r="M501" s="231"/>
      <c r="N501" s="235"/>
      <c r="O501" s="239"/>
      <c r="P501" s="245"/>
      <c r="Q501" s="246"/>
      <c r="R501" s="302"/>
      <c r="S501" s="251"/>
      <c r="T501" s="302"/>
      <c r="U501" s="251"/>
      <c r="V501" s="302"/>
      <c r="W501" s="251"/>
      <c r="X501" s="255"/>
      <c r="Y501" s="302"/>
      <c r="Z501" s="259"/>
      <c r="AA501" s="251"/>
      <c r="AB501" s="302"/>
      <c r="AC501" s="306"/>
      <c r="AD501" s="261"/>
      <c r="AE501" s="261"/>
      <c r="AF501" s="282"/>
    </row>
    <row r="502" spans="2:32" hidden="1">
      <c r="B502" s="266"/>
      <c r="C502" s="220"/>
      <c r="D502" s="220"/>
      <c r="E502" s="220"/>
      <c r="F502" s="220"/>
      <c r="G502" s="223"/>
      <c r="H502" s="226"/>
      <c r="I502" s="226"/>
      <c r="J502" s="216"/>
      <c r="K502" s="216"/>
      <c r="L502" s="216"/>
      <c r="M502" s="230"/>
      <c r="N502" s="234"/>
      <c r="O502" s="238"/>
      <c r="P502" s="243"/>
      <c r="Q502" s="244"/>
      <c r="R502" s="301"/>
      <c r="S502" s="250"/>
      <c r="T502" s="301"/>
      <c r="U502" s="250"/>
      <c r="V502" s="301"/>
      <c r="W502" s="250"/>
      <c r="X502" s="254"/>
      <c r="Y502" s="301"/>
      <c r="Z502" s="258"/>
      <c r="AA502" s="250"/>
      <c r="AB502" s="301"/>
      <c r="AC502" s="305"/>
      <c r="AD502" s="262"/>
      <c r="AE502" s="262"/>
      <c r="AF502" s="283"/>
    </row>
    <row r="503" spans="2:32" hidden="1">
      <c r="B503" s="267"/>
      <c r="C503" s="219"/>
      <c r="D503" s="219"/>
      <c r="E503" s="219"/>
      <c r="F503" s="219"/>
      <c r="G503" s="222"/>
      <c r="H503" s="227"/>
      <c r="I503" s="227"/>
      <c r="J503" s="217"/>
      <c r="K503" s="217"/>
      <c r="L503" s="217"/>
      <c r="M503" s="231"/>
      <c r="N503" s="235"/>
      <c r="O503" s="239"/>
      <c r="P503" s="245"/>
      <c r="Q503" s="246"/>
      <c r="R503" s="302"/>
      <c r="S503" s="251"/>
      <c r="T503" s="302"/>
      <c r="U503" s="251"/>
      <c r="V503" s="302"/>
      <c r="W503" s="251"/>
      <c r="X503" s="255"/>
      <c r="Y503" s="302"/>
      <c r="Z503" s="259"/>
      <c r="AA503" s="251"/>
      <c r="AB503" s="302"/>
      <c r="AC503" s="306"/>
      <c r="AD503" s="261"/>
      <c r="AE503" s="261"/>
      <c r="AF503" s="282"/>
    </row>
    <row r="504" spans="2:32" hidden="1">
      <c r="B504" s="266"/>
      <c r="C504" s="220"/>
      <c r="D504" s="220"/>
      <c r="E504" s="220"/>
      <c r="F504" s="220"/>
      <c r="G504" s="223"/>
      <c r="H504" s="226"/>
      <c r="I504" s="226"/>
      <c r="J504" s="216"/>
      <c r="K504" s="216"/>
      <c r="L504" s="216"/>
      <c r="M504" s="230"/>
      <c r="N504" s="234"/>
      <c r="O504" s="238"/>
      <c r="P504" s="243"/>
      <c r="Q504" s="244"/>
      <c r="R504" s="301"/>
      <c r="S504" s="250"/>
      <c r="T504" s="301"/>
      <c r="U504" s="250"/>
      <c r="V504" s="301"/>
      <c r="W504" s="250"/>
      <c r="X504" s="254"/>
      <c r="Y504" s="301"/>
      <c r="Z504" s="258"/>
      <c r="AA504" s="250"/>
      <c r="AB504" s="301"/>
      <c r="AC504" s="305"/>
      <c r="AD504" s="262"/>
      <c r="AE504" s="262"/>
      <c r="AF504" s="283"/>
    </row>
    <row r="505" spans="2:32" hidden="1">
      <c r="B505" s="267"/>
      <c r="C505" s="219"/>
      <c r="D505" s="219"/>
      <c r="E505" s="219"/>
      <c r="F505" s="219"/>
      <c r="G505" s="222"/>
      <c r="H505" s="227"/>
      <c r="I505" s="227"/>
      <c r="J505" s="217"/>
      <c r="K505" s="217"/>
      <c r="L505" s="217"/>
      <c r="M505" s="231"/>
      <c r="N505" s="235"/>
      <c r="O505" s="239"/>
      <c r="P505" s="245"/>
      <c r="Q505" s="246"/>
      <c r="R505" s="302"/>
      <c r="S505" s="251"/>
      <c r="T505" s="302"/>
      <c r="U505" s="251"/>
      <c r="V505" s="302"/>
      <c r="W505" s="251"/>
      <c r="X505" s="255"/>
      <c r="Y505" s="302"/>
      <c r="Z505" s="259"/>
      <c r="AA505" s="251"/>
      <c r="AB505" s="302"/>
      <c r="AC505" s="306"/>
      <c r="AD505" s="261"/>
      <c r="AE505" s="261"/>
      <c r="AF505" s="282"/>
    </row>
    <row r="506" spans="2:32" hidden="1">
      <c r="B506" s="266"/>
      <c r="C506" s="220"/>
      <c r="D506" s="220"/>
      <c r="E506" s="220"/>
      <c r="F506" s="220"/>
      <c r="G506" s="223"/>
      <c r="H506" s="226"/>
      <c r="I506" s="226"/>
      <c r="J506" s="216"/>
      <c r="K506" s="216"/>
      <c r="L506" s="216"/>
      <c r="M506" s="230"/>
      <c r="N506" s="234"/>
      <c r="O506" s="238"/>
      <c r="P506" s="243"/>
      <c r="Q506" s="244"/>
      <c r="R506" s="301"/>
      <c r="S506" s="250"/>
      <c r="T506" s="301"/>
      <c r="U506" s="250"/>
      <c r="V506" s="301"/>
      <c r="W506" s="250"/>
      <c r="X506" s="254"/>
      <c r="Y506" s="301"/>
      <c r="Z506" s="258"/>
      <c r="AA506" s="250"/>
      <c r="AB506" s="301"/>
      <c r="AC506" s="305"/>
      <c r="AD506" s="262"/>
      <c r="AE506" s="262"/>
      <c r="AF506" s="283"/>
    </row>
    <row r="507" spans="2:32" hidden="1">
      <c r="B507" s="267"/>
      <c r="C507" s="219"/>
      <c r="D507" s="219"/>
      <c r="E507" s="219"/>
      <c r="F507" s="219"/>
      <c r="G507" s="222"/>
      <c r="H507" s="227"/>
      <c r="I507" s="227"/>
      <c r="J507" s="217"/>
      <c r="K507" s="217"/>
      <c r="L507" s="217"/>
      <c r="M507" s="231"/>
      <c r="N507" s="235"/>
      <c r="O507" s="239"/>
      <c r="P507" s="245"/>
      <c r="Q507" s="246"/>
      <c r="R507" s="302"/>
      <c r="S507" s="251"/>
      <c r="T507" s="302"/>
      <c r="U507" s="251"/>
      <c r="V507" s="302"/>
      <c r="W507" s="251"/>
      <c r="X507" s="255"/>
      <c r="Y507" s="302"/>
      <c r="Z507" s="259"/>
      <c r="AA507" s="251"/>
      <c r="AB507" s="302"/>
      <c r="AC507" s="306"/>
      <c r="AD507" s="261"/>
      <c r="AE507" s="261"/>
      <c r="AF507" s="282"/>
    </row>
    <row r="508" spans="2:32" hidden="1">
      <c r="B508" s="266"/>
      <c r="C508" s="220"/>
      <c r="D508" s="220"/>
      <c r="E508" s="220"/>
      <c r="F508" s="220"/>
      <c r="G508" s="223"/>
      <c r="H508" s="226"/>
      <c r="I508" s="226"/>
      <c r="J508" s="216"/>
      <c r="K508" s="216"/>
      <c r="L508" s="216"/>
      <c r="M508" s="230"/>
      <c r="N508" s="234"/>
      <c r="O508" s="238"/>
      <c r="P508" s="243"/>
      <c r="Q508" s="244"/>
      <c r="R508" s="301"/>
      <c r="S508" s="250"/>
      <c r="T508" s="301"/>
      <c r="U508" s="250"/>
      <c r="V508" s="301"/>
      <c r="W508" s="250"/>
      <c r="X508" s="254"/>
      <c r="Y508" s="301"/>
      <c r="Z508" s="258"/>
      <c r="AA508" s="250"/>
      <c r="AB508" s="301"/>
      <c r="AC508" s="305"/>
      <c r="AD508" s="262"/>
      <c r="AE508" s="262"/>
      <c r="AF508" s="283"/>
    </row>
    <row r="509" spans="2:32" hidden="1">
      <c r="B509" s="267"/>
      <c r="C509" s="219"/>
      <c r="D509" s="219"/>
      <c r="E509" s="219"/>
      <c r="F509" s="219"/>
      <c r="G509" s="222"/>
      <c r="H509" s="227"/>
      <c r="I509" s="227"/>
      <c r="J509" s="217"/>
      <c r="K509" s="217"/>
      <c r="L509" s="217"/>
      <c r="M509" s="231"/>
      <c r="N509" s="235"/>
      <c r="O509" s="239"/>
      <c r="P509" s="245"/>
      <c r="Q509" s="246"/>
      <c r="R509" s="302"/>
      <c r="S509" s="251"/>
      <c r="T509" s="302"/>
      <c r="U509" s="251"/>
      <c r="V509" s="302"/>
      <c r="W509" s="251"/>
      <c r="X509" s="255"/>
      <c r="Y509" s="302"/>
      <c r="Z509" s="259"/>
      <c r="AA509" s="251"/>
      <c r="AB509" s="302"/>
      <c r="AC509" s="306"/>
      <c r="AD509" s="261"/>
      <c r="AE509" s="261"/>
      <c r="AF509" s="282"/>
    </row>
    <row r="510" spans="2:32" hidden="1">
      <c r="B510" s="266"/>
      <c r="C510" s="220"/>
      <c r="D510" s="220"/>
      <c r="E510" s="220"/>
      <c r="F510" s="220"/>
      <c r="G510" s="223"/>
      <c r="H510" s="226"/>
      <c r="I510" s="226"/>
      <c r="J510" s="216"/>
      <c r="K510" s="216"/>
      <c r="L510" s="216"/>
      <c r="M510" s="230"/>
      <c r="N510" s="234"/>
      <c r="O510" s="238"/>
      <c r="P510" s="243"/>
      <c r="Q510" s="244"/>
      <c r="R510" s="301"/>
      <c r="S510" s="250"/>
      <c r="T510" s="301"/>
      <c r="U510" s="250"/>
      <c r="V510" s="301"/>
      <c r="W510" s="250"/>
      <c r="X510" s="254"/>
      <c r="Y510" s="301"/>
      <c r="Z510" s="258"/>
      <c r="AA510" s="250"/>
      <c r="AB510" s="301"/>
      <c r="AC510" s="305"/>
      <c r="AD510" s="262"/>
      <c r="AE510" s="262"/>
      <c r="AF510" s="283"/>
    </row>
    <row r="511" spans="2:32" hidden="1">
      <c r="B511" s="267"/>
      <c r="C511" s="219"/>
      <c r="D511" s="219"/>
      <c r="E511" s="219"/>
      <c r="F511" s="219"/>
      <c r="G511" s="222"/>
      <c r="H511" s="227"/>
      <c r="I511" s="227"/>
      <c r="J511" s="217"/>
      <c r="K511" s="217"/>
      <c r="L511" s="217"/>
      <c r="M511" s="231"/>
      <c r="N511" s="235"/>
      <c r="O511" s="239"/>
      <c r="P511" s="245"/>
      <c r="Q511" s="246"/>
      <c r="R511" s="302"/>
      <c r="S511" s="251"/>
      <c r="T511" s="302"/>
      <c r="U511" s="251"/>
      <c r="V511" s="302"/>
      <c r="W511" s="251"/>
      <c r="X511" s="255"/>
      <c r="Y511" s="302"/>
      <c r="Z511" s="259"/>
      <c r="AA511" s="251"/>
      <c r="AB511" s="302"/>
      <c r="AC511" s="306"/>
      <c r="AD511" s="261"/>
      <c r="AE511" s="261"/>
      <c r="AF511" s="282"/>
    </row>
    <row r="512" spans="2:32" hidden="1">
      <c r="B512" s="266"/>
      <c r="C512" s="220"/>
      <c r="D512" s="220"/>
      <c r="E512" s="220"/>
      <c r="F512" s="220"/>
      <c r="G512" s="223"/>
      <c r="H512" s="226"/>
      <c r="I512" s="226"/>
      <c r="J512" s="216"/>
      <c r="K512" s="216"/>
      <c r="L512" s="216"/>
      <c r="M512" s="230"/>
      <c r="N512" s="234"/>
      <c r="O512" s="238"/>
      <c r="P512" s="243"/>
      <c r="Q512" s="244"/>
      <c r="R512" s="301"/>
      <c r="S512" s="250"/>
      <c r="T512" s="301"/>
      <c r="U512" s="250"/>
      <c r="V512" s="301"/>
      <c r="W512" s="250"/>
      <c r="X512" s="254"/>
      <c r="Y512" s="301"/>
      <c r="Z512" s="258"/>
      <c r="AA512" s="250"/>
      <c r="AB512" s="301"/>
      <c r="AC512" s="305"/>
      <c r="AD512" s="262"/>
      <c r="AE512" s="262"/>
      <c r="AF512" s="283"/>
    </row>
    <row r="513" spans="2:32" hidden="1">
      <c r="B513" s="267"/>
      <c r="C513" s="219"/>
      <c r="D513" s="219"/>
      <c r="E513" s="219"/>
      <c r="F513" s="219"/>
      <c r="G513" s="222"/>
      <c r="H513" s="227"/>
      <c r="I513" s="227"/>
      <c r="J513" s="217"/>
      <c r="K513" s="217"/>
      <c r="L513" s="217"/>
      <c r="M513" s="231"/>
      <c r="N513" s="235"/>
      <c r="O513" s="239"/>
      <c r="P513" s="245"/>
      <c r="Q513" s="246"/>
      <c r="R513" s="302"/>
      <c r="S513" s="251"/>
      <c r="T513" s="302"/>
      <c r="U513" s="251"/>
      <c r="V513" s="302"/>
      <c r="W513" s="251"/>
      <c r="X513" s="255"/>
      <c r="Y513" s="302"/>
      <c r="Z513" s="259"/>
      <c r="AA513" s="251"/>
      <c r="AB513" s="302"/>
      <c r="AC513" s="306"/>
      <c r="AD513" s="261"/>
      <c r="AE513" s="261"/>
      <c r="AF513" s="282"/>
    </row>
    <row r="514" spans="2:32" hidden="1">
      <c r="B514" s="266"/>
      <c r="C514" s="220"/>
      <c r="D514" s="220"/>
      <c r="E514" s="220"/>
      <c r="F514" s="220"/>
      <c r="G514" s="223"/>
      <c r="H514" s="226"/>
      <c r="I514" s="226"/>
      <c r="J514" s="216"/>
      <c r="K514" s="216"/>
      <c r="L514" s="216"/>
      <c r="M514" s="230"/>
      <c r="N514" s="234"/>
      <c r="O514" s="238"/>
      <c r="P514" s="243"/>
      <c r="Q514" s="244"/>
      <c r="R514" s="301"/>
      <c r="S514" s="250"/>
      <c r="T514" s="301"/>
      <c r="U514" s="250"/>
      <c r="V514" s="301"/>
      <c r="W514" s="250"/>
      <c r="X514" s="254"/>
      <c r="Y514" s="301"/>
      <c r="Z514" s="258"/>
      <c r="AA514" s="250"/>
      <c r="AB514" s="301"/>
      <c r="AC514" s="305"/>
      <c r="AD514" s="262"/>
      <c r="AE514" s="262"/>
      <c r="AF514" s="283"/>
    </row>
    <row r="515" spans="2:32" hidden="1">
      <c r="B515" s="267"/>
      <c r="C515" s="219"/>
      <c r="D515" s="219"/>
      <c r="E515" s="219"/>
      <c r="F515" s="219"/>
      <c r="G515" s="222"/>
      <c r="H515" s="227"/>
      <c r="I515" s="227"/>
      <c r="J515" s="217"/>
      <c r="K515" s="217"/>
      <c r="L515" s="217"/>
      <c r="M515" s="231"/>
      <c r="N515" s="235"/>
      <c r="O515" s="239"/>
      <c r="P515" s="245"/>
      <c r="Q515" s="246"/>
      <c r="R515" s="302"/>
      <c r="S515" s="251"/>
      <c r="T515" s="302"/>
      <c r="U515" s="251"/>
      <c r="V515" s="302"/>
      <c r="W515" s="251"/>
      <c r="X515" s="255"/>
      <c r="Y515" s="302"/>
      <c r="Z515" s="259"/>
      <c r="AA515" s="251"/>
      <c r="AB515" s="302"/>
      <c r="AC515" s="306"/>
      <c r="AD515" s="261"/>
      <c r="AE515" s="261"/>
      <c r="AF515" s="282"/>
    </row>
    <row r="516" spans="2:32" hidden="1">
      <c r="B516" s="266"/>
      <c r="C516" s="220"/>
      <c r="D516" s="220"/>
      <c r="E516" s="220"/>
      <c r="F516" s="220"/>
      <c r="G516" s="223"/>
      <c r="H516" s="226"/>
      <c r="I516" s="226"/>
      <c r="J516" s="216"/>
      <c r="K516" s="216"/>
      <c r="L516" s="216"/>
      <c r="M516" s="230"/>
      <c r="N516" s="234"/>
      <c r="O516" s="238"/>
      <c r="P516" s="243"/>
      <c r="Q516" s="244"/>
      <c r="R516" s="301"/>
      <c r="S516" s="250"/>
      <c r="T516" s="301"/>
      <c r="U516" s="250"/>
      <c r="V516" s="301"/>
      <c r="W516" s="250"/>
      <c r="X516" s="254"/>
      <c r="Y516" s="301"/>
      <c r="Z516" s="258"/>
      <c r="AA516" s="250"/>
      <c r="AB516" s="301"/>
      <c r="AC516" s="305"/>
      <c r="AD516" s="262"/>
      <c r="AE516" s="262"/>
      <c r="AF516" s="283"/>
    </row>
    <row r="517" spans="2:32" hidden="1">
      <c r="B517" s="267"/>
      <c r="C517" s="219"/>
      <c r="D517" s="219"/>
      <c r="E517" s="219"/>
      <c r="F517" s="219"/>
      <c r="G517" s="222"/>
      <c r="H517" s="227"/>
      <c r="I517" s="227"/>
      <c r="J517" s="217"/>
      <c r="K517" s="217"/>
      <c r="L517" s="217"/>
      <c r="M517" s="231"/>
      <c r="N517" s="235"/>
      <c r="O517" s="239"/>
      <c r="P517" s="245"/>
      <c r="Q517" s="246"/>
      <c r="R517" s="302"/>
      <c r="S517" s="251"/>
      <c r="T517" s="302"/>
      <c r="U517" s="251"/>
      <c r="V517" s="302"/>
      <c r="W517" s="251"/>
      <c r="X517" s="255"/>
      <c r="Y517" s="302"/>
      <c r="Z517" s="259"/>
      <c r="AA517" s="251"/>
      <c r="AB517" s="302"/>
      <c r="AC517" s="306"/>
      <c r="AD517" s="261"/>
      <c r="AE517" s="261"/>
      <c r="AF517" s="282"/>
    </row>
    <row r="518" spans="2:32" hidden="1">
      <c r="B518" s="266"/>
      <c r="C518" s="220"/>
      <c r="D518" s="220"/>
      <c r="E518" s="220"/>
      <c r="F518" s="220"/>
      <c r="G518" s="223"/>
      <c r="H518" s="226"/>
      <c r="I518" s="226"/>
      <c r="J518" s="216"/>
      <c r="K518" s="216"/>
      <c r="L518" s="216"/>
      <c r="M518" s="230"/>
      <c r="N518" s="234"/>
      <c r="O518" s="238"/>
      <c r="P518" s="243"/>
      <c r="Q518" s="244"/>
      <c r="R518" s="301"/>
      <c r="S518" s="250"/>
      <c r="T518" s="301"/>
      <c r="U518" s="250"/>
      <c r="V518" s="301"/>
      <c r="W518" s="250"/>
      <c r="X518" s="254"/>
      <c r="Y518" s="301"/>
      <c r="Z518" s="258"/>
      <c r="AA518" s="250"/>
      <c r="AB518" s="301"/>
      <c r="AC518" s="305"/>
      <c r="AD518" s="262"/>
      <c r="AE518" s="262"/>
      <c r="AF518" s="283"/>
    </row>
    <row r="519" spans="2:32" hidden="1">
      <c r="B519" s="267"/>
      <c r="C519" s="219"/>
      <c r="D519" s="219"/>
      <c r="E519" s="219"/>
      <c r="F519" s="219"/>
      <c r="G519" s="222"/>
      <c r="H519" s="227"/>
      <c r="I519" s="227"/>
      <c r="J519" s="217"/>
      <c r="K519" s="217"/>
      <c r="L519" s="217"/>
      <c r="M519" s="231"/>
      <c r="N519" s="235"/>
      <c r="O519" s="239"/>
      <c r="P519" s="245"/>
      <c r="Q519" s="246"/>
      <c r="R519" s="302"/>
      <c r="S519" s="251"/>
      <c r="T519" s="302"/>
      <c r="U519" s="251"/>
      <c r="V519" s="302"/>
      <c r="W519" s="251"/>
      <c r="X519" s="255"/>
      <c r="Y519" s="302"/>
      <c r="Z519" s="259"/>
      <c r="AA519" s="251"/>
      <c r="AB519" s="302"/>
      <c r="AC519" s="306"/>
      <c r="AD519" s="261"/>
      <c r="AE519" s="261"/>
      <c r="AF519" s="282"/>
    </row>
    <row r="520" spans="2:32" hidden="1">
      <c r="B520" s="266"/>
      <c r="C520" s="220"/>
      <c r="D520" s="220"/>
      <c r="E520" s="220"/>
      <c r="F520" s="220"/>
      <c r="G520" s="223"/>
      <c r="H520" s="226"/>
      <c r="I520" s="226"/>
      <c r="J520" s="216"/>
      <c r="K520" s="216"/>
      <c r="L520" s="216"/>
      <c r="M520" s="230"/>
      <c r="N520" s="234"/>
      <c r="O520" s="238"/>
      <c r="P520" s="243"/>
      <c r="Q520" s="244"/>
      <c r="R520" s="301"/>
      <c r="S520" s="250"/>
      <c r="T520" s="301"/>
      <c r="U520" s="250"/>
      <c r="V520" s="301"/>
      <c r="W520" s="250"/>
      <c r="X520" s="254"/>
      <c r="Y520" s="301"/>
      <c r="Z520" s="258"/>
      <c r="AA520" s="250"/>
      <c r="AB520" s="301"/>
      <c r="AC520" s="305"/>
      <c r="AD520" s="262"/>
      <c r="AE520" s="262"/>
      <c r="AF520" s="283"/>
    </row>
    <row r="521" spans="2:32" hidden="1">
      <c r="B521" s="267"/>
      <c r="C521" s="219"/>
      <c r="D521" s="219"/>
      <c r="E521" s="219"/>
      <c r="F521" s="219"/>
      <c r="G521" s="222"/>
      <c r="H521" s="227"/>
      <c r="I521" s="227"/>
      <c r="J521" s="217"/>
      <c r="K521" s="217"/>
      <c r="L521" s="217"/>
      <c r="M521" s="231"/>
      <c r="N521" s="235"/>
      <c r="O521" s="239"/>
      <c r="P521" s="245"/>
      <c r="Q521" s="246"/>
      <c r="R521" s="302"/>
      <c r="S521" s="251"/>
      <c r="T521" s="302"/>
      <c r="U521" s="251"/>
      <c r="V521" s="302"/>
      <c r="W521" s="251"/>
      <c r="X521" s="255"/>
      <c r="Y521" s="302"/>
      <c r="Z521" s="259"/>
      <c r="AA521" s="251"/>
      <c r="AB521" s="302"/>
      <c r="AC521" s="306"/>
      <c r="AD521" s="261"/>
      <c r="AE521" s="261"/>
      <c r="AF521" s="282"/>
    </row>
    <row r="522" spans="2:32" hidden="1">
      <c r="B522" s="266"/>
      <c r="C522" s="220"/>
      <c r="D522" s="220"/>
      <c r="E522" s="220"/>
      <c r="F522" s="220"/>
      <c r="G522" s="223"/>
      <c r="H522" s="226"/>
      <c r="I522" s="226"/>
      <c r="J522" s="216"/>
      <c r="K522" s="216"/>
      <c r="L522" s="216"/>
      <c r="M522" s="230"/>
      <c r="N522" s="234"/>
      <c r="O522" s="238"/>
      <c r="P522" s="243"/>
      <c r="Q522" s="244"/>
      <c r="R522" s="301"/>
      <c r="S522" s="250"/>
      <c r="T522" s="301"/>
      <c r="U522" s="250"/>
      <c r="V522" s="301"/>
      <c r="W522" s="250"/>
      <c r="X522" s="254"/>
      <c r="Y522" s="301"/>
      <c r="Z522" s="258"/>
      <c r="AA522" s="250"/>
      <c r="AB522" s="301"/>
      <c r="AC522" s="305"/>
      <c r="AD522" s="262"/>
      <c r="AE522" s="262"/>
      <c r="AF522" s="283"/>
    </row>
    <row r="523" spans="2:32" hidden="1">
      <c r="B523" s="267"/>
      <c r="C523" s="219"/>
      <c r="D523" s="219"/>
      <c r="E523" s="219"/>
      <c r="F523" s="219"/>
      <c r="G523" s="222"/>
      <c r="H523" s="227"/>
      <c r="I523" s="227"/>
      <c r="J523" s="217"/>
      <c r="K523" s="217"/>
      <c r="L523" s="217"/>
      <c r="M523" s="231"/>
      <c r="N523" s="235"/>
      <c r="O523" s="239"/>
      <c r="P523" s="245"/>
      <c r="Q523" s="246"/>
      <c r="R523" s="302"/>
      <c r="S523" s="251"/>
      <c r="T523" s="302"/>
      <c r="U523" s="251"/>
      <c r="V523" s="302"/>
      <c r="W523" s="251"/>
      <c r="X523" s="255"/>
      <c r="Y523" s="302"/>
      <c r="Z523" s="259"/>
      <c r="AA523" s="251"/>
      <c r="AB523" s="302"/>
      <c r="AC523" s="306"/>
      <c r="AD523" s="261"/>
      <c r="AE523" s="261"/>
      <c r="AF523" s="282"/>
    </row>
    <row r="524" spans="2:32" hidden="1">
      <c r="B524" s="266"/>
      <c r="C524" s="220"/>
      <c r="D524" s="220"/>
      <c r="E524" s="220"/>
      <c r="F524" s="220"/>
      <c r="G524" s="223"/>
      <c r="H524" s="226"/>
      <c r="I524" s="226"/>
      <c r="J524" s="216"/>
      <c r="K524" s="216"/>
      <c r="L524" s="216"/>
      <c r="M524" s="230"/>
      <c r="N524" s="234"/>
      <c r="O524" s="238"/>
      <c r="P524" s="243"/>
      <c r="Q524" s="244"/>
      <c r="R524" s="301"/>
      <c r="S524" s="250"/>
      <c r="T524" s="301"/>
      <c r="U524" s="250"/>
      <c r="V524" s="301"/>
      <c r="W524" s="250"/>
      <c r="X524" s="254"/>
      <c r="Y524" s="301"/>
      <c r="Z524" s="258"/>
      <c r="AA524" s="250"/>
      <c r="AB524" s="301"/>
      <c r="AC524" s="305"/>
      <c r="AD524" s="262"/>
      <c r="AE524" s="262"/>
      <c r="AF524" s="283"/>
    </row>
    <row r="525" spans="2:32" hidden="1">
      <c r="B525" s="267"/>
      <c r="C525" s="219"/>
      <c r="D525" s="219"/>
      <c r="E525" s="219"/>
      <c r="F525" s="219"/>
      <c r="G525" s="222"/>
      <c r="H525" s="227"/>
      <c r="I525" s="227"/>
      <c r="J525" s="217"/>
      <c r="K525" s="217"/>
      <c r="L525" s="217"/>
      <c r="M525" s="231"/>
      <c r="N525" s="235"/>
      <c r="O525" s="239"/>
      <c r="P525" s="245"/>
      <c r="Q525" s="246"/>
      <c r="R525" s="302"/>
      <c r="S525" s="251"/>
      <c r="T525" s="302"/>
      <c r="U525" s="251"/>
      <c r="V525" s="302"/>
      <c r="W525" s="251"/>
      <c r="X525" s="255"/>
      <c r="Y525" s="302"/>
      <c r="Z525" s="259"/>
      <c r="AA525" s="251"/>
      <c r="AB525" s="302"/>
      <c r="AC525" s="306"/>
      <c r="AD525" s="261"/>
      <c r="AE525" s="261"/>
      <c r="AF525" s="282"/>
    </row>
    <row r="526" spans="2:32" hidden="1">
      <c r="B526" s="266"/>
      <c r="C526" s="220"/>
      <c r="D526" s="220"/>
      <c r="E526" s="220"/>
      <c r="F526" s="220"/>
      <c r="G526" s="223"/>
      <c r="H526" s="226"/>
      <c r="I526" s="226"/>
      <c r="J526" s="216"/>
      <c r="K526" s="216"/>
      <c r="L526" s="216"/>
      <c r="M526" s="230"/>
      <c r="N526" s="234"/>
      <c r="O526" s="238"/>
      <c r="P526" s="243"/>
      <c r="Q526" s="244"/>
      <c r="R526" s="301"/>
      <c r="S526" s="250"/>
      <c r="T526" s="301"/>
      <c r="U526" s="250"/>
      <c r="V526" s="301"/>
      <c r="W526" s="250"/>
      <c r="X526" s="254"/>
      <c r="Y526" s="301"/>
      <c r="Z526" s="258"/>
      <c r="AA526" s="250"/>
      <c r="AB526" s="301"/>
      <c r="AC526" s="305"/>
      <c r="AD526" s="262"/>
      <c r="AE526" s="262"/>
      <c r="AF526" s="283"/>
    </row>
    <row r="527" spans="2:32" hidden="1">
      <c r="B527" s="267"/>
      <c r="C527" s="219"/>
      <c r="D527" s="219"/>
      <c r="E527" s="219"/>
      <c r="F527" s="219"/>
      <c r="G527" s="222"/>
      <c r="H527" s="227"/>
      <c r="I527" s="227"/>
      <c r="J527" s="217"/>
      <c r="K527" s="217"/>
      <c r="L527" s="217"/>
      <c r="M527" s="231"/>
      <c r="N527" s="235"/>
      <c r="O527" s="239"/>
      <c r="P527" s="245"/>
      <c r="Q527" s="246"/>
      <c r="R527" s="302"/>
      <c r="S527" s="251"/>
      <c r="T527" s="302"/>
      <c r="U527" s="251"/>
      <c r="V527" s="302"/>
      <c r="W527" s="251"/>
      <c r="X527" s="255"/>
      <c r="Y527" s="302"/>
      <c r="Z527" s="259"/>
      <c r="AA527" s="251"/>
      <c r="AB527" s="302"/>
      <c r="AC527" s="306"/>
      <c r="AD527" s="261"/>
      <c r="AE527" s="261"/>
      <c r="AF527" s="282"/>
    </row>
    <row r="528" spans="2:32" hidden="1">
      <c r="B528" s="266"/>
      <c r="C528" s="220"/>
      <c r="D528" s="220"/>
      <c r="E528" s="220"/>
      <c r="F528" s="220"/>
      <c r="G528" s="223"/>
      <c r="H528" s="226"/>
      <c r="I528" s="226"/>
      <c r="J528" s="216"/>
      <c r="K528" s="216"/>
      <c r="L528" s="216"/>
      <c r="M528" s="230"/>
      <c r="N528" s="234"/>
      <c r="O528" s="238"/>
      <c r="P528" s="243"/>
      <c r="Q528" s="244"/>
      <c r="R528" s="301"/>
      <c r="S528" s="250"/>
      <c r="T528" s="301"/>
      <c r="U528" s="250"/>
      <c r="V528" s="301"/>
      <c r="W528" s="250"/>
      <c r="X528" s="254"/>
      <c r="Y528" s="301"/>
      <c r="Z528" s="258"/>
      <c r="AA528" s="250"/>
      <c r="AB528" s="301"/>
      <c r="AC528" s="305"/>
      <c r="AD528" s="262"/>
      <c r="AE528" s="262"/>
      <c r="AF528" s="283"/>
    </row>
    <row r="529" spans="2:32" hidden="1">
      <c r="B529" s="267"/>
      <c r="C529" s="219"/>
      <c r="D529" s="219"/>
      <c r="E529" s="219"/>
      <c r="F529" s="219"/>
      <c r="G529" s="222"/>
      <c r="H529" s="227"/>
      <c r="I529" s="227"/>
      <c r="J529" s="217"/>
      <c r="K529" s="217"/>
      <c r="L529" s="217"/>
      <c r="M529" s="231"/>
      <c r="N529" s="235"/>
      <c r="O529" s="239"/>
      <c r="P529" s="245"/>
      <c r="Q529" s="246"/>
      <c r="R529" s="302"/>
      <c r="S529" s="251"/>
      <c r="T529" s="302"/>
      <c r="U529" s="251"/>
      <c r="V529" s="302"/>
      <c r="W529" s="251"/>
      <c r="X529" s="255"/>
      <c r="Y529" s="302"/>
      <c r="Z529" s="259"/>
      <c r="AA529" s="251"/>
      <c r="AB529" s="302"/>
      <c r="AC529" s="306"/>
      <c r="AD529" s="261"/>
      <c r="AE529" s="261"/>
      <c r="AF529" s="282"/>
    </row>
    <row r="530" spans="2:32" hidden="1">
      <c r="B530" s="266"/>
      <c r="C530" s="220"/>
      <c r="D530" s="220"/>
      <c r="E530" s="220"/>
      <c r="F530" s="220"/>
      <c r="G530" s="223"/>
      <c r="H530" s="226"/>
      <c r="I530" s="226"/>
      <c r="J530" s="216"/>
      <c r="K530" s="216"/>
      <c r="L530" s="216"/>
      <c r="M530" s="230"/>
      <c r="N530" s="234"/>
      <c r="O530" s="238"/>
      <c r="P530" s="243"/>
      <c r="Q530" s="244"/>
      <c r="R530" s="301"/>
      <c r="S530" s="250"/>
      <c r="T530" s="301"/>
      <c r="U530" s="250"/>
      <c r="V530" s="301"/>
      <c r="W530" s="250"/>
      <c r="X530" s="254"/>
      <c r="Y530" s="301"/>
      <c r="Z530" s="258"/>
      <c r="AA530" s="250"/>
      <c r="AB530" s="301"/>
      <c r="AC530" s="305"/>
      <c r="AD530" s="262"/>
      <c r="AE530" s="262"/>
      <c r="AF530" s="283"/>
    </row>
    <row r="531" spans="2:32" hidden="1">
      <c r="B531" s="267"/>
      <c r="C531" s="219"/>
      <c r="D531" s="219"/>
      <c r="E531" s="219"/>
      <c r="F531" s="219"/>
      <c r="G531" s="222"/>
      <c r="H531" s="227"/>
      <c r="I531" s="227"/>
      <c r="J531" s="217"/>
      <c r="K531" s="217"/>
      <c r="L531" s="217"/>
      <c r="M531" s="231"/>
      <c r="N531" s="235"/>
      <c r="O531" s="239"/>
      <c r="P531" s="245"/>
      <c r="Q531" s="246"/>
      <c r="R531" s="302"/>
      <c r="S531" s="251"/>
      <c r="T531" s="302"/>
      <c r="U531" s="251"/>
      <c r="V531" s="302"/>
      <c r="W531" s="251"/>
      <c r="X531" s="255"/>
      <c r="Y531" s="302"/>
      <c r="Z531" s="259"/>
      <c r="AA531" s="251"/>
      <c r="AB531" s="302"/>
      <c r="AC531" s="306"/>
      <c r="AD531" s="261"/>
      <c r="AE531" s="261"/>
      <c r="AF531" s="282"/>
    </row>
    <row r="532" spans="2:32" hidden="1">
      <c r="B532" s="266"/>
      <c r="C532" s="220"/>
      <c r="D532" s="220"/>
      <c r="E532" s="220"/>
      <c r="F532" s="220"/>
      <c r="G532" s="223"/>
      <c r="H532" s="226"/>
      <c r="I532" s="226"/>
      <c r="J532" s="216"/>
      <c r="K532" s="216"/>
      <c r="L532" s="216"/>
      <c r="M532" s="230"/>
      <c r="N532" s="234"/>
      <c r="O532" s="238"/>
      <c r="P532" s="243"/>
      <c r="Q532" s="244"/>
      <c r="R532" s="301"/>
      <c r="S532" s="250"/>
      <c r="T532" s="301"/>
      <c r="U532" s="250"/>
      <c r="V532" s="301"/>
      <c r="W532" s="250"/>
      <c r="X532" s="254"/>
      <c r="Y532" s="301"/>
      <c r="Z532" s="258"/>
      <c r="AA532" s="250"/>
      <c r="AB532" s="301"/>
      <c r="AC532" s="305"/>
      <c r="AD532" s="262"/>
      <c r="AE532" s="262"/>
      <c r="AF532" s="283"/>
    </row>
    <row r="533" spans="2:32" hidden="1">
      <c r="B533" s="267"/>
      <c r="C533" s="219"/>
      <c r="D533" s="219"/>
      <c r="E533" s="219"/>
      <c r="F533" s="219"/>
      <c r="G533" s="222"/>
      <c r="H533" s="227"/>
      <c r="I533" s="227"/>
      <c r="J533" s="217"/>
      <c r="K533" s="217"/>
      <c r="L533" s="217"/>
      <c r="M533" s="231"/>
      <c r="N533" s="235"/>
      <c r="O533" s="239"/>
      <c r="P533" s="245"/>
      <c r="Q533" s="246"/>
      <c r="R533" s="302"/>
      <c r="S533" s="251"/>
      <c r="T533" s="302"/>
      <c r="U533" s="251"/>
      <c r="V533" s="302"/>
      <c r="W533" s="251"/>
      <c r="X533" s="255"/>
      <c r="Y533" s="302"/>
      <c r="Z533" s="259"/>
      <c r="AA533" s="251"/>
      <c r="AB533" s="302"/>
      <c r="AC533" s="306"/>
      <c r="AD533" s="261"/>
      <c r="AE533" s="261"/>
      <c r="AF533" s="282"/>
    </row>
    <row r="534" spans="2:32" hidden="1">
      <c r="B534" s="266"/>
      <c r="C534" s="220"/>
      <c r="D534" s="220"/>
      <c r="E534" s="220"/>
      <c r="F534" s="220"/>
      <c r="G534" s="223"/>
      <c r="H534" s="226"/>
      <c r="I534" s="226"/>
      <c r="J534" s="216"/>
      <c r="K534" s="216"/>
      <c r="L534" s="216"/>
      <c r="M534" s="230"/>
      <c r="N534" s="234"/>
      <c r="O534" s="238"/>
      <c r="P534" s="243"/>
      <c r="Q534" s="244"/>
      <c r="R534" s="301"/>
      <c r="S534" s="250"/>
      <c r="T534" s="301"/>
      <c r="U534" s="250"/>
      <c r="V534" s="301"/>
      <c r="W534" s="250"/>
      <c r="X534" s="254"/>
      <c r="Y534" s="301"/>
      <c r="Z534" s="258"/>
      <c r="AA534" s="250"/>
      <c r="AB534" s="301"/>
      <c r="AC534" s="305"/>
      <c r="AD534" s="262"/>
      <c r="AE534" s="262"/>
      <c r="AF534" s="283"/>
    </row>
    <row r="535" spans="2:32" hidden="1">
      <c r="B535" s="267"/>
      <c r="C535" s="219"/>
      <c r="D535" s="219"/>
      <c r="E535" s="219"/>
      <c r="F535" s="219"/>
      <c r="G535" s="222"/>
      <c r="H535" s="227"/>
      <c r="I535" s="227"/>
      <c r="J535" s="217"/>
      <c r="K535" s="217"/>
      <c r="L535" s="217"/>
      <c r="M535" s="231"/>
      <c r="N535" s="235"/>
      <c r="O535" s="239"/>
      <c r="P535" s="245"/>
      <c r="Q535" s="246"/>
      <c r="R535" s="302"/>
      <c r="S535" s="251"/>
      <c r="T535" s="302"/>
      <c r="U535" s="251"/>
      <c r="V535" s="302"/>
      <c r="W535" s="251"/>
      <c r="X535" s="255"/>
      <c r="Y535" s="302"/>
      <c r="Z535" s="259"/>
      <c r="AA535" s="251"/>
      <c r="AB535" s="302"/>
      <c r="AC535" s="306"/>
      <c r="AD535" s="261"/>
      <c r="AE535" s="261"/>
      <c r="AF535" s="282"/>
    </row>
    <row r="536" spans="2:32" hidden="1">
      <c r="B536" s="266"/>
      <c r="C536" s="220"/>
      <c r="D536" s="220"/>
      <c r="E536" s="220"/>
      <c r="F536" s="220"/>
      <c r="G536" s="223"/>
      <c r="H536" s="226"/>
      <c r="I536" s="226"/>
      <c r="J536" s="216"/>
      <c r="K536" s="216"/>
      <c r="L536" s="216"/>
      <c r="M536" s="230"/>
      <c r="N536" s="234"/>
      <c r="O536" s="238"/>
      <c r="P536" s="243"/>
      <c r="Q536" s="244"/>
      <c r="R536" s="301"/>
      <c r="S536" s="250"/>
      <c r="T536" s="301"/>
      <c r="U536" s="250"/>
      <c r="V536" s="301"/>
      <c r="W536" s="250"/>
      <c r="X536" s="254"/>
      <c r="Y536" s="301"/>
      <c r="Z536" s="258"/>
      <c r="AA536" s="250"/>
      <c r="AB536" s="301"/>
      <c r="AC536" s="305"/>
      <c r="AD536" s="262"/>
      <c r="AE536" s="262"/>
      <c r="AF536" s="283"/>
    </row>
    <row r="537" spans="2:32" hidden="1">
      <c r="B537" s="267"/>
      <c r="C537" s="219"/>
      <c r="D537" s="219"/>
      <c r="E537" s="219"/>
      <c r="F537" s="219"/>
      <c r="G537" s="222"/>
      <c r="H537" s="227"/>
      <c r="I537" s="227"/>
      <c r="J537" s="217"/>
      <c r="K537" s="217"/>
      <c r="L537" s="217"/>
      <c r="M537" s="231"/>
      <c r="N537" s="235"/>
      <c r="O537" s="239"/>
      <c r="P537" s="245"/>
      <c r="Q537" s="246"/>
      <c r="R537" s="302"/>
      <c r="S537" s="251"/>
      <c r="T537" s="302"/>
      <c r="U537" s="251"/>
      <c r="V537" s="302"/>
      <c r="W537" s="251"/>
      <c r="X537" s="255"/>
      <c r="Y537" s="302"/>
      <c r="Z537" s="259"/>
      <c r="AA537" s="251"/>
      <c r="AB537" s="302"/>
      <c r="AC537" s="306"/>
      <c r="AD537" s="261"/>
      <c r="AE537" s="261"/>
      <c r="AF537" s="282"/>
    </row>
    <row r="538" spans="2:32" hidden="1">
      <c r="B538" s="266"/>
      <c r="C538" s="220"/>
      <c r="D538" s="220"/>
      <c r="E538" s="220"/>
      <c r="F538" s="220"/>
      <c r="G538" s="223"/>
      <c r="H538" s="226"/>
      <c r="I538" s="226"/>
      <c r="J538" s="216"/>
      <c r="K538" s="216"/>
      <c r="L538" s="216"/>
      <c r="M538" s="230"/>
      <c r="N538" s="234"/>
      <c r="O538" s="238"/>
      <c r="P538" s="243"/>
      <c r="Q538" s="244"/>
      <c r="R538" s="301"/>
      <c r="S538" s="250"/>
      <c r="T538" s="301"/>
      <c r="U538" s="250"/>
      <c r="V538" s="301"/>
      <c r="W538" s="250"/>
      <c r="X538" s="254"/>
      <c r="Y538" s="301"/>
      <c r="Z538" s="258"/>
      <c r="AA538" s="250"/>
      <c r="AB538" s="301"/>
      <c r="AC538" s="305"/>
      <c r="AD538" s="262"/>
      <c r="AE538" s="262"/>
      <c r="AF538" s="283"/>
    </row>
    <row r="539" spans="2:32" hidden="1">
      <c r="B539" s="267"/>
      <c r="C539" s="219"/>
      <c r="D539" s="219"/>
      <c r="E539" s="219"/>
      <c r="F539" s="219"/>
      <c r="G539" s="222"/>
      <c r="H539" s="227"/>
      <c r="I539" s="227"/>
      <c r="J539" s="217"/>
      <c r="K539" s="217"/>
      <c r="L539" s="217"/>
      <c r="M539" s="231"/>
      <c r="N539" s="235"/>
      <c r="O539" s="239"/>
      <c r="P539" s="245"/>
      <c r="Q539" s="246"/>
      <c r="R539" s="302"/>
      <c r="S539" s="251"/>
      <c r="T539" s="302"/>
      <c r="U539" s="251"/>
      <c r="V539" s="302"/>
      <c r="W539" s="251"/>
      <c r="X539" s="255"/>
      <c r="Y539" s="302"/>
      <c r="Z539" s="259"/>
      <c r="AA539" s="251"/>
      <c r="AB539" s="302"/>
      <c r="AC539" s="306"/>
      <c r="AD539" s="261"/>
      <c r="AE539" s="261"/>
      <c r="AF539" s="282"/>
    </row>
    <row r="540" spans="2:32" hidden="1">
      <c r="B540" s="266"/>
      <c r="C540" s="220"/>
      <c r="D540" s="220"/>
      <c r="E540" s="220"/>
      <c r="F540" s="220"/>
      <c r="G540" s="223"/>
      <c r="H540" s="226"/>
      <c r="I540" s="226"/>
      <c r="J540" s="216"/>
      <c r="K540" s="216"/>
      <c r="L540" s="216"/>
      <c r="M540" s="230"/>
      <c r="N540" s="234"/>
      <c r="O540" s="238"/>
      <c r="P540" s="243"/>
      <c r="Q540" s="244"/>
      <c r="R540" s="301"/>
      <c r="S540" s="250"/>
      <c r="T540" s="301"/>
      <c r="U540" s="250"/>
      <c r="V540" s="301"/>
      <c r="W540" s="250"/>
      <c r="X540" s="254"/>
      <c r="Y540" s="301"/>
      <c r="Z540" s="258"/>
      <c r="AA540" s="250"/>
      <c r="AB540" s="301"/>
      <c r="AC540" s="305"/>
      <c r="AD540" s="262"/>
      <c r="AE540" s="262"/>
      <c r="AF540" s="283"/>
    </row>
    <row r="541" spans="2:32" hidden="1">
      <c r="B541" s="267"/>
      <c r="C541" s="219"/>
      <c r="D541" s="219"/>
      <c r="E541" s="219"/>
      <c r="F541" s="219"/>
      <c r="G541" s="222"/>
      <c r="H541" s="227"/>
      <c r="I541" s="227"/>
      <c r="J541" s="217"/>
      <c r="K541" s="217"/>
      <c r="L541" s="217"/>
      <c r="M541" s="231"/>
      <c r="N541" s="235"/>
      <c r="O541" s="239"/>
      <c r="P541" s="245"/>
      <c r="Q541" s="246"/>
      <c r="R541" s="302"/>
      <c r="S541" s="251"/>
      <c r="T541" s="302"/>
      <c r="U541" s="251"/>
      <c r="V541" s="302"/>
      <c r="W541" s="251"/>
      <c r="X541" s="255"/>
      <c r="Y541" s="302"/>
      <c r="Z541" s="259"/>
      <c r="AA541" s="251"/>
      <c r="AB541" s="302"/>
      <c r="AC541" s="306"/>
      <c r="AD541" s="261"/>
      <c r="AE541" s="261"/>
      <c r="AF541" s="282"/>
    </row>
    <row r="542" spans="2:32" hidden="1">
      <c r="B542" s="266"/>
      <c r="C542" s="220"/>
      <c r="D542" s="220"/>
      <c r="E542" s="220"/>
      <c r="F542" s="220"/>
      <c r="G542" s="223"/>
      <c r="H542" s="226"/>
      <c r="I542" s="226"/>
      <c r="J542" s="216"/>
      <c r="K542" s="216"/>
      <c r="L542" s="216"/>
      <c r="M542" s="230"/>
      <c r="N542" s="234"/>
      <c r="O542" s="238"/>
      <c r="P542" s="243"/>
      <c r="Q542" s="244"/>
      <c r="R542" s="301"/>
      <c r="S542" s="250"/>
      <c r="T542" s="301"/>
      <c r="U542" s="250"/>
      <c r="V542" s="301"/>
      <c r="W542" s="250"/>
      <c r="X542" s="254"/>
      <c r="Y542" s="301"/>
      <c r="Z542" s="258"/>
      <c r="AA542" s="250"/>
      <c r="AB542" s="301"/>
      <c r="AC542" s="305"/>
      <c r="AD542" s="262"/>
      <c r="AE542" s="262"/>
      <c r="AF542" s="283"/>
    </row>
    <row r="543" spans="2:32" hidden="1">
      <c r="B543" s="267"/>
      <c r="C543" s="219"/>
      <c r="D543" s="219"/>
      <c r="E543" s="219"/>
      <c r="F543" s="219"/>
      <c r="G543" s="222"/>
      <c r="H543" s="227"/>
      <c r="I543" s="227"/>
      <c r="J543" s="217"/>
      <c r="K543" s="217"/>
      <c r="L543" s="217"/>
      <c r="M543" s="231"/>
      <c r="N543" s="235"/>
      <c r="O543" s="239"/>
      <c r="P543" s="245"/>
      <c r="Q543" s="246"/>
      <c r="R543" s="302"/>
      <c r="S543" s="251"/>
      <c r="T543" s="302"/>
      <c r="U543" s="251"/>
      <c r="V543" s="302"/>
      <c r="W543" s="251"/>
      <c r="X543" s="255"/>
      <c r="Y543" s="302"/>
      <c r="Z543" s="259"/>
      <c r="AA543" s="251"/>
      <c r="AB543" s="302"/>
      <c r="AC543" s="306"/>
      <c r="AD543" s="261"/>
      <c r="AE543" s="261"/>
      <c r="AF543" s="282"/>
    </row>
    <row r="544" spans="2:32" hidden="1">
      <c r="B544" s="266"/>
      <c r="C544" s="220"/>
      <c r="D544" s="220"/>
      <c r="E544" s="220"/>
      <c r="F544" s="220"/>
      <c r="G544" s="223"/>
      <c r="H544" s="226"/>
      <c r="I544" s="226"/>
      <c r="J544" s="216"/>
      <c r="K544" s="216"/>
      <c r="L544" s="216"/>
      <c r="M544" s="230"/>
      <c r="N544" s="234"/>
      <c r="O544" s="238"/>
      <c r="P544" s="243"/>
      <c r="Q544" s="244"/>
      <c r="R544" s="301"/>
      <c r="S544" s="250"/>
      <c r="T544" s="301"/>
      <c r="U544" s="250"/>
      <c r="V544" s="301"/>
      <c r="W544" s="250"/>
      <c r="X544" s="254"/>
      <c r="Y544" s="301"/>
      <c r="Z544" s="258"/>
      <c r="AA544" s="250"/>
      <c r="AB544" s="301"/>
      <c r="AC544" s="305"/>
      <c r="AD544" s="262"/>
      <c r="AE544" s="262"/>
      <c r="AF544" s="283"/>
    </row>
    <row r="545" spans="2:32" hidden="1">
      <c r="B545" s="267"/>
      <c r="C545" s="219"/>
      <c r="D545" s="219"/>
      <c r="E545" s="219"/>
      <c r="F545" s="219"/>
      <c r="G545" s="222"/>
      <c r="H545" s="227"/>
      <c r="I545" s="227"/>
      <c r="J545" s="217"/>
      <c r="K545" s="217"/>
      <c r="L545" s="217"/>
      <c r="M545" s="231"/>
      <c r="N545" s="235"/>
      <c r="O545" s="239"/>
      <c r="P545" s="245"/>
      <c r="Q545" s="246"/>
      <c r="R545" s="302"/>
      <c r="S545" s="251"/>
      <c r="T545" s="302"/>
      <c r="U545" s="251"/>
      <c r="V545" s="302"/>
      <c r="W545" s="251"/>
      <c r="X545" s="255"/>
      <c r="Y545" s="302"/>
      <c r="Z545" s="259"/>
      <c r="AA545" s="251"/>
      <c r="AB545" s="302"/>
      <c r="AC545" s="306"/>
      <c r="AD545" s="261"/>
      <c r="AE545" s="261"/>
      <c r="AF545" s="282"/>
    </row>
    <row r="546" spans="2:32" hidden="1">
      <c r="B546" s="266"/>
      <c r="C546" s="220"/>
      <c r="D546" s="220"/>
      <c r="E546" s="220"/>
      <c r="F546" s="220"/>
      <c r="G546" s="223"/>
      <c r="H546" s="226"/>
      <c r="I546" s="226"/>
      <c r="J546" s="216"/>
      <c r="K546" s="216"/>
      <c r="L546" s="216"/>
      <c r="M546" s="230"/>
      <c r="N546" s="234"/>
      <c r="O546" s="238"/>
      <c r="P546" s="243"/>
      <c r="Q546" s="244"/>
      <c r="R546" s="301"/>
      <c r="S546" s="250"/>
      <c r="T546" s="301"/>
      <c r="U546" s="250"/>
      <c r="V546" s="301"/>
      <c r="W546" s="250"/>
      <c r="X546" s="254"/>
      <c r="Y546" s="301"/>
      <c r="Z546" s="258"/>
      <c r="AA546" s="250"/>
      <c r="AB546" s="301"/>
      <c r="AC546" s="305"/>
      <c r="AD546" s="262"/>
      <c r="AE546" s="262"/>
      <c r="AF546" s="283"/>
    </row>
    <row r="547" spans="2:32" hidden="1">
      <c r="B547" s="267"/>
      <c r="C547" s="219"/>
      <c r="D547" s="219"/>
      <c r="E547" s="219"/>
      <c r="F547" s="219"/>
      <c r="G547" s="222"/>
      <c r="H547" s="227"/>
      <c r="I547" s="227"/>
      <c r="J547" s="217"/>
      <c r="K547" s="217"/>
      <c r="L547" s="217"/>
      <c r="M547" s="231"/>
      <c r="N547" s="235"/>
      <c r="O547" s="239"/>
      <c r="P547" s="245"/>
      <c r="Q547" s="246"/>
      <c r="R547" s="302"/>
      <c r="S547" s="251"/>
      <c r="T547" s="302"/>
      <c r="U547" s="251"/>
      <c r="V547" s="302"/>
      <c r="W547" s="251"/>
      <c r="X547" s="255"/>
      <c r="Y547" s="302"/>
      <c r="Z547" s="259"/>
      <c r="AA547" s="251"/>
      <c r="AB547" s="302"/>
      <c r="AC547" s="306"/>
      <c r="AD547" s="261"/>
      <c r="AE547" s="261"/>
      <c r="AF547" s="282"/>
    </row>
    <row r="548" spans="2:32" hidden="1">
      <c r="B548" s="266"/>
      <c r="C548" s="220"/>
      <c r="D548" s="220"/>
      <c r="E548" s="220"/>
      <c r="F548" s="220"/>
      <c r="G548" s="223"/>
      <c r="H548" s="226"/>
      <c r="I548" s="226"/>
      <c r="J548" s="216"/>
      <c r="K548" s="216"/>
      <c r="L548" s="216"/>
      <c r="M548" s="230"/>
      <c r="N548" s="234"/>
      <c r="O548" s="238"/>
      <c r="P548" s="243"/>
      <c r="Q548" s="244"/>
      <c r="R548" s="301"/>
      <c r="S548" s="250"/>
      <c r="T548" s="301"/>
      <c r="U548" s="250"/>
      <c r="V548" s="301"/>
      <c r="W548" s="250"/>
      <c r="X548" s="254"/>
      <c r="Y548" s="301"/>
      <c r="Z548" s="258"/>
      <c r="AA548" s="250"/>
      <c r="AB548" s="301"/>
      <c r="AC548" s="305"/>
      <c r="AD548" s="262"/>
      <c r="AE548" s="262"/>
      <c r="AF548" s="283"/>
    </row>
    <row r="549" spans="2:32" hidden="1">
      <c r="B549" s="267"/>
      <c r="C549" s="219"/>
      <c r="D549" s="219"/>
      <c r="E549" s="219"/>
      <c r="F549" s="219"/>
      <c r="G549" s="222"/>
      <c r="H549" s="227"/>
      <c r="I549" s="227"/>
      <c r="J549" s="217"/>
      <c r="K549" s="217"/>
      <c r="L549" s="217"/>
      <c r="M549" s="231"/>
      <c r="N549" s="235"/>
      <c r="O549" s="239"/>
      <c r="P549" s="245"/>
      <c r="Q549" s="246"/>
      <c r="R549" s="302"/>
      <c r="S549" s="251"/>
      <c r="T549" s="302"/>
      <c r="U549" s="251"/>
      <c r="V549" s="302"/>
      <c r="W549" s="251"/>
      <c r="X549" s="255"/>
      <c r="Y549" s="302"/>
      <c r="Z549" s="259"/>
      <c r="AA549" s="251"/>
      <c r="AB549" s="302"/>
      <c r="AC549" s="306"/>
      <c r="AD549" s="261"/>
      <c r="AE549" s="261"/>
      <c r="AF549" s="282"/>
    </row>
    <row r="550" spans="2:32" hidden="1">
      <c r="B550" s="266"/>
      <c r="C550" s="220"/>
      <c r="D550" s="220"/>
      <c r="E550" s="220"/>
      <c r="F550" s="220"/>
      <c r="G550" s="223"/>
      <c r="H550" s="226"/>
      <c r="I550" s="226"/>
      <c r="J550" s="216"/>
      <c r="K550" s="216"/>
      <c r="L550" s="216"/>
      <c r="M550" s="230"/>
      <c r="N550" s="234"/>
      <c r="O550" s="238"/>
      <c r="P550" s="243"/>
      <c r="Q550" s="244"/>
      <c r="R550" s="301"/>
      <c r="S550" s="250"/>
      <c r="T550" s="301"/>
      <c r="U550" s="250"/>
      <c r="V550" s="301"/>
      <c r="W550" s="250"/>
      <c r="X550" s="254"/>
      <c r="Y550" s="301"/>
      <c r="Z550" s="258"/>
      <c r="AA550" s="250"/>
      <c r="AB550" s="301"/>
      <c r="AC550" s="305"/>
      <c r="AD550" s="262"/>
      <c r="AE550" s="262"/>
      <c r="AF550" s="283"/>
    </row>
    <row r="551" spans="2:32" hidden="1">
      <c r="B551" s="267"/>
      <c r="C551" s="219"/>
      <c r="D551" s="219"/>
      <c r="E551" s="219"/>
      <c r="F551" s="219"/>
      <c r="G551" s="222"/>
      <c r="H551" s="227"/>
      <c r="I551" s="227"/>
      <c r="J551" s="217"/>
      <c r="K551" s="217"/>
      <c r="L551" s="217"/>
      <c r="M551" s="231"/>
      <c r="N551" s="235"/>
      <c r="O551" s="239"/>
      <c r="P551" s="245"/>
      <c r="Q551" s="246"/>
      <c r="R551" s="302"/>
      <c r="S551" s="251"/>
      <c r="T551" s="302"/>
      <c r="U551" s="251"/>
      <c r="V551" s="302"/>
      <c r="W551" s="251"/>
      <c r="X551" s="255"/>
      <c r="Y551" s="302"/>
      <c r="Z551" s="259"/>
      <c r="AA551" s="251"/>
      <c r="AB551" s="302"/>
      <c r="AC551" s="306"/>
      <c r="AD551" s="261"/>
      <c r="AE551" s="261"/>
      <c r="AF551" s="282"/>
    </row>
    <row r="552" spans="2:32" hidden="1">
      <c r="B552" s="266"/>
      <c r="C552" s="220"/>
      <c r="D552" s="220"/>
      <c r="E552" s="220"/>
      <c r="F552" s="220"/>
      <c r="G552" s="223"/>
      <c r="H552" s="226"/>
      <c r="I552" s="226"/>
      <c r="J552" s="216"/>
      <c r="K552" s="216"/>
      <c r="L552" s="216"/>
      <c r="M552" s="230"/>
      <c r="N552" s="234"/>
      <c r="O552" s="238"/>
      <c r="P552" s="243"/>
      <c r="Q552" s="244"/>
      <c r="R552" s="301"/>
      <c r="S552" s="250"/>
      <c r="T552" s="301"/>
      <c r="U552" s="250"/>
      <c r="V552" s="301"/>
      <c r="W552" s="250"/>
      <c r="X552" s="254"/>
      <c r="Y552" s="301"/>
      <c r="Z552" s="258"/>
      <c r="AA552" s="250"/>
      <c r="AB552" s="301"/>
      <c r="AC552" s="305"/>
      <c r="AD552" s="262"/>
      <c r="AE552" s="262"/>
      <c r="AF552" s="283"/>
    </row>
    <row r="553" spans="2:32" hidden="1">
      <c r="B553" s="267"/>
      <c r="C553" s="219"/>
      <c r="D553" s="219"/>
      <c r="E553" s="219"/>
      <c r="F553" s="219"/>
      <c r="G553" s="222"/>
      <c r="H553" s="227"/>
      <c r="I553" s="227"/>
      <c r="J553" s="217"/>
      <c r="K553" s="217"/>
      <c r="L553" s="217"/>
      <c r="M553" s="231"/>
      <c r="N553" s="235"/>
      <c r="O553" s="239"/>
      <c r="P553" s="245"/>
      <c r="Q553" s="246"/>
      <c r="R553" s="302"/>
      <c r="S553" s="251"/>
      <c r="T553" s="302"/>
      <c r="U553" s="251"/>
      <c r="V553" s="302"/>
      <c r="W553" s="251"/>
      <c r="X553" s="255"/>
      <c r="Y553" s="302"/>
      <c r="Z553" s="259"/>
      <c r="AA553" s="251"/>
      <c r="AB553" s="302"/>
      <c r="AC553" s="306"/>
      <c r="AD553" s="261"/>
      <c r="AE553" s="261"/>
      <c r="AF553" s="282"/>
    </row>
    <row r="554" spans="2:32" hidden="1">
      <c r="B554" s="266"/>
      <c r="C554" s="220"/>
      <c r="D554" s="220"/>
      <c r="E554" s="220"/>
      <c r="F554" s="220"/>
      <c r="G554" s="223"/>
      <c r="H554" s="226"/>
      <c r="I554" s="226"/>
      <c r="J554" s="216"/>
      <c r="K554" s="216"/>
      <c r="L554" s="216"/>
      <c r="M554" s="230"/>
      <c r="N554" s="234"/>
      <c r="O554" s="238"/>
      <c r="P554" s="243"/>
      <c r="Q554" s="244"/>
      <c r="R554" s="301"/>
      <c r="S554" s="250"/>
      <c r="T554" s="301"/>
      <c r="U554" s="250"/>
      <c r="V554" s="301"/>
      <c r="W554" s="250"/>
      <c r="X554" s="254"/>
      <c r="Y554" s="301"/>
      <c r="Z554" s="258"/>
      <c r="AA554" s="250"/>
      <c r="AB554" s="301"/>
      <c r="AC554" s="305"/>
      <c r="AD554" s="262"/>
      <c r="AE554" s="262"/>
      <c r="AF554" s="283"/>
    </row>
    <row r="555" spans="2:32" hidden="1">
      <c r="B555" s="267"/>
      <c r="C555" s="219"/>
      <c r="D555" s="219"/>
      <c r="E555" s="219"/>
      <c r="F555" s="219"/>
      <c r="G555" s="222"/>
      <c r="H555" s="227"/>
      <c r="I555" s="227"/>
      <c r="J555" s="217"/>
      <c r="K555" s="217"/>
      <c r="L555" s="217"/>
      <c r="M555" s="231"/>
      <c r="N555" s="235"/>
      <c r="O555" s="239"/>
      <c r="P555" s="245"/>
      <c r="Q555" s="246"/>
      <c r="R555" s="302"/>
      <c r="S555" s="251"/>
      <c r="T555" s="302"/>
      <c r="U555" s="251"/>
      <c r="V555" s="302"/>
      <c r="W555" s="251"/>
      <c r="X555" s="255"/>
      <c r="Y555" s="302"/>
      <c r="Z555" s="259"/>
      <c r="AA555" s="251"/>
      <c r="AB555" s="302"/>
      <c r="AC555" s="306"/>
      <c r="AD555" s="261"/>
      <c r="AE555" s="261"/>
      <c r="AF555" s="282"/>
    </row>
    <row r="556" spans="2:32" hidden="1">
      <c r="B556" s="266"/>
      <c r="C556" s="220"/>
      <c r="D556" s="220"/>
      <c r="E556" s="220"/>
      <c r="F556" s="220"/>
      <c r="G556" s="223"/>
      <c r="H556" s="226"/>
      <c r="I556" s="226"/>
      <c r="J556" s="216"/>
      <c r="K556" s="216"/>
      <c r="L556" s="216"/>
      <c r="M556" s="230"/>
      <c r="N556" s="234"/>
      <c r="O556" s="238"/>
      <c r="P556" s="243"/>
      <c r="Q556" s="244"/>
      <c r="R556" s="301"/>
      <c r="S556" s="250"/>
      <c r="T556" s="301"/>
      <c r="U556" s="250"/>
      <c r="V556" s="301"/>
      <c r="W556" s="250"/>
      <c r="X556" s="254"/>
      <c r="Y556" s="301"/>
      <c r="Z556" s="258"/>
      <c r="AA556" s="250"/>
      <c r="AB556" s="301"/>
      <c r="AC556" s="305"/>
      <c r="AD556" s="262"/>
      <c r="AE556" s="262"/>
      <c r="AF556" s="283"/>
    </row>
    <row r="557" spans="2:32" hidden="1">
      <c r="B557" s="267"/>
      <c r="C557" s="219"/>
      <c r="D557" s="219"/>
      <c r="E557" s="219"/>
      <c r="F557" s="219"/>
      <c r="G557" s="222"/>
      <c r="H557" s="227"/>
      <c r="I557" s="227"/>
      <c r="J557" s="217"/>
      <c r="K557" s="217"/>
      <c r="L557" s="217"/>
      <c r="M557" s="231"/>
      <c r="N557" s="235"/>
      <c r="O557" s="239"/>
      <c r="P557" s="245"/>
      <c r="Q557" s="246"/>
      <c r="R557" s="302"/>
      <c r="S557" s="251"/>
      <c r="T557" s="302"/>
      <c r="U557" s="251"/>
      <c r="V557" s="302"/>
      <c r="W557" s="251"/>
      <c r="X557" s="255"/>
      <c r="Y557" s="302"/>
      <c r="Z557" s="259"/>
      <c r="AA557" s="251"/>
      <c r="AB557" s="302"/>
      <c r="AC557" s="306"/>
      <c r="AD557" s="261"/>
      <c r="AE557" s="261"/>
      <c r="AF557" s="282"/>
    </row>
    <row r="558" spans="2:32" hidden="1">
      <c r="B558" s="266"/>
      <c r="C558" s="220"/>
      <c r="D558" s="220"/>
      <c r="E558" s="220"/>
      <c r="F558" s="220"/>
      <c r="G558" s="223"/>
      <c r="H558" s="226"/>
      <c r="I558" s="226"/>
      <c r="J558" s="216"/>
      <c r="K558" s="216"/>
      <c r="L558" s="216"/>
      <c r="M558" s="230"/>
      <c r="N558" s="234"/>
      <c r="O558" s="238"/>
      <c r="P558" s="243"/>
      <c r="Q558" s="244"/>
      <c r="R558" s="301"/>
      <c r="S558" s="250"/>
      <c r="T558" s="301"/>
      <c r="U558" s="250"/>
      <c r="V558" s="301"/>
      <c r="W558" s="250"/>
      <c r="X558" s="254"/>
      <c r="Y558" s="301"/>
      <c r="Z558" s="258"/>
      <c r="AA558" s="250"/>
      <c r="AB558" s="301"/>
      <c r="AC558" s="305"/>
      <c r="AD558" s="262"/>
      <c r="AE558" s="262"/>
      <c r="AF558" s="283"/>
    </row>
    <row r="559" spans="2:32" hidden="1">
      <c r="B559" s="267"/>
      <c r="C559" s="219"/>
      <c r="D559" s="219"/>
      <c r="E559" s="219"/>
      <c r="F559" s="219"/>
      <c r="G559" s="222"/>
      <c r="H559" s="227"/>
      <c r="I559" s="227"/>
      <c r="J559" s="217"/>
      <c r="K559" s="217"/>
      <c r="L559" s="217"/>
      <c r="M559" s="231"/>
      <c r="N559" s="235"/>
      <c r="O559" s="239"/>
      <c r="P559" s="245"/>
      <c r="Q559" s="246"/>
      <c r="R559" s="302"/>
      <c r="S559" s="251"/>
      <c r="T559" s="302"/>
      <c r="U559" s="251"/>
      <c r="V559" s="302"/>
      <c r="W559" s="251"/>
      <c r="X559" s="255"/>
      <c r="Y559" s="302"/>
      <c r="Z559" s="259"/>
      <c r="AA559" s="251"/>
      <c r="AB559" s="302"/>
      <c r="AC559" s="306"/>
      <c r="AD559" s="261"/>
      <c r="AE559" s="261"/>
      <c r="AF559" s="282"/>
    </row>
    <row r="560" spans="2:32" hidden="1">
      <c r="B560" s="266"/>
      <c r="C560" s="220"/>
      <c r="D560" s="220"/>
      <c r="E560" s="220"/>
      <c r="F560" s="220"/>
      <c r="G560" s="223"/>
      <c r="H560" s="226"/>
      <c r="I560" s="226"/>
      <c r="J560" s="216"/>
      <c r="K560" s="216"/>
      <c r="L560" s="216"/>
      <c r="M560" s="230"/>
      <c r="N560" s="234"/>
      <c r="O560" s="238"/>
      <c r="P560" s="243"/>
      <c r="Q560" s="244"/>
      <c r="R560" s="301"/>
      <c r="S560" s="250"/>
      <c r="T560" s="301"/>
      <c r="U560" s="250"/>
      <c r="V560" s="301"/>
      <c r="W560" s="250"/>
      <c r="X560" s="254"/>
      <c r="Y560" s="301"/>
      <c r="Z560" s="258"/>
      <c r="AA560" s="250"/>
      <c r="AB560" s="301"/>
      <c r="AC560" s="305"/>
      <c r="AD560" s="262"/>
      <c r="AE560" s="262"/>
      <c r="AF560" s="283"/>
    </row>
    <row r="561" spans="2:32" hidden="1">
      <c r="B561" s="267"/>
      <c r="C561" s="219"/>
      <c r="D561" s="219"/>
      <c r="E561" s="219"/>
      <c r="F561" s="219"/>
      <c r="G561" s="222"/>
      <c r="H561" s="227"/>
      <c r="I561" s="227"/>
      <c r="J561" s="217"/>
      <c r="K561" s="217"/>
      <c r="L561" s="217"/>
      <c r="M561" s="231"/>
      <c r="N561" s="235"/>
      <c r="O561" s="239"/>
      <c r="P561" s="245"/>
      <c r="Q561" s="246"/>
      <c r="R561" s="302"/>
      <c r="S561" s="251"/>
      <c r="T561" s="302"/>
      <c r="U561" s="251"/>
      <c r="V561" s="302"/>
      <c r="W561" s="251"/>
      <c r="X561" s="255"/>
      <c r="Y561" s="302"/>
      <c r="Z561" s="259"/>
      <c r="AA561" s="251"/>
      <c r="AB561" s="302"/>
      <c r="AC561" s="306"/>
      <c r="AD561" s="261"/>
      <c r="AE561" s="261"/>
      <c r="AF561" s="282"/>
    </row>
    <row r="562" spans="2:32" hidden="1">
      <c r="B562" s="266"/>
      <c r="C562" s="220"/>
      <c r="D562" s="220"/>
      <c r="E562" s="220"/>
      <c r="F562" s="220"/>
      <c r="G562" s="223"/>
      <c r="H562" s="226"/>
      <c r="I562" s="226"/>
      <c r="J562" s="216"/>
      <c r="K562" s="216"/>
      <c r="L562" s="216"/>
      <c r="M562" s="230"/>
      <c r="N562" s="234"/>
      <c r="O562" s="238"/>
      <c r="P562" s="243"/>
      <c r="Q562" s="244"/>
      <c r="R562" s="301"/>
      <c r="S562" s="250"/>
      <c r="T562" s="301"/>
      <c r="U562" s="250"/>
      <c r="V562" s="301"/>
      <c r="W562" s="250"/>
      <c r="X562" s="254"/>
      <c r="Y562" s="301"/>
      <c r="Z562" s="258"/>
      <c r="AA562" s="250"/>
      <c r="AB562" s="301"/>
      <c r="AC562" s="305"/>
      <c r="AD562" s="262"/>
      <c r="AE562" s="262"/>
      <c r="AF562" s="283"/>
    </row>
    <row r="563" spans="2:32" hidden="1">
      <c r="B563" s="267"/>
      <c r="C563" s="219"/>
      <c r="D563" s="219"/>
      <c r="E563" s="219"/>
      <c r="F563" s="219"/>
      <c r="G563" s="222"/>
      <c r="H563" s="227"/>
      <c r="I563" s="227"/>
      <c r="J563" s="217"/>
      <c r="K563" s="217"/>
      <c r="L563" s="217"/>
      <c r="M563" s="231"/>
      <c r="N563" s="235"/>
      <c r="O563" s="239"/>
      <c r="P563" s="245"/>
      <c r="Q563" s="246"/>
      <c r="R563" s="302"/>
      <c r="S563" s="251"/>
      <c r="T563" s="302"/>
      <c r="U563" s="251"/>
      <c r="V563" s="302"/>
      <c r="W563" s="251"/>
      <c r="X563" s="255"/>
      <c r="Y563" s="302"/>
      <c r="Z563" s="259"/>
      <c r="AA563" s="251"/>
      <c r="AB563" s="302"/>
      <c r="AC563" s="306"/>
      <c r="AD563" s="261"/>
      <c r="AE563" s="261"/>
      <c r="AF563" s="282"/>
    </row>
    <row r="564" spans="2:32" hidden="1">
      <c r="B564" s="266"/>
      <c r="C564" s="220"/>
      <c r="D564" s="220"/>
      <c r="E564" s="220"/>
      <c r="F564" s="220"/>
      <c r="G564" s="223"/>
      <c r="H564" s="226"/>
      <c r="I564" s="226"/>
      <c r="J564" s="216"/>
      <c r="K564" s="216"/>
      <c r="L564" s="216"/>
      <c r="M564" s="230"/>
      <c r="N564" s="234"/>
      <c r="O564" s="238"/>
      <c r="P564" s="243"/>
      <c r="Q564" s="244"/>
      <c r="R564" s="301"/>
      <c r="S564" s="250"/>
      <c r="T564" s="301"/>
      <c r="U564" s="250"/>
      <c r="V564" s="301"/>
      <c r="W564" s="250"/>
      <c r="X564" s="254"/>
      <c r="Y564" s="301"/>
      <c r="Z564" s="258"/>
      <c r="AA564" s="250"/>
      <c r="AB564" s="301"/>
      <c r="AC564" s="305"/>
      <c r="AD564" s="262"/>
      <c r="AE564" s="262"/>
      <c r="AF564" s="283"/>
    </row>
    <row r="565" spans="2:32" hidden="1">
      <c r="B565" s="267"/>
      <c r="C565" s="219"/>
      <c r="D565" s="219"/>
      <c r="E565" s="219"/>
      <c r="F565" s="219"/>
      <c r="G565" s="222"/>
      <c r="H565" s="227"/>
      <c r="I565" s="227"/>
      <c r="J565" s="217"/>
      <c r="K565" s="217"/>
      <c r="L565" s="217"/>
      <c r="M565" s="231"/>
      <c r="N565" s="235"/>
      <c r="O565" s="239"/>
      <c r="P565" s="245"/>
      <c r="Q565" s="246"/>
      <c r="R565" s="302"/>
      <c r="S565" s="251"/>
      <c r="T565" s="302"/>
      <c r="U565" s="251"/>
      <c r="V565" s="302"/>
      <c r="W565" s="251"/>
      <c r="X565" s="255"/>
      <c r="Y565" s="302"/>
      <c r="Z565" s="259"/>
      <c r="AA565" s="251"/>
      <c r="AB565" s="302"/>
      <c r="AC565" s="306"/>
      <c r="AD565" s="261"/>
      <c r="AE565" s="261"/>
      <c r="AF565" s="282"/>
    </row>
    <row r="566" spans="2:32" hidden="1">
      <c r="B566" s="266"/>
      <c r="C566" s="220"/>
      <c r="D566" s="220"/>
      <c r="E566" s="220"/>
      <c r="F566" s="220"/>
      <c r="G566" s="223"/>
      <c r="H566" s="226"/>
      <c r="I566" s="226"/>
      <c r="J566" s="216"/>
      <c r="K566" s="216"/>
      <c r="L566" s="216"/>
      <c r="M566" s="230"/>
      <c r="N566" s="234"/>
      <c r="O566" s="238"/>
      <c r="P566" s="243"/>
      <c r="Q566" s="244"/>
      <c r="R566" s="301"/>
      <c r="S566" s="250"/>
      <c r="T566" s="301"/>
      <c r="U566" s="250"/>
      <c r="V566" s="301"/>
      <c r="W566" s="250"/>
      <c r="X566" s="254"/>
      <c r="Y566" s="301"/>
      <c r="Z566" s="258"/>
      <c r="AA566" s="250"/>
      <c r="AB566" s="301"/>
      <c r="AC566" s="305"/>
      <c r="AD566" s="262"/>
      <c r="AE566" s="262"/>
      <c r="AF566" s="283"/>
    </row>
    <row r="567" spans="2:32" hidden="1">
      <c r="B567" s="267"/>
      <c r="C567" s="219"/>
      <c r="D567" s="219"/>
      <c r="E567" s="219"/>
      <c r="F567" s="219"/>
      <c r="G567" s="222"/>
      <c r="H567" s="227"/>
      <c r="I567" s="227"/>
      <c r="J567" s="217"/>
      <c r="K567" s="217"/>
      <c r="L567" s="217"/>
      <c r="M567" s="231"/>
      <c r="N567" s="235"/>
      <c r="O567" s="239"/>
      <c r="P567" s="245"/>
      <c r="Q567" s="246"/>
      <c r="R567" s="302"/>
      <c r="S567" s="251"/>
      <c r="T567" s="302"/>
      <c r="U567" s="251"/>
      <c r="V567" s="302"/>
      <c r="W567" s="251"/>
      <c r="X567" s="255"/>
      <c r="Y567" s="302"/>
      <c r="Z567" s="259"/>
      <c r="AA567" s="251"/>
      <c r="AB567" s="302"/>
      <c r="AC567" s="306"/>
      <c r="AD567" s="261"/>
      <c r="AE567" s="261"/>
      <c r="AF567" s="282"/>
    </row>
    <row r="568" spans="2:32" hidden="1">
      <c r="B568" s="266"/>
      <c r="C568" s="220"/>
      <c r="D568" s="220"/>
      <c r="E568" s="220"/>
      <c r="F568" s="220"/>
      <c r="G568" s="223"/>
      <c r="H568" s="226"/>
      <c r="I568" s="226"/>
      <c r="J568" s="216"/>
      <c r="K568" s="216"/>
      <c r="L568" s="216"/>
      <c r="M568" s="230"/>
      <c r="N568" s="234"/>
      <c r="O568" s="238"/>
      <c r="P568" s="243"/>
      <c r="Q568" s="244"/>
      <c r="R568" s="301"/>
      <c r="S568" s="250"/>
      <c r="T568" s="301"/>
      <c r="U568" s="250"/>
      <c r="V568" s="301"/>
      <c r="W568" s="250"/>
      <c r="X568" s="254"/>
      <c r="Y568" s="301"/>
      <c r="Z568" s="258"/>
      <c r="AA568" s="250"/>
      <c r="AB568" s="301"/>
      <c r="AC568" s="305"/>
      <c r="AD568" s="262"/>
      <c r="AE568" s="262"/>
      <c r="AF568" s="283"/>
    </row>
    <row r="569" spans="2:32" hidden="1">
      <c r="B569" s="267"/>
      <c r="C569" s="219"/>
      <c r="D569" s="219"/>
      <c r="E569" s="219"/>
      <c r="F569" s="219"/>
      <c r="G569" s="222"/>
      <c r="H569" s="227"/>
      <c r="I569" s="227"/>
      <c r="J569" s="217"/>
      <c r="K569" s="217"/>
      <c r="L569" s="217"/>
      <c r="M569" s="231"/>
      <c r="N569" s="235"/>
      <c r="O569" s="239"/>
      <c r="P569" s="245"/>
      <c r="Q569" s="246"/>
      <c r="R569" s="302"/>
      <c r="S569" s="251"/>
      <c r="T569" s="302"/>
      <c r="U569" s="251"/>
      <c r="V569" s="302"/>
      <c r="W569" s="251"/>
      <c r="X569" s="255"/>
      <c r="Y569" s="302"/>
      <c r="Z569" s="259"/>
      <c r="AA569" s="251"/>
      <c r="AB569" s="302"/>
      <c r="AC569" s="306"/>
      <c r="AD569" s="261"/>
      <c r="AE569" s="261"/>
      <c r="AF569" s="282"/>
    </row>
    <row r="570" spans="2:32" hidden="1">
      <c r="B570" s="266"/>
      <c r="C570" s="220"/>
      <c r="D570" s="220"/>
      <c r="E570" s="220"/>
      <c r="F570" s="220"/>
      <c r="G570" s="223"/>
      <c r="H570" s="226"/>
      <c r="I570" s="226"/>
      <c r="J570" s="216"/>
      <c r="K570" s="216"/>
      <c r="L570" s="216"/>
      <c r="M570" s="230"/>
      <c r="N570" s="234"/>
      <c r="O570" s="238"/>
      <c r="P570" s="243"/>
      <c r="Q570" s="244"/>
      <c r="R570" s="301"/>
      <c r="S570" s="250"/>
      <c r="T570" s="301"/>
      <c r="U570" s="250"/>
      <c r="V570" s="301"/>
      <c r="W570" s="250"/>
      <c r="X570" s="254"/>
      <c r="Y570" s="301"/>
      <c r="Z570" s="258"/>
      <c r="AA570" s="250"/>
      <c r="AB570" s="301"/>
      <c r="AC570" s="305"/>
      <c r="AD570" s="262"/>
      <c r="AE570" s="262"/>
      <c r="AF570" s="283"/>
    </row>
    <row r="571" spans="2:32" hidden="1">
      <c r="B571" s="267"/>
      <c r="C571" s="219"/>
      <c r="D571" s="219"/>
      <c r="E571" s="219"/>
      <c r="F571" s="219"/>
      <c r="G571" s="222"/>
      <c r="H571" s="227"/>
      <c r="I571" s="227"/>
      <c r="J571" s="217"/>
      <c r="K571" s="217"/>
      <c r="L571" s="217"/>
      <c r="M571" s="231"/>
      <c r="N571" s="235"/>
      <c r="O571" s="239"/>
      <c r="P571" s="245"/>
      <c r="Q571" s="246"/>
      <c r="R571" s="302"/>
      <c r="S571" s="251"/>
      <c r="T571" s="302"/>
      <c r="U571" s="251"/>
      <c r="V571" s="302"/>
      <c r="W571" s="251"/>
      <c r="X571" s="255"/>
      <c r="Y571" s="302"/>
      <c r="Z571" s="259"/>
      <c r="AA571" s="251"/>
      <c r="AB571" s="302"/>
      <c r="AC571" s="306"/>
      <c r="AD571" s="261"/>
      <c r="AE571" s="261"/>
      <c r="AF571" s="282"/>
    </row>
    <row r="572" spans="2:32" hidden="1">
      <c r="B572" s="266"/>
      <c r="C572" s="220"/>
      <c r="D572" s="220"/>
      <c r="E572" s="220"/>
      <c r="F572" s="220"/>
      <c r="G572" s="223"/>
      <c r="H572" s="226"/>
      <c r="I572" s="226"/>
      <c r="J572" s="216"/>
      <c r="K572" s="216"/>
      <c r="L572" s="216"/>
      <c r="M572" s="230"/>
      <c r="N572" s="234"/>
      <c r="O572" s="238"/>
      <c r="P572" s="243"/>
      <c r="Q572" s="244"/>
      <c r="R572" s="301"/>
      <c r="S572" s="250"/>
      <c r="T572" s="301"/>
      <c r="U572" s="250"/>
      <c r="V572" s="301"/>
      <c r="W572" s="250"/>
      <c r="X572" s="254"/>
      <c r="Y572" s="301"/>
      <c r="Z572" s="258"/>
      <c r="AA572" s="250"/>
      <c r="AB572" s="301"/>
      <c r="AC572" s="305"/>
      <c r="AD572" s="262"/>
      <c r="AE572" s="262"/>
      <c r="AF572" s="283"/>
    </row>
    <row r="573" spans="2:32" hidden="1">
      <c r="B573" s="267"/>
      <c r="C573" s="219"/>
      <c r="D573" s="219"/>
      <c r="E573" s="219"/>
      <c r="F573" s="219"/>
      <c r="G573" s="222"/>
      <c r="H573" s="227"/>
      <c r="I573" s="227"/>
      <c r="J573" s="217"/>
      <c r="K573" s="217"/>
      <c r="L573" s="217"/>
      <c r="M573" s="231"/>
      <c r="N573" s="235"/>
      <c r="O573" s="239"/>
      <c r="P573" s="245"/>
      <c r="Q573" s="246"/>
      <c r="R573" s="302"/>
      <c r="S573" s="251"/>
      <c r="T573" s="302"/>
      <c r="U573" s="251"/>
      <c r="V573" s="302"/>
      <c r="W573" s="251"/>
      <c r="X573" s="255"/>
      <c r="Y573" s="302"/>
      <c r="Z573" s="259"/>
      <c r="AA573" s="251"/>
      <c r="AB573" s="302"/>
      <c r="AC573" s="306"/>
      <c r="AD573" s="261"/>
      <c r="AE573" s="261"/>
      <c r="AF573" s="282"/>
    </row>
    <row r="574" spans="2:32" hidden="1">
      <c r="B574" s="266"/>
      <c r="C574" s="220"/>
      <c r="D574" s="220"/>
      <c r="E574" s="220"/>
      <c r="F574" s="220"/>
      <c r="G574" s="223"/>
      <c r="H574" s="226"/>
      <c r="I574" s="226"/>
      <c r="J574" s="216"/>
      <c r="K574" s="216"/>
      <c r="L574" s="216"/>
      <c r="M574" s="230"/>
      <c r="N574" s="234"/>
      <c r="O574" s="238"/>
      <c r="P574" s="243"/>
      <c r="Q574" s="244"/>
      <c r="R574" s="301"/>
      <c r="S574" s="250"/>
      <c r="T574" s="301"/>
      <c r="U574" s="250"/>
      <c r="V574" s="301"/>
      <c r="W574" s="250"/>
      <c r="X574" s="254"/>
      <c r="Y574" s="301"/>
      <c r="Z574" s="258"/>
      <c r="AA574" s="250"/>
      <c r="AB574" s="301"/>
      <c r="AC574" s="305"/>
      <c r="AD574" s="262"/>
      <c r="AE574" s="262"/>
      <c r="AF574" s="283"/>
    </row>
    <row r="575" spans="2:32" hidden="1">
      <c r="B575" s="267"/>
      <c r="C575" s="219"/>
      <c r="D575" s="219"/>
      <c r="E575" s="219"/>
      <c r="F575" s="219"/>
      <c r="G575" s="222"/>
      <c r="H575" s="227"/>
      <c r="I575" s="227"/>
      <c r="J575" s="217"/>
      <c r="K575" s="217"/>
      <c r="L575" s="217"/>
      <c r="M575" s="231"/>
      <c r="N575" s="235"/>
      <c r="O575" s="239"/>
      <c r="P575" s="245"/>
      <c r="Q575" s="246"/>
      <c r="R575" s="302"/>
      <c r="S575" s="251"/>
      <c r="T575" s="302"/>
      <c r="U575" s="251"/>
      <c r="V575" s="302"/>
      <c r="W575" s="251"/>
      <c r="X575" s="255"/>
      <c r="Y575" s="302"/>
      <c r="Z575" s="259"/>
      <c r="AA575" s="251"/>
      <c r="AB575" s="302"/>
      <c r="AC575" s="306"/>
      <c r="AD575" s="261"/>
      <c r="AE575" s="261"/>
      <c r="AF575" s="282"/>
    </row>
    <row r="576" spans="2:32" hidden="1">
      <c r="B576" s="266"/>
      <c r="C576" s="220"/>
      <c r="D576" s="220"/>
      <c r="E576" s="220"/>
      <c r="F576" s="220"/>
      <c r="G576" s="223"/>
      <c r="H576" s="226"/>
      <c r="I576" s="226"/>
      <c r="J576" s="216"/>
      <c r="K576" s="216"/>
      <c r="L576" s="216"/>
      <c r="M576" s="230"/>
      <c r="N576" s="234"/>
      <c r="O576" s="238"/>
      <c r="P576" s="243"/>
      <c r="Q576" s="244"/>
      <c r="R576" s="301"/>
      <c r="S576" s="250"/>
      <c r="T576" s="301"/>
      <c r="U576" s="250"/>
      <c r="V576" s="301"/>
      <c r="W576" s="250"/>
      <c r="X576" s="254"/>
      <c r="Y576" s="301"/>
      <c r="Z576" s="258"/>
      <c r="AA576" s="250"/>
      <c r="AB576" s="301"/>
      <c r="AC576" s="305"/>
      <c r="AD576" s="262"/>
      <c r="AE576" s="262"/>
      <c r="AF576" s="283"/>
    </row>
    <row r="577" spans="2:32" hidden="1">
      <c r="B577" s="267"/>
      <c r="C577" s="219"/>
      <c r="D577" s="219"/>
      <c r="E577" s="219"/>
      <c r="F577" s="219"/>
      <c r="G577" s="222"/>
      <c r="H577" s="227"/>
      <c r="I577" s="227"/>
      <c r="J577" s="217"/>
      <c r="K577" s="217"/>
      <c r="L577" s="217"/>
      <c r="M577" s="231"/>
      <c r="N577" s="235"/>
      <c r="O577" s="239"/>
      <c r="P577" s="245"/>
      <c r="Q577" s="246"/>
      <c r="R577" s="302"/>
      <c r="S577" s="251"/>
      <c r="T577" s="302"/>
      <c r="U577" s="251"/>
      <c r="V577" s="302"/>
      <c r="W577" s="251"/>
      <c r="X577" s="255"/>
      <c r="Y577" s="302"/>
      <c r="Z577" s="259"/>
      <c r="AA577" s="251"/>
      <c r="AB577" s="302"/>
      <c r="AC577" s="306"/>
      <c r="AD577" s="261"/>
      <c r="AE577" s="261"/>
      <c r="AF577" s="282"/>
    </row>
    <row r="578" spans="2:32" hidden="1">
      <c r="B578" s="266"/>
      <c r="C578" s="220"/>
      <c r="D578" s="220"/>
      <c r="E578" s="220"/>
      <c r="F578" s="220"/>
      <c r="G578" s="223"/>
      <c r="H578" s="226"/>
      <c r="I578" s="226"/>
      <c r="J578" s="216"/>
      <c r="K578" s="216"/>
      <c r="L578" s="216"/>
      <c r="M578" s="230"/>
      <c r="N578" s="234"/>
      <c r="O578" s="238"/>
      <c r="P578" s="243"/>
      <c r="Q578" s="244"/>
      <c r="R578" s="301"/>
      <c r="S578" s="250"/>
      <c r="T578" s="301"/>
      <c r="U578" s="250"/>
      <c r="V578" s="301"/>
      <c r="W578" s="250"/>
      <c r="X578" s="254"/>
      <c r="Y578" s="301"/>
      <c r="Z578" s="258"/>
      <c r="AA578" s="250"/>
      <c r="AB578" s="301"/>
      <c r="AC578" s="305"/>
      <c r="AD578" s="262"/>
      <c r="AE578" s="262"/>
      <c r="AF578" s="283"/>
    </row>
    <row r="579" spans="2:32" hidden="1">
      <c r="B579" s="267"/>
      <c r="C579" s="219"/>
      <c r="D579" s="219"/>
      <c r="E579" s="219"/>
      <c r="F579" s="219"/>
      <c r="G579" s="222"/>
      <c r="H579" s="227"/>
      <c r="I579" s="227"/>
      <c r="J579" s="217"/>
      <c r="K579" s="217"/>
      <c r="L579" s="217"/>
      <c r="M579" s="231"/>
      <c r="N579" s="235"/>
      <c r="O579" s="239"/>
      <c r="P579" s="245"/>
      <c r="Q579" s="246"/>
      <c r="R579" s="302"/>
      <c r="S579" s="251"/>
      <c r="T579" s="302"/>
      <c r="U579" s="251"/>
      <c r="V579" s="302"/>
      <c r="W579" s="251"/>
      <c r="X579" s="255"/>
      <c r="Y579" s="302"/>
      <c r="Z579" s="259"/>
      <c r="AA579" s="251"/>
      <c r="AB579" s="302"/>
      <c r="AC579" s="306"/>
      <c r="AD579" s="261"/>
      <c r="AE579" s="261"/>
      <c r="AF579" s="282"/>
    </row>
    <row r="580" spans="2:32" hidden="1">
      <c r="B580" s="266"/>
      <c r="C580" s="220"/>
      <c r="D580" s="220"/>
      <c r="E580" s="220"/>
      <c r="F580" s="220"/>
      <c r="G580" s="223"/>
      <c r="H580" s="226"/>
      <c r="I580" s="226"/>
      <c r="J580" s="216"/>
      <c r="K580" s="216"/>
      <c r="L580" s="216"/>
      <c r="M580" s="230"/>
      <c r="N580" s="234"/>
      <c r="O580" s="238"/>
      <c r="P580" s="243"/>
      <c r="Q580" s="244"/>
      <c r="R580" s="301"/>
      <c r="S580" s="250"/>
      <c r="T580" s="301"/>
      <c r="U580" s="250"/>
      <c r="V580" s="301"/>
      <c r="W580" s="250"/>
      <c r="X580" s="254"/>
      <c r="Y580" s="301"/>
      <c r="Z580" s="258"/>
      <c r="AA580" s="250"/>
      <c r="AB580" s="301"/>
      <c r="AC580" s="305"/>
      <c r="AD580" s="262"/>
      <c r="AE580" s="262"/>
      <c r="AF580" s="283"/>
    </row>
    <row r="581" spans="2:32" hidden="1">
      <c r="B581" s="267"/>
      <c r="C581" s="219"/>
      <c r="D581" s="219"/>
      <c r="E581" s="219"/>
      <c r="F581" s="219"/>
      <c r="G581" s="222"/>
      <c r="H581" s="227"/>
      <c r="I581" s="227"/>
      <c r="J581" s="217"/>
      <c r="K581" s="217"/>
      <c r="L581" s="217"/>
      <c r="M581" s="231"/>
      <c r="N581" s="235"/>
      <c r="O581" s="239"/>
      <c r="P581" s="245"/>
      <c r="Q581" s="246"/>
      <c r="R581" s="302"/>
      <c r="S581" s="251"/>
      <c r="T581" s="302"/>
      <c r="U581" s="251"/>
      <c r="V581" s="302"/>
      <c r="W581" s="251"/>
      <c r="X581" s="255"/>
      <c r="Y581" s="302"/>
      <c r="Z581" s="259"/>
      <c r="AA581" s="251"/>
      <c r="AB581" s="302"/>
      <c r="AC581" s="306"/>
      <c r="AD581" s="261"/>
      <c r="AE581" s="261"/>
      <c r="AF581" s="282"/>
    </row>
    <row r="582" spans="2:32" hidden="1">
      <c r="B582" s="266"/>
      <c r="C582" s="220"/>
      <c r="D582" s="220"/>
      <c r="E582" s="220"/>
      <c r="F582" s="220"/>
      <c r="G582" s="223"/>
      <c r="H582" s="226"/>
      <c r="I582" s="226"/>
      <c r="J582" s="216"/>
      <c r="K582" s="216"/>
      <c r="L582" s="216"/>
      <c r="M582" s="230"/>
      <c r="N582" s="234"/>
      <c r="O582" s="238"/>
      <c r="P582" s="243"/>
      <c r="Q582" s="244"/>
      <c r="R582" s="301"/>
      <c r="S582" s="250"/>
      <c r="T582" s="301"/>
      <c r="U582" s="250"/>
      <c r="V582" s="301"/>
      <c r="W582" s="250"/>
      <c r="X582" s="254"/>
      <c r="Y582" s="301"/>
      <c r="Z582" s="258"/>
      <c r="AA582" s="250"/>
      <c r="AB582" s="301"/>
      <c r="AC582" s="305"/>
      <c r="AD582" s="262"/>
      <c r="AE582" s="262"/>
      <c r="AF582" s="283"/>
    </row>
    <row r="583" spans="2:32" hidden="1">
      <c r="B583" s="267"/>
      <c r="C583" s="219"/>
      <c r="D583" s="219"/>
      <c r="E583" s="219"/>
      <c r="F583" s="219"/>
      <c r="G583" s="222"/>
      <c r="H583" s="227"/>
      <c r="I583" s="227"/>
      <c r="J583" s="217"/>
      <c r="K583" s="217"/>
      <c r="L583" s="217"/>
      <c r="M583" s="231"/>
      <c r="N583" s="235"/>
      <c r="O583" s="239"/>
      <c r="P583" s="245"/>
      <c r="Q583" s="246"/>
      <c r="R583" s="302"/>
      <c r="S583" s="251"/>
      <c r="T583" s="302"/>
      <c r="U583" s="251"/>
      <c r="V583" s="302"/>
      <c r="W583" s="251"/>
      <c r="X583" s="255"/>
      <c r="Y583" s="302"/>
      <c r="Z583" s="259"/>
      <c r="AA583" s="251"/>
      <c r="AB583" s="302"/>
      <c r="AC583" s="306"/>
      <c r="AD583" s="261"/>
      <c r="AE583" s="261"/>
      <c r="AF583" s="282"/>
    </row>
    <row r="584" spans="2:32" hidden="1">
      <c r="B584" s="266"/>
      <c r="C584" s="220"/>
      <c r="D584" s="220"/>
      <c r="E584" s="220"/>
      <c r="F584" s="220"/>
      <c r="G584" s="223"/>
      <c r="H584" s="226"/>
      <c r="I584" s="226"/>
      <c r="J584" s="216"/>
      <c r="K584" s="216"/>
      <c r="L584" s="216"/>
      <c r="M584" s="230"/>
      <c r="N584" s="234"/>
      <c r="O584" s="238"/>
      <c r="P584" s="243"/>
      <c r="Q584" s="244"/>
      <c r="R584" s="301"/>
      <c r="S584" s="250"/>
      <c r="T584" s="301"/>
      <c r="U584" s="250"/>
      <c r="V584" s="301"/>
      <c r="W584" s="250"/>
      <c r="X584" s="254"/>
      <c r="Y584" s="301"/>
      <c r="Z584" s="258"/>
      <c r="AA584" s="250"/>
      <c r="AB584" s="301"/>
      <c r="AC584" s="305"/>
      <c r="AD584" s="262"/>
      <c r="AE584" s="262"/>
      <c r="AF584" s="283"/>
    </row>
    <row r="585" spans="2:32" hidden="1">
      <c r="B585" s="267"/>
      <c r="C585" s="219"/>
      <c r="D585" s="219"/>
      <c r="E585" s="219"/>
      <c r="F585" s="219"/>
      <c r="G585" s="222"/>
      <c r="H585" s="227"/>
      <c r="I585" s="227"/>
      <c r="J585" s="217"/>
      <c r="K585" s="217"/>
      <c r="L585" s="217"/>
      <c r="M585" s="231"/>
      <c r="N585" s="235"/>
      <c r="O585" s="239"/>
      <c r="P585" s="245"/>
      <c r="Q585" s="246"/>
      <c r="R585" s="302"/>
      <c r="S585" s="251"/>
      <c r="T585" s="302"/>
      <c r="U585" s="251"/>
      <c r="V585" s="302"/>
      <c r="W585" s="251"/>
      <c r="X585" s="255"/>
      <c r="Y585" s="302"/>
      <c r="Z585" s="259"/>
      <c r="AA585" s="251"/>
      <c r="AB585" s="302"/>
      <c r="AC585" s="306"/>
      <c r="AD585" s="261"/>
      <c r="AE585" s="261"/>
      <c r="AF585" s="282"/>
    </row>
    <row r="586" spans="2:32" hidden="1">
      <c r="B586" s="266"/>
      <c r="C586" s="220"/>
      <c r="D586" s="220"/>
      <c r="E586" s="220"/>
      <c r="F586" s="220"/>
      <c r="G586" s="223"/>
      <c r="H586" s="226"/>
      <c r="I586" s="226"/>
      <c r="J586" s="216"/>
      <c r="K586" s="216"/>
      <c r="L586" s="216"/>
      <c r="M586" s="230"/>
      <c r="N586" s="234"/>
      <c r="O586" s="238"/>
      <c r="P586" s="243"/>
      <c r="Q586" s="244"/>
      <c r="R586" s="301"/>
      <c r="S586" s="250"/>
      <c r="T586" s="301"/>
      <c r="U586" s="250"/>
      <c r="V586" s="301"/>
      <c r="W586" s="250"/>
      <c r="X586" s="254"/>
      <c r="Y586" s="301"/>
      <c r="Z586" s="258"/>
      <c r="AA586" s="250"/>
      <c r="AB586" s="301"/>
      <c r="AC586" s="305"/>
      <c r="AD586" s="262"/>
      <c r="AE586" s="262"/>
      <c r="AF586" s="283"/>
    </row>
    <row r="587" spans="2:32" hidden="1">
      <c r="B587" s="267"/>
      <c r="C587" s="219"/>
      <c r="D587" s="219"/>
      <c r="E587" s="219"/>
      <c r="F587" s="219"/>
      <c r="G587" s="222"/>
      <c r="H587" s="227"/>
      <c r="I587" s="227"/>
      <c r="J587" s="217"/>
      <c r="K587" s="217"/>
      <c r="L587" s="217"/>
      <c r="M587" s="231"/>
      <c r="N587" s="235"/>
      <c r="O587" s="239"/>
      <c r="P587" s="245"/>
      <c r="Q587" s="246"/>
      <c r="R587" s="302"/>
      <c r="S587" s="251"/>
      <c r="T587" s="302"/>
      <c r="U587" s="251"/>
      <c r="V587" s="302"/>
      <c r="W587" s="251"/>
      <c r="X587" s="255"/>
      <c r="Y587" s="302"/>
      <c r="Z587" s="259"/>
      <c r="AA587" s="251"/>
      <c r="AB587" s="302"/>
      <c r="AC587" s="306"/>
      <c r="AD587" s="261"/>
      <c r="AE587" s="261"/>
      <c r="AF587" s="282"/>
    </row>
    <row r="588" spans="2:32" hidden="1">
      <c r="B588" s="266"/>
      <c r="C588" s="220"/>
      <c r="D588" s="220"/>
      <c r="E588" s="220"/>
      <c r="F588" s="220"/>
      <c r="G588" s="223"/>
      <c r="H588" s="226"/>
      <c r="I588" s="226"/>
      <c r="J588" s="216"/>
      <c r="K588" s="216"/>
      <c r="L588" s="216"/>
      <c r="M588" s="230"/>
      <c r="N588" s="234"/>
      <c r="O588" s="238"/>
      <c r="P588" s="243"/>
      <c r="Q588" s="244"/>
      <c r="R588" s="301"/>
      <c r="S588" s="250"/>
      <c r="T588" s="301"/>
      <c r="U588" s="250"/>
      <c r="V588" s="301"/>
      <c r="W588" s="250"/>
      <c r="X588" s="254"/>
      <c r="Y588" s="301"/>
      <c r="Z588" s="258"/>
      <c r="AA588" s="250"/>
      <c r="AB588" s="301"/>
      <c r="AC588" s="305"/>
      <c r="AD588" s="262"/>
      <c r="AE588" s="262"/>
      <c r="AF588" s="283"/>
    </row>
    <row r="589" spans="2:32" hidden="1">
      <c r="B589" s="267"/>
      <c r="C589" s="219"/>
      <c r="D589" s="219"/>
      <c r="E589" s="219"/>
      <c r="F589" s="219"/>
      <c r="G589" s="222"/>
      <c r="H589" s="227"/>
      <c r="I589" s="227"/>
      <c r="J589" s="217"/>
      <c r="K589" s="217"/>
      <c r="L589" s="217"/>
      <c r="M589" s="231"/>
      <c r="N589" s="235"/>
      <c r="O589" s="239"/>
      <c r="P589" s="245"/>
      <c r="Q589" s="246"/>
      <c r="R589" s="302"/>
      <c r="S589" s="251"/>
      <c r="T589" s="302"/>
      <c r="U589" s="251"/>
      <c r="V589" s="302"/>
      <c r="W589" s="251"/>
      <c r="X589" s="255"/>
      <c r="Y589" s="302"/>
      <c r="Z589" s="259"/>
      <c r="AA589" s="251"/>
      <c r="AB589" s="302"/>
      <c r="AC589" s="306"/>
      <c r="AD589" s="261"/>
      <c r="AE589" s="261"/>
      <c r="AF589" s="282"/>
    </row>
    <row r="590" spans="2:32" hidden="1">
      <c r="B590" s="266"/>
      <c r="C590" s="220"/>
      <c r="D590" s="220"/>
      <c r="E590" s="220"/>
      <c r="F590" s="220"/>
      <c r="G590" s="223"/>
      <c r="H590" s="226"/>
      <c r="I590" s="226"/>
      <c r="J590" s="216"/>
      <c r="K590" s="216"/>
      <c r="L590" s="216"/>
      <c r="M590" s="230"/>
      <c r="N590" s="234"/>
      <c r="O590" s="238"/>
      <c r="P590" s="243"/>
      <c r="Q590" s="244"/>
      <c r="R590" s="301"/>
      <c r="S590" s="250"/>
      <c r="T590" s="301"/>
      <c r="U590" s="250"/>
      <c r="V590" s="301"/>
      <c r="W590" s="250"/>
      <c r="X590" s="254"/>
      <c r="Y590" s="301"/>
      <c r="Z590" s="258"/>
      <c r="AA590" s="250"/>
      <c r="AB590" s="301"/>
      <c r="AC590" s="305"/>
      <c r="AD590" s="262"/>
      <c r="AE590" s="262"/>
      <c r="AF590" s="283"/>
    </row>
    <row r="591" spans="2:32" hidden="1">
      <c r="B591" s="267"/>
      <c r="C591" s="219"/>
      <c r="D591" s="219"/>
      <c r="E591" s="219"/>
      <c r="F591" s="219"/>
      <c r="G591" s="222"/>
      <c r="H591" s="227"/>
      <c r="I591" s="227"/>
      <c r="J591" s="217"/>
      <c r="K591" s="217"/>
      <c r="L591" s="217"/>
      <c r="M591" s="231"/>
      <c r="N591" s="235"/>
      <c r="O591" s="239"/>
      <c r="P591" s="245"/>
      <c r="Q591" s="246"/>
      <c r="R591" s="302"/>
      <c r="S591" s="251"/>
      <c r="T591" s="302"/>
      <c r="U591" s="251"/>
      <c r="V591" s="302"/>
      <c r="W591" s="251"/>
      <c r="X591" s="255"/>
      <c r="Y591" s="302"/>
      <c r="Z591" s="259"/>
      <c r="AA591" s="251"/>
      <c r="AB591" s="302"/>
      <c r="AC591" s="306"/>
      <c r="AD591" s="261"/>
      <c r="AE591" s="261"/>
      <c r="AF591" s="282"/>
    </row>
    <row r="592" spans="2:32" hidden="1">
      <c r="B592" s="266"/>
      <c r="C592" s="220"/>
      <c r="D592" s="220"/>
      <c r="E592" s="220"/>
      <c r="F592" s="220"/>
      <c r="G592" s="223"/>
      <c r="H592" s="226"/>
      <c r="I592" s="226"/>
      <c r="J592" s="216"/>
      <c r="K592" s="216"/>
      <c r="L592" s="216"/>
      <c r="M592" s="230"/>
      <c r="N592" s="234"/>
      <c r="O592" s="238"/>
      <c r="P592" s="243"/>
      <c r="Q592" s="244"/>
      <c r="R592" s="301"/>
      <c r="S592" s="250"/>
      <c r="T592" s="301"/>
      <c r="U592" s="250"/>
      <c r="V592" s="301"/>
      <c r="W592" s="250"/>
      <c r="X592" s="254"/>
      <c r="Y592" s="301"/>
      <c r="Z592" s="258"/>
      <c r="AA592" s="250"/>
      <c r="AB592" s="301"/>
      <c r="AC592" s="305"/>
      <c r="AD592" s="262"/>
      <c r="AE592" s="262"/>
      <c r="AF592" s="283"/>
    </row>
    <row r="593" spans="2:32" hidden="1">
      <c r="B593" s="267"/>
      <c r="C593" s="219"/>
      <c r="D593" s="219"/>
      <c r="E593" s="219"/>
      <c r="F593" s="219"/>
      <c r="G593" s="222"/>
      <c r="H593" s="227"/>
      <c r="I593" s="227"/>
      <c r="J593" s="217"/>
      <c r="K593" s="217"/>
      <c r="L593" s="217"/>
      <c r="M593" s="231"/>
      <c r="N593" s="235"/>
      <c r="O593" s="239"/>
      <c r="P593" s="245"/>
      <c r="Q593" s="246"/>
      <c r="R593" s="302"/>
      <c r="S593" s="251"/>
      <c r="T593" s="302"/>
      <c r="U593" s="251"/>
      <c r="V593" s="302"/>
      <c r="W593" s="251"/>
      <c r="X593" s="255"/>
      <c r="Y593" s="302"/>
      <c r="Z593" s="259"/>
      <c r="AA593" s="251"/>
      <c r="AB593" s="302"/>
      <c r="AC593" s="306"/>
      <c r="AD593" s="261"/>
      <c r="AE593" s="261"/>
      <c r="AF593" s="282"/>
    </row>
    <row r="594" spans="2:32" hidden="1">
      <c r="B594" s="266"/>
      <c r="C594" s="220"/>
      <c r="D594" s="220"/>
      <c r="E594" s="220"/>
      <c r="F594" s="220"/>
      <c r="G594" s="223"/>
      <c r="H594" s="226"/>
      <c r="I594" s="226"/>
      <c r="J594" s="216"/>
      <c r="K594" s="216"/>
      <c r="L594" s="216"/>
      <c r="M594" s="230"/>
      <c r="N594" s="234"/>
      <c r="O594" s="238"/>
      <c r="P594" s="243"/>
      <c r="Q594" s="244"/>
      <c r="R594" s="301"/>
      <c r="S594" s="250"/>
      <c r="T594" s="301"/>
      <c r="U594" s="250"/>
      <c r="V594" s="301"/>
      <c r="W594" s="250"/>
      <c r="X594" s="254"/>
      <c r="Y594" s="301"/>
      <c r="Z594" s="258"/>
      <c r="AA594" s="250"/>
      <c r="AB594" s="301"/>
      <c r="AC594" s="305"/>
      <c r="AD594" s="262"/>
      <c r="AE594" s="262"/>
      <c r="AF594" s="283"/>
    </row>
    <row r="595" spans="2:32" hidden="1">
      <c r="B595" s="267"/>
      <c r="C595" s="219"/>
      <c r="D595" s="219"/>
      <c r="E595" s="219"/>
      <c r="F595" s="219"/>
      <c r="G595" s="222"/>
      <c r="H595" s="227"/>
      <c r="I595" s="227"/>
      <c r="J595" s="217"/>
      <c r="K595" s="217"/>
      <c r="L595" s="217"/>
      <c r="M595" s="231"/>
      <c r="N595" s="235"/>
      <c r="O595" s="239"/>
      <c r="P595" s="245"/>
      <c r="Q595" s="246"/>
      <c r="R595" s="302"/>
      <c r="S595" s="251"/>
      <c r="T595" s="302"/>
      <c r="U595" s="251"/>
      <c r="V595" s="302"/>
      <c r="W595" s="251"/>
      <c r="X595" s="255"/>
      <c r="Y595" s="302"/>
      <c r="Z595" s="259"/>
      <c r="AA595" s="251"/>
      <c r="AB595" s="302"/>
      <c r="AC595" s="306"/>
      <c r="AD595" s="261"/>
      <c r="AE595" s="261"/>
      <c r="AF595" s="282"/>
    </row>
    <row r="596" spans="2:32" hidden="1">
      <c r="B596" s="266"/>
      <c r="C596" s="220"/>
      <c r="D596" s="220"/>
      <c r="E596" s="220"/>
      <c r="F596" s="220"/>
      <c r="G596" s="223"/>
      <c r="H596" s="226"/>
      <c r="I596" s="226"/>
      <c r="J596" s="216"/>
      <c r="K596" s="216"/>
      <c r="L596" s="216"/>
      <c r="M596" s="230"/>
      <c r="N596" s="234"/>
      <c r="O596" s="238"/>
      <c r="P596" s="243"/>
      <c r="Q596" s="244"/>
      <c r="R596" s="301"/>
      <c r="S596" s="250"/>
      <c r="T596" s="301"/>
      <c r="U596" s="250"/>
      <c r="V596" s="301"/>
      <c r="W596" s="250"/>
      <c r="X596" s="254"/>
      <c r="Y596" s="301"/>
      <c r="Z596" s="258"/>
      <c r="AA596" s="250"/>
      <c r="AB596" s="301"/>
      <c r="AC596" s="305"/>
      <c r="AD596" s="262"/>
      <c r="AE596" s="262"/>
      <c r="AF596" s="283"/>
    </row>
    <row r="597" spans="2:32" hidden="1">
      <c r="B597" s="267"/>
      <c r="C597" s="219"/>
      <c r="D597" s="219"/>
      <c r="E597" s="219"/>
      <c r="F597" s="219"/>
      <c r="G597" s="222"/>
      <c r="H597" s="227"/>
      <c r="I597" s="227"/>
      <c r="J597" s="217"/>
      <c r="K597" s="217"/>
      <c r="L597" s="217"/>
      <c r="M597" s="231"/>
      <c r="N597" s="235"/>
      <c r="O597" s="239"/>
      <c r="P597" s="245"/>
      <c r="Q597" s="246"/>
      <c r="R597" s="302"/>
      <c r="S597" s="251"/>
      <c r="T597" s="302"/>
      <c r="U597" s="251"/>
      <c r="V597" s="302"/>
      <c r="W597" s="251"/>
      <c r="X597" s="255"/>
      <c r="Y597" s="302"/>
      <c r="Z597" s="259"/>
      <c r="AA597" s="251"/>
      <c r="AB597" s="302"/>
      <c r="AC597" s="306"/>
      <c r="AD597" s="261"/>
      <c r="AE597" s="261"/>
      <c r="AF597" s="282"/>
    </row>
    <row r="598" spans="2:32" hidden="1">
      <c r="B598" s="266"/>
      <c r="C598" s="220"/>
      <c r="D598" s="220"/>
      <c r="E598" s="220"/>
      <c r="F598" s="220"/>
      <c r="G598" s="223"/>
      <c r="H598" s="226"/>
      <c r="I598" s="226"/>
      <c r="J598" s="216"/>
      <c r="K598" s="216"/>
      <c r="L598" s="216"/>
      <c r="M598" s="230"/>
      <c r="N598" s="234"/>
      <c r="O598" s="238"/>
      <c r="P598" s="243"/>
      <c r="Q598" s="244"/>
      <c r="R598" s="301"/>
      <c r="S598" s="250"/>
      <c r="T598" s="301"/>
      <c r="U598" s="250"/>
      <c r="V598" s="301"/>
      <c r="W598" s="250"/>
      <c r="X598" s="254"/>
      <c r="Y598" s="301"/>
      <c r="Z598" s="258"/>
      <c r="AA598" s="250"/>
      <c r="AB598" s="301"/>
      <c r="AC598" s="305"/>
      <c r="AD598" s="262"/>
      <c r="AE598" s="262"/>
      <c r="AF598" s="283"/>
    </row>
    <row r="599" spans="2:32" hidden="1">
      <c r="B599" s="267"/>
      <c r="C599" s="219"/>
      <c r="D599" s="219"/>
      <c r="E599" s="219"/>
      <c r="F599" s="219"/>
      <c r="G599" s="222"/>
      <c r="H599" s="227"/>
      <c r="I599" s="227"/>
      <c r="J599" s="217"/>
      <c r="K599" s="217"/>
      <c r="L599" s="217"/>
      <c r="M599" s="231"/>
      <c r="N599" s="235"/>
      <c r="O599" s="239"/>
      <c r="P599" s="245"/>
      <c r="Q599" s="246"/>
      <c r="R599" s="302"/>
      <c r="S599" s="251"/>
      <c r="T599" s="302"/>
      <c r="U599" s="251"/>
      <c r="V599" s="302"/>
      <c r="W599" s="251"/>
      <c r="X599" s="255"/>
      <c r="Y599" s="302"/>
      <c r="Z599" s="259"/>
      <c r="AA599" s="251"/>
      <c r="AB599" s="302"/>
      <c r="AC599" s="306"/>
      <c r="AD599" s="261"/>
      <c r="AE599" s="261"/>
      <c r="AF599" s="282"/>
    </row>
    <row r="600" spans="2:32" hidden="1">
      <c r="B600" s="266"/>
      <c r="C600" s="220"/>
      <c r="D600" s="220"/>
      <c r="E600" s="220"/>
      <c r="F600" s="220"/>
      <c r="G600" s="223"/>
      <c r="H600" s="226"/>
      <c r="I600" s="226"/>
      <c r="J600" s="216"/>
      <c r="K600" s="216"/>
      <c r="L600" s="216"/>
      <c r="M600" s="230"/>
      <c r="N600" s="234"/>
      <c r="O600" s="238"/>
      <c r="P600" s="243"/>
      <c r="Q600" s="244"/>
      <c r="R600" s="301"/>
      <c r="S600" s="250"/>
      <c r="T600" s="301"/>
      <c r="U600" s="250"/>
      <c r="V600" s="301"/>
      <c r="W600" s="250"/>
      <c r="X600" s="254"/>
      <c r="Y600" s="301"/>
      <c r="Z600" s="258"/>
      <c r="AA600" s="250"/>
      <c r="AB600" s="301"/>
      <c r="AC600" s="305"/>
      <c r="AD600" s="262"/>
      <c r="AE600" s="262"/>
      <c r="AF600" s="283"/>
    </row>
    <row r="601" spans="2:32" hidden="1">
      <c r="B601" s="267"/>
      <c r="C601" s="219"/>
      <c r="D601" s="219"/>
      <c r="E601" s="219"/>
      <c r="F601" s="219"/>
      <c r="G601" s="222"/>
      <c r="H601" s="227"/>
      <c r="I601" s="227"/>
      <c r="J601" s="217"/>
      <c r="K601" s="217"/>
      <c r="L601" s="217"/>
      <c r="M601" s="231"/>
      <c r="N601" s="235"/>
      <c r="O601" s="239"/>
      <c r="P601" s="245"/>
      <c r="Q601" s="246"/>
      <c r="R601" s="302"/>
      <c r="S601" s="251"/>
      <c r="T601" s="302"/>
      <c r="U601" s="251"/>
      <c r="V601" s="302"/>
      <c r="W601" s="251"/>
      <c r="X601" s="255"/>
      <c r="Y601" s="302"/>
      <c r="Z601" s="259"/>
      <c r="AA601" s="251"/>
      <c r="AB601" s="302"/>
      <c r="AC601" s="306"/>
      <c r="AD601" s="261"/>
      <c r="AE601" s="261"/>
      <c r="AF601" s="282"/>
    </row>
    <row r="602" spans="2:32" hidden="1">
      <c r="B602" s="266"/>
      <c r="C602" s="220"/>
      <c r="D602" s="220"/>
      <c r="E602" s="220"/>
      <c r="F602" s="220"/>
      <c r="G602" s="223"/>
      <c r="H602" s="226"/>
      <c r="I602" s="226"/>
      <c r="J602" s="216"/>
      <c r="K602" s="216"/>
      <c r="L602" s="216"/>
      <c r="M602" s="230"/>
      <c r="N602" s="234"/>
      <c r="O602" s="238"/>
      <c r="P602" s="243"/>
      <c r="Q602" s="244"/>
      <c r="R602" s="301"/>
      <c r="S602" s="250"/>
      <c r="T602" s="301"/>
      <c r="U602" s="250"/>
      <c r="V602" s="301"/>
      <c r="W602" s="250"/>
      <c r="X602" s="254"/>
      <c r="Y602" s="301"/>
      <c r="Z602" s="258"/>
      <c r="AA602" s="250"/>
      <c r="AB602" s="301"/>
      <c r="AC602" s="305"/>
      <c r="AD602" s="262"/>
      <c r="AE602" s="262"/>
      <c r="AF602" s="283"/>
    </row>
    <row r="603" spans="2:32" hidden="1">
      <c r="B603" s="267"/>
      <c r="C603" s="219"/>
      <c r="D603" s="219"/>
      <c r="E603" s="219"/>
      <c r="F603" s="219"/>
      <c r="G603" s="222"/>
      <c r="H603" s="227"/>
      <c r="I603" s="227"/>
      <c r="J603" s="217"/>
      <c r="K603" s="217"/>
      <c r="L603" s="217"/>
      <c r="M603" s="231"/>
      <c r="N603" s="235"/>
      <c r="O603" s="239"/>
      <c r="P603" s="245"/>
      <c r="Q603" s="246"/>
      <c r="R603" s="302"/>
      <c r="S603" s="251"/>
      <c r="T603" s="302"/>
      <c r="U603" s="251"/>
      <c r="V603" s="302"/>
      <c r="W603" s="251"/>
      <c r="X603" s="255"/>
      <c r="Y603" s="302"/>
      <c r="Z603" s="259"/>
      <c r="AA603" s="251"/>
      <c r="AB603" s="302"/>
      <c r="AC603" s="306"/>
      <c r="AD603" s="261"/>
      <c r="AE603" s="261"/>
      <c r="AF603" s="282"/>
    </row>
    <row r="604" spans="2:32" hidden="1">
      <c r="B604" s="266"/>
      <c r="C604" s="220"/>
      <c r="D604" s="220"/>
      <c r="E604" s="220"/>
      <c r="F604" s="220"/>
      <c r="G604" s="223"/>
      <c r="H604" s="226"/>
      <c r="I604" s="226"/>
      <c r="J604" s="216"/>
      <c r="K604" s="216"/>
      <c r="L604" s="216"/>
      <c r="M604" s="230"/>
      <c r="N604" s="234"/>
      <c r="O604" s="238"/>
      <c r="P604" s="243"/>
      <c r="Q604" s="244"/>
      <c r="R604" s="301"/>
      <c r="S604" s="250"/>
      <c r="T604" s="301"/>
      <c r="U604" s="250"/>
      <c r="V604" s="301"/>
      <c r="W604" s="250"/>
      <c r="X604" s="254"/>
      <c r="Y604" s="301"/>
      <c r="Z604" s="258"/>
      <c r="AA604" s="250"/>
      <c r="AB604" s="301"/>
      <c r="AC604" s="305"/>
      <c r="AD604" s="262"/>
      <c r="AE604" s="262"/>
      <c r="AF604" s="283"/>
    </row>
    <row r="605" spans="2:32" hidden="1">
      <c r="B605" s="267"/>
      <c r="C605" s="219"/>
      <c r="D605" s="219"/>
      <c r="E605" s="219"/>
      <c r="F605" s="219"/>
      <c r="G605" s="222"/>
      <c r="H605" s="227"/>
      <c r="I605" s="227"/>
      <c r="J605" s="217"/>
      <c r="K605" s="217"/>
      <c r="L605" s="217"/>
      <c r="M605" s="231"/>
      <c r="N605" s="235"/>
      <c r="O605" s="239"/>
      <c r="P605" s="245"/>
      <c r="Q605" s="246"/>
      <c r="R605" s="302"/>
      <c r="S605" s="251"/>
      <c r="T605" s="302"/>
      <c r="U605" s="251"/>
      <c r="V605" s="302"/>
      <c r="W605" s="251"/>
      <c r="X605" s="255"/>
      <c r="Y605" s="302"/>
      <c r="Z605" s="259"/>
      <c r="AA605" s="251"/>
      <c r="AB605" s="302"/>
      <c r="AC605" s="306"/>
      <c r="AD605" s="261"/>
      <c r="AE605" s="261"/>
      <c r="AF605" s="282"/>
    </row>
    <row r="606" spans="2:32" hidden="1">
      <c r="B606" s="266"/>
      <c r="C606" s="220"/>
      <c r="D606" s="220"/>
      <c r="E606" s="220"/>
      <c r="F606" s="220"/>
      <c r="G606" s="223"/>
      <c r="H606" s="226"/>
      <c r="I606" s="226"/>
      <c r="J606" s="216"/>
      <c r="K606" s="216"/>
      <c r="L606" s="216"/>
      <c r="M606" s="230"/>
      <c r="N606" s="234"/>
      <c r="O606" s="238"/>
      <c r="P606" s="243"/>
      <c r="Q606" s="244"/>
      <c r="R606" s="301"/>
      <c r="S606" s="250"/>
      <c r="T606" s="301"/>
      <c r="U606" s="250"/>
      <c r="V606" s="301"/>
      <c r="W606" s="250"/>
      <c r="X606" s="254"/>
      <c r="Y606" s="301"/>
      <c r="Z606" s="258"/>
      <c r="AA606" s="250"/>
      <c r="AB606" s="301"/>
      <c r="AC606" s="305"/>
      <c r="AD606" s="262"/>
      <c r="AE606" s="262"/>
      <c r="AF606" s="283"/>
    </row>
    <row r="607" spans="2:32" hidden="1">
      <c r="B607" s="267"/>
      <c r="C607" s="219"/>
      <c r="D607" s="219"/>
      <c r="E607" s="219"/>
      <c r="F607" s="219"/>
      <c r="G607" s="222"/>
      <c r="H607" s="227"/>
      <c r="I607" s="227"/>
      <c r="J607" s="217"/>
      <c r="K607" s="217"/>
      <c r="L607" s="217"/>
      <c r="M607" s="231"/>
      <c r="N607" s="235"/>
      <c r="O607" s="239"/>
      <c r="P607" s="245"/>
      <c r="Q607" s="246"/>
      <c r="R607" s="302"/>
      <c r="S607" s="251"/>
      <c r="T607" s="302"/>
      <c r="U607" s="251"/>
      <c r="V607" s="302"/>
      <c r="W607" s="251"/>
      <c r="X607" s="255"/>
      <c r="Y607" s="302"/>
      <c r="Z607" s="259"/>
      <c r="AA607" s="251"/>
      <c r="AB607" s="302"/>
      <c r="AC607" s="306"/>
      <c r="AD607" s="261"/>
      <c r="AE607" s="261"/>
      <c r="AF607" s="282"/>
    </row>
    <row r="608" spans="2:32" hidden="1">
      <c r="B608" s="266"/>
      <c r="C608" s="220"/>
      <c r="D608" s="220"/>
      <c r="E608" s="220"/>
      <c r="F608" s="220"/>
      <c r="G608" s="223"/>
      <c r="H608" s="226"/>
      <c r="I608" s="226"/>
      <c r="J608" s="216"/>
      <c r="K608" s="216"/>
      <c r="L608" s="216"/>
      <c r="M608" s="230"/>
      <c r="N608" s="234"/>
      <c r="O608" s="238"/>
      <c r="P608" s="243"/>
      <c r="Q608" s="244"/>
      <c r="R608" s="301"/>
      <c r="S608" s="250"/>
      <c r="T608" s="301"/>
      <c r="U608" s="250"/>
      <c r="V608" s="301"/>
      <c r="W608" s="250"/>
      <c r="X608" s="254"/>
      <c r="Y608" s="301"/>
      <c r="Z608" s="258"/>
      <c r="AA608" s="250"/>
      <c r="AB608" s="301"/>
      <c r="AC608" s="305"/>
      <c r="AD608" s="262"/>
      <c r="AE608" s="262"/>
      <c r="AF608" s="283"/>
    </row>
    <row r="609" spans="2:32" hidden="1">
      <c r="B609" s="267"/>
      <c r="C609" s="219"/>
      <c r="D609" s="219"/>
      <c r="E609" s="219"/>
      <c r="F609" s="219"/>
      <c r="G609" s="222"/>
      <c r="H609" s="227"/>
      <c r="I609" s="227"/>
      <c r="J609" s="217"/>
      <c r="K609" s="217"/>
      <c r="L609" s="217"/>
      <c r="M609" s="231"/>
      <c r="N609" s="235"/>
      <c r="O609" s="239"/>
      <c r="P609" s="245"/>
      <c r="Q609" s="246"/>
      <c r="R609" s="302"/>
      <c r="S609" s="251"/>
      <c r="T609" s="302"/>
      <c r="U609" s="251"/>
      <c r="V609" s="302"/>
      <c r="W609" s="251"/>
      <c r="X609" s="255"/>
      <c r="Y609" s="302"/>
      <c r="Z609" s="259"/>
      <c r="AA609" s="251"/>
      <c r="AB609" s="302"/>
      <c r="AC609" s="306"/>
      <c r="AD609" s="261"/>
      <c r="AE609" s="261"/>
      <c r="AF609" s="282"/>
    </row>
    <row r="610" spans="2:32" hidden="1">
      <c r="B610" s="266"/>
      <c r="C610" s="220"/>
      <c r="D610" s="220"/>
      <c r="E610" s="220"/>
      <c r="F610" s="220"/>
      <c r="G610" s="223"/>
      <c r="H610" s="226"/>
      <c r="I610" s="226"/>
      <c r="J610" s="216"/>
      <c r="K610" s="216"/>
      <c r="L610" s="216"/>
      <c r="M610" s="230"/>
      <c r="N610" s="234"/>
      <c r="O610" s="238"/>
      <c r="P610" s="243"/>
      <c r="Q610" s="244"/>
      <c r="R610" s="301"/>
      <c r="S610" s="250"/>
      <c r="T610" s="301"/>
      <c r="U610" s="250"/>
      <c r="V610" s="301"/>
      <c r="W610" s="250"/>
      <c r="X610" s="254"/>
      <c r="Y610" s="301"/>
      <c r="Z610" s="258"/>
      <c r="AA610" s="250"/>
      <c r="AB610" s="301"/>
      <c r="AC610" s="305"/>
      <c r="AD610" s="262"/>
      <c r="AE610" s="262"/>
      <c r="AF610" s="283"/>
    </row>
    <row r="611" spans="2:32" hidden="1">
      <c r="B611" s="267"/>
      <c r="C611" s="219"/>
      <c r="D611" s="219"/>
      <c r="E611" s="219"/>
      <c r="F611" s="219"/>
      <c r="G611" s="222"/>
      <c r="H611" s="227"/>
      <c r="I611" s="227"/>
      <c r="J611" s="217"/>
      <c r="K611" s="217"/>
      <c r="L611" s="217"/>
      <c r="M611" s="231"/>
      <c r="N611" s="235"/>
      <c r="O611" s="239"/>
      <c r="P611" s="245"/>
      <c r="Q611" s="246"/>
      <c r="R611" s="302"/>
      <c r="S611" s="251"/>
      <c r="T611" s="302"/>
      <c r="U611" s="251"/>
      <c r="V611" s="302"/>
      <c r="W611" s="251"/>
      <c r="X611" s="255"/>
      <c r="Y611" s="302"/>
      <c r="Z611" s="259"/>
      <c r="AA611" s="251"/>
      <c r="AB611" s="302"/>
      <c r="AC611" s="306"/>
      <c r="AD611" s="261"/>
      <c r="AE611" s="261"/>
      <c r="AF611" s="282"/>
    </row>
    <row r="612" spans="2:32" hidden="1">
      <c r="B612" s="266"/>
      <c r="C612" s="220"/>
      <c r="D612" s="220"/>
      <c r="E612" s="220"/>
      <c r="F612" s="220"/>
      <c r="G612" s="223"/>
      <c r="H612" s="226"/>
      <c r="I612" s="226"/>
      <c r="J612" s="216"/>
      <c r="K612" s="216"/>
      <c r="L612" s="216"/>
      <c r="M612" s="230"/>
      <c r="N612" s="234"/>
      <c r="O612" s="238"/>
      <c r="P612" s="243"/>
      <c r="Q612" s="244"/>
      <c r="R612" s="301"/>
      <c r="S612" s="250"/>
      <c r="T612" s="301"/>
      <c r="U612" s="250"/>
      <c r="V612" s="301"/>
      <c r="W612" s="250"/>
      <c r="X612" s="254"/>
      <c r="Y612" s="301"/>
      <c r="Z612" s="258"/>
      <c r="AA612" s="250"/>
      <c r="AB612" s="301"/>
      <c r="AC612" s="305"/>
      <c r="AD612" s="262"/>
      <c r="AE612" s="262"/>
      <c r="AF612" s="283"/>
    </row>
    <row r="613" spans="2:32" hidden="1">
      <c r="B613" s="267"/>
      <c r="C613" s="219"/>
      <c r="D613" s="219"/>
      <c r="E613" s="219"/>
      <c r="F613" s="219"/>
      <c r="G613" s="222"/>
      <c r="H613" s="227"/>
      <c r="I613" s="227"/>
      <c r="J613" s="217"/>
      <c r="K613" s="217"/>
      <c r="L613" s="217"/>
      <c r="M613" s="231"/>
      <c r="N613" s="235"/>
      <c r="O613" s="239"/>
      <c r="P613" s="245"/>
      <c r="Q613" s="246"/>
      <c r="R613" s="302"/>
      <c r="S613" s="251"/>
      <c r="T613" s="302"/>
      <c r="U613" s="251"/>
      <c r="V613" s="302"/>
      <c r="W613" s="251"/>
      <c r="X613" s="255"/>
      <c r="Y613" s="302"/>
      <c r="Z613" s="259"/>
      <c r="AA613" s="251"/>
      <c r="AB613" s="302"/>
      <c r="AC613" s="306"/>
      <c r="AD613" s="261"/>
      <c r="AE613" s="261"/>
      <c r="AF613" s="282"/>
    </row>
    <row r="614" spans="2:32" hidden="1">
      <c r="B614" s="266"/>
      <c r="C614" s="220"/>
      <c r="D614" s="220"/>
      <c r="E614" s="220"/>
      <c r="F614" s="220"/>
      <c r="G614" s="223"/>
      <c r="H614" s="226"/>
      <c r="I614" s="226"/>
      <c r="J614" s="216"/>
      <c r="K614" s="216"/>
      <c r="L614" s="216"/>
      <c r="M614" s="230"/>
      <c r="N614" s="234"/>
      <c r="O614" s="238"/>
      <c r="P614" s="243"/>
      <c r="Q614" s="244"/>
      <c r="R614" s="301"/>
      <c r="S614" s="250"/>
      <c r="T614" s="301"/>
      <c r="U614" s="250"/>
      <c r="V614" s="301"/>
      <c r="W614" s="250"/>
      <c r="X614" s="254"/>
      <c r="Y614" s="301"/>
      <c r="Z614" s="258"/>
      <c r="AA614" s="250"/>
      <c r="AB614" s="301"/>
      <c r="AC614" s="305"/>
      <c r="AD614" s="262"/>
      <c r="AE614" s="262"/>
      <c r="AF614" s="283"/>
    </row>
    <row r="615" spans="2:32" hidden="1">
      <c r="B615" s="267"/>
      <c r="C615" s="219"/>
      <c r="D615" s="219"/>
      <c r="E615" s="219"/>
      <c r="F615" s="219"/>
      <c r="G615" s="222"/>
      <c r="H615" s="227"/>
      <c r="I615" s="227"/>
      <c r="J615" s="217"/>
      <c r="K615" s="217"/>
      <c r="L615" s="217"/>
      <c r="M615" s="231"/>
      <c r="N615" s="235"/>
      <c r="O615" s="239"/>
      <c r="P615" s="245"/>
      <c r="Q615" s="246"/>
      <c r="R615" s="302"/>
      <c r="S615" s="251"/>
      <c r="T615" s="302"/>
      <c r="U615" s="251"/>
      <c r="V615" s="302"/>
      <c r="W615" s="251"/>
      <c r="X615" s="255"/>
      <c r="Y615" s="302"/>
      <c r="Z615" s="259"/>
      <c r="AA615" s="251"/>
      <c r="AB615" s="302"/>
      <c r="AC615" s="306"/>
      <c r="AD615" s="261"/>
      <c r="AE615" s="261"/>
      <c r="AF615" s="282"/>
    </row>
    <row r="616" spans="2:32" hidden="1">
      <c r="B616" s="266"/>
      <c r="C616" s="220"/>
      <c r="D616" s="220"/>
      <c r="E616" s="220"/>
      <c r="F616" s="220"/>
      <c r="G616" s="223"/>
      <c r="H616" s="226"/>
      <c r="I616" s="226"/>
      <c r="J616" s="216"/>
      <c r="K616" s="216"/>
      <c r="L616" s="216"/>
      <c r="M616" s="230"/>
      <c r="N616" s="234"/>
      <c r="O616" s="238"/>
      <c r="P616" s="243"/>
      <c r="Q616" s="244"/>
      <c r="R616" s="301"/>
      <c r="S616" s="250"/>
      <c r="T616" s="301"/>
      <c r="U616" s="250"/>
      <c r="V616" s="301"/>
      <c r="W616" s="250"/>
      <c r="X616" s="254"/>
      <c r="Y616" s="301"/>
      <c r="Z616" s="258"/>
      <c r="AA616" s="250"/>
      <c r="AB616" s="301"/>
      <c r="AC616" s="305"/>
      <c r="AD616" s="262"/>
      <c r="AE616" s="262"/>
      <c r="AF616" s="283"/>
    </row>
    <row r="617" spans="2:32" hidden="1">
      <c r="B617" s="267"/>
      <c r="C617" s="219"/>
      <c r="D617" s="219"/>
      <c r="E617" s="219"/>
      <c r="F617" s="219"/>
      <c r="G617" s="222"/>
      <c r="H617" s="227"/>
      <c r="I617" s="227"/>
      <c r="J617" s="217"/>
      <c r="K617" s="217"/>
      <c r="L617" s="217"/>
      <c r="M617" s="231"/>
      <c r="N617" s="235"/>
      <c r="O617" s="239"/>
      <c r="P617" s="245"/>
      <c r="Q617" s="246"/>
      <c r="R617" s="302"/>
      <c r="S617" s="251"/>
      <c r="T617" s="302"/>
      <c r="U617" s="251"/>
      <c r="V617" s="302"/>
      <c r="W617" s="251"/>
      <c r="X617" s="255"/>
      <c r="Y617" s="302"/>
      <c r="Z617" s="259"/>
      <c r="AA617" s="251"/>
      <c r="AB617" s="302"/>
      <c r="AC617" s="306"/>
      <c r="AD617" s="261"/>
      <c r="AE617" s="261"/>
      <c r="AF617" s="282"/>
    </row>
    <row r="618" spans="2:32" hidden="1">
      <c r="B618" s="266"/>
      <c r="C618" s="220"/>
      <c r="D618" s="220"/>
      <c r="E618" s="220"/>
      <c r="F618" s="220"/>
      <c r="G618" s="223"/>
      <c r="H618" s="226"/>
      <c r="I618" s="226"/>
      <c r="J618" s="216"/>
      <c r="K618" s="216"/>
      <c r="L618" s="216"/>
      <c r="M618" s="230"/>
      <c r="N618" s="234"/>
      <c r="O618" s="238"/>
      <c r="P618" s="243"/>
      <c r="Q618" s="244"/>
      <c r="R618" s="301"/>
      <c r="S618" s="250"/>
      <c r="T618" s="301"/>
      <c r="U618" s="250"/>
      <c r="V618" s="301"/>
      <c r="W618" s="250"/>
      <c r="X618" s="254"/>
      <c r="Y618" s="301"/>
      <c r="Z618" s="258"/>
      <c r="AA618" s="250"/>
      <c r="AB618" s="301"/>
      <c r="AC618" s="305"/>
      <c r="AD618" s="262"/>
      <c r="AE618" s="262"/>
      <c r="AF618" s="283"/>
    </row>
    <row r="619" spans="2:32" hidden="1">
      <c r="B619" s="267"/>
      <c r="C619" s="219"/>
      <c r="D619" s="219"/>
      <c r="E619" s="219"/>
      <c r="F619" s="219"/>
      <c r="G619" s="222"/>
      <c r="H619" s="227"/>
      <c r="I619" s="227"/>
      <c r="J619" s="217"/>
      <c r="K619" s="217"/>
      <c r="L619" s="217"/>
      <c r="M619" s="231"/>
      <c r="N619" s="235"/>
      <c r="O619" s="239"/>
      <c r="P619" s="245"/>
      <c r="Q619" s="246"/>
      <c r="R619" s="302"/>
      <c r="S619" s="251"/>
      <c r="T619" s="302"/>
      <c r="U619" s="251"/>
      <c r="V619" s="302"/>
      <c r="W619" s="251"/>
      <c r="X619" s="255"/>
      <c r="Y619" s="302"/>
      <c r="Z619" s="259"/>
      <c r="AA619" s="251"/>
      <c r="AB619" s="302"/>
      <c r="AC619" s="306"/>
      <c r="AD619" s="261"/>
      <c r="AE619" s="261"/>
      <c r="AF619" s="282"/>
    </row>
    <row r="620" spans="2:32" hidden="1">
      <c r="B620" s="266"/>
      <c r="C620" s="220"/>
      <c r="D620" s="220"/>
      <c r="E620" s="220"/>
      <c r="F620" s="220"/>
      <c r="G620" s="223"/>
      <c r="H620" s="226"/>
      <c r="I620" s="226"/>
      <c r="J620" s="216"/>
      <c r="K620" s="216"/>
      <c r="L620" s="216"/>
      <c r="M620" s="230"/>
      <c r="N620" s="234"/>
      <c r="O620" s="238"/>
      <c r="P620" s="243"/>
      <c r="Q620" s="244"/>
      <c r="R620" s="301"/>
      <c r="S620" s="250"/>
      <c r="T620" s="301"/>
      <c r="U620" s="250"/>
      <c r="V620" s="301"/>
      <c r="W620" s="250"/>
      <c r="X620" s="254"/>
      <c r="Y620" s="301"/>
      <c r="Z620" s="258"/>
      <c r="AA620" s="250"/>
      <c r="AB620" s="301"/>
      <c r="AC620" s="305"/>
      <c r="AD620" s="262"/>
      <c r="AE620" s="262"/>
      <c r="AF620" s="283"/>
    </row>
    <row r="621" spans="2:32" hidden="1">
      <c r="B621" s="267"/>
      <c r="C621" s="219"/>
      <c r="D621" s="219"/>
      <c r="E621" s="219"/>
      <c r="F621" s="219"/>
      <c r="G621" s="222"/>
      <c r="H621" s="227"/>
      <c r="I621" s="227"/>
      <c r="J621" s="217"/>
      <c r="K621" s="217"/>
      <c r="L621" s="217"/>
      <c r="M621" s="231"/>
      <c r="N621" s="235"/>
      <c r="O621" s="239"/>
      <c r="P621" s="245"/>
      <c r="Q621" s="246"/>
      <c r="R621" s="302"/>
      <c r="S621" s="251"/>
      <c r="T621" s="302"/>
      <c r="U621" s="251"/>
      <c r="V621" s="302"/>
      <c r="W621" s="251"/>
      <c r="X621" s="255"/>
      <c r="Y621" s="302"/>
      <c r="Z621" s="259"/>
      <c r="AA621" s="251"/>
      <c r="AB621" s="302"/>
      <c r="AC621" s="306"/>
      <c r="AD621" s="261"/>
      <c r="AE621" s="261"/>
      <c r="AF621" s="282"/>
    </row>
    <row r="622" spans="2:32" hidden="1">
      <c r="B622" s="266"/>
      <c r="C622" s="220"/>
      <c r="D622" s="220"/>
      <c r="E622" s="220"/>
      <c r="F622" s="220"/>
      <c r="G622" s="223"/>
      <c r="H622" s="226"/>
      <c r="I622" s="226"/>
      <c r="J622" s="216"/>
      <c r="K622" s="216"/>
      <c r="L622" s="216"/>
      <c r="M622" s="230"/>
      <c r="N622" s="234"/>
      <c r="O622" s="238"/>
      <c r="P622" s="243"/>
      <c r="Q622" s="244"/>
      <c r="R622" s="301"/>
      <c r="S622" s="250"/>
      <c r="T622" s="301"/>
      <c r="U622" s="250"/>
      <c r="V622" s="301"/>
      <c r="W622" s="250"/>
      <c r="X622" s="254"/>
      <c r="Y622" s="301"/>
      <c r="Z622" s="258"/>
      <c r="AA622" s="250"/>
      <c r="AB622" s="301"/>
      <c r="AC622" s="305"/>
      <c r="AD622" s="262"/>
      <c r="AE622" s="262"/>
      <c r="AF622" s="283"/>
    </row>
    <row r="623" spans="2:32" hidden="1">
      <c r="B623" s="267"/>
      <c r="C623" s="219"/>
      <c r="D623" s="219"/>
      <c r="E623" s="219"/>
      <c r="F623" s="219"/>
      <c r="G623" s="222"/>
      <c r="H623" s="227"/>
      <c r="I623" s="227"/>
      <c r="J623" s="217"/>
      <c r="K623" s="217"/>
      <c r="L623" s="217"/>
      <c r="M623" s="231"/>
      <c r="N623" s="235"/>
      <c r="O623" s="239"/>
      <c r="P623" s="245"/>
      <c r="Q623" s="246"/>
      <c r="R623" s="302"/>
      <c r="S623" s="251"/>
      <c r="T623" s="302"/>
      <c r="U623" s="251"/>
      <c r="V623" s="302"/>
      <c r="W623" s="251"/>
      <c r="X623" s="255"/>
      <c r="Y623" s="302"/>
      <c r="Z623" s="259"/>
      <c r="AA623" s="251"/>
      <c r="AB623" s="302"/>
      <c r="AC623" s="306"/>
      <c r="AD623" s="261"/>
      <c r="AE623" s="261"/>
      <c r="AF623" s="282"/>
    </row>
    <row r="624" spans="2:32" hidden="1">
      <c r="B624" s="266"/>
      <c r="C624" s="220"/>
      <c r="D624" s="220"/>
      <c r="E624" s="220"/>
      <c r="F624" s="220"/>
      <c r="G624" s="223"/>
      <c r="H624" s="226"/>
      <c r="I624" s="226"/>
      <c r="J624" s="216"/>
      <c r="K624" s="216"/>
      <c r="L624" s="216"/>
      <c r="M624" s="230"/>
      <c r="N624" s="234"/>
      <c r="O624" s="238"/>
      <c r="P624" s="243"/>
      <c r="Q624" s="244"/>
      <c r="R624" s="301"/>
      <c r="S624" s="250"/>
      <c r="T624" s="301"/>
      <c r="U624" s="250"/>
      <c r="V624" s="301"/>
      <c r="W624" s="250"/>
      <c r="X624" s="254"/>
      <c r="Y624" s="301"/>
      <c r="Z624" s="258"/>
      <c r="AA624" s="250"/>
      <c r="AB624" s="301"/>
      <c r="AC624" s="305"/>
      <c r="AD624" s="262"/>
      <c r="AE624" s="262"/>
      <c r="AF624" s="283"/>
    </row>
    <row r="625" spans="2:32" hidden="1">
      <c r="B625" s="267"/>
      <c r="C625" s="219"/>
      <c r="D625" s="219"/>
      <c r="E625" s="219"/>
      <c r="F625" s="219"/>
      <c r="G625" s="222"/>
      <c r="H625" s="227"/>
      <c r="I625" s="227"/>
      <c r="J625" s="217"/>
      <c r="K625" s="217"/>
      <c r="L625" s="217"/>
      <c r="M625" s="231"/>
      <c r="N625" s="235"/>
      <c r="O625" s="239"/>
      <c r="P625" s="245"/>
      <c r="Q625" s="246"/>
      <c r="R625" s="302"/>
      <c r="S625" s="251"/>
      <c r="T625" s="302"/>
      <c r="U625" s="251"/>
      <c r="V625" s="302"/>
      <c r="W625" s="251"/>
      <c r="X625" s="255"/>
      <c r="Y625" s="302"/>
      <c r="Z625" s="259"/>
      <c r="AA625" s="251"/>
      <c r="AB625" s="302"/>
      <c r="AC625" s="306"/>
      <c r="AD625" s="261"/>
      <c r="AE625" s="261"/>
      <c r="AF625" s="282"/>
    </row>
    <row r="626" spans="2:32" hidden="1">
      <c r="B626" s="266"/>
      <c r="C626" s="220"/>
      <c r="D626" s="220"/>
      <c r="E626" s="220"/>
      <c r="F626" s="220"/>
      <c r="G626" s="223"/>
      <c r="H626" s="226"/>
      <c r="I626" s="226"/>
      <c r="J626" s="216"/>
      <c r="K626" s="216"/>
      <c r="L626" s="216"/>
      <c r="M626" s="230"/>
      <c r="N626" s="234"/>
      <c r="O626" s="238"/>
      <c r="P626" s="243"/>
      <c r="Q626" s="244"/>
      <c r="R626" s="301"/>
      <c r="S626" s="250"/>
      <c r="T626" s="301"/>
      <c r="U626" s="250"/>
      <c r="V626" s="301"/>
      <c r="W626" s="250"/>
      <c r="X626" s="254"/>
      <c r="Y626" s="301"/>
      <c r="Z626" s="258"/>
      <c r="AA626" s="250"/>
      <c r="AB626" s="301"/>
      <c r="AC626" s="305"/>
      <c r="AD626" s="262"/>
      <c r="AE626" s="262"/>
      <c r="AF626" s="283"/>
    </row>
    <row r="627" spans="2:32" hidden="1">
      <c r="B627" s="267"/>
      <c r="C627" s="219"/>
      <c r="D627" s="219"/>
      <c r="E627" s="219"/>
      <c r="F627" s="219"/>
      <c r="G627" s="222"/>
      <c r="H627" s="227"/>
      <c r="I627" s="227"/>
      <c r="J627" s="217"/>
      <c r="K627" s="217"/>
      <c r="L627" s="217"/>
      <c r="M627" s="231"/>
      <c r="N627" s="235"/>
      <c r="O627" s="239"/>
      <c r="P627" s="245"/>
      <c r="Q627" s="246"/>
      <c r="R627" s="302"/>
      <c r="S627" s="251"/>
      <c r="T627" s="302"/>
      <c r="U627" s="251"/>
      <c r="V627" s="302"/>
      <c r="W627" s="251"/>
      <c r="X627" s="255"/>
      <c r="Y627" s="302"/>
      <c r="Z627" s="259"/>
      <c r="AA627" s="251"/>
      <c r="AB627" s="302"/>
      <c r="AC627" s="306"/>
      <c r="AD627" s="261"/>
      <c r="AE627" s="261"/>
      <c r="AF627" s="282"/>
    </row>
    <row r="628" spans="2:32" hidden="1">
      <c r="B628" s="266"/>
      <c r="C628" s="220"/>
      <c r="D628" s="220"/>
      <c r="E628" s="220"/>
      <c r="F628" s="220"/>
      <c r="G628" s="223"/>
      <c r="H628" s="226"/>
      <c r="I628" s="226"/>
      <c r="J628" s="216"/>
      <c r="K628" s="216"/>
      <c r="L628" s="216"/>
      <c r="M628" s="230"/>
      <c r="N628" s="234"/>
      <c r="O628" s="238"/>
      <c r="P628" s="243"/>
      <c r="Q628" s="244"/>
      <c r="R628" s="301"/>
      <c r="S628" s="250"/>
      <c r="T628" s="301"/>
      <c r="U628" s="250"/>
      <c r="V628" s="301"/>
      <c r="W628" s="250"/>
      <c r="X628" s="254"/>
      <c r="Y628" s="301"/>
      <c r="Z628" s="258"/>
      <c r="AA628" s="250"/>
      <c r="AB628" s="301"/>
      <c r="AC628" s="305"/>
      <c r="AD628" s="262"/>
      <c r="AE628" s="262"/>
      <c r="AF628" s="283"/>
    </row>
    <row r="629" spans="2:32" hidden="1">
      <c r="B629" s="267"/>
      <c r="C629" s="219"/>
      <c r="D629" s="219"/>
      <c r="E629" s="219"/>
      <c r="F629" s="219"/>
      <c r="G629" s="222"/>
      <c r="H629" s="227"/>
      <c r="I629" s="227"/>
      <c r="J629" s="217"/>
      <c r="K629" s="217"/>
      <c r="L629" s="217"/>
      <c r="M629" s="231"/>
      <c r="N629" s="235"/>
      <c r="O629" s="239"/>
      <c r="P629" s="245"/>
      <c r="Q629" s="246"/>
      <c r="R629" s="302"/>
      <c r="S629" s="251"/>
      <c r="T629" s="302"/>
      <c r="U629" s="251"/>
      <c r="V629" s="302"/>
      <c r="W629" s="251"/>
      <c r="X629" s="255"/>
      <c r="Y629" s="302"/>
      <c r="Z629" s="259"/>
      <c r="AA629" s="251"/>
      <c r="AB629" s="302"/>
      <c r="AC629" s="306"/>
      <c r="AD629" s="261"/>
      <c r="AE629" s="261"/>
      <c r="AF629" s="282"/>
    </row>
    <row r="630" spans="2:32" hidden="1">
      <c r="B630" s="266"/>
      <c r="C630" s="220"/>
      <c r="D630" s="220"/>
      <c r="E630" s="220"/>
      <c r="F630" s="220"/>
      <c r="G630" s="223"/>
      <c r="H630" s="226"/>
      <c r="I630" s="226"/>
      <c r="J630" s="216"/>
      <c r="K630" s="216"/>
      <c r="L630" s="216"/>
      <c r="M630" s="230"/>
      <c r="N630" s="234"/>
      <c r="O630" s="238"/>
      <c r="P630" s="243"/>
      <c r="Q630" s="244"/>
      <c r="R630" s="301"/>
      <c r="S630" s="250"/>
      <c r="T630" s="301"/>
      <c r="U630" s="250"/>
      <c r="V630" s="301"/>
      <c r="W630" s="250"/>
      <c r="X630" s="254"/>
      <c r="Y630" s="301"/>
      <c r="Z630" s="258"/>
      <c r="AA630" s="250"/>
      <c r="AB630" s="301"/>
      <c r="AC630" s="305"/>
      <c r="AD630" s="262"/>
      <c r="AE630" s="262"/>
      <c r="AF630" s="283"/>
    </row>
    <row r="631" spans="2:32" hidden="1">
      <c r="B631" s="267"/>
      <c r="C631" s="219"/>
      <c r="D631" s="219"/>
      <c r="E631" s="219"/>
      <c r="F631" s="219"/>
      <c r="G631" s="222"/>
      <c r="H631" s="227"/>
      <c r="I631" s="227"/>
      <c r="J631" s="217"/>
      <c r="K631" s="217"/>
      <c r="L631" s="217"/>
      <c r="M631" s="231"/>
      <c r="N631" s="235"/>
      <c r="O631" s="239"/>
      <c r="P631" s="245"/>
      <c r="Q631" s="246"/>
      <c r="R631" s="302"/>
      <c r="S631" s="251"/>
      <c r="T631" s="302"/>
      <c r="U631" s="251"/>
      <c r="V631" s="302"/>
      <c r="W631" s="251"/>
      <c r="X631" s="255"/>
      <c r="Y631" s="302"/>
      <c r="Z631" s="259"/>
      <c r="AA631" s="251"/>
      <c r="AB631" s="302"/>
      <c r="AC631" s="306"/>
      <c r="AD631" s="261"/>
      <c r="AE631" s="261"/>
      <c r="AF631" s="282"/>
    </row>
    <row r="632" spans="2:32" hidden="1">
      <c r="B632" s="266"/>
      <c r="C632" s="220"/>
      <c r="D632" s="220"/>
      <c r="E632" s="220"/>
      <c r="F632" s="220"/>
      <c r="G632" s="223"/>
      <c r="H632" s="226"/>
      <c r="I632" s="226"/>
      <c r="J632" s="216"/>
      <c r="K632" s="216"/>
      <c r="L632" s="216"/>
      <c r="M632" s="230"/>
      <c r="N632" s="234"/>
      <c r="O632" s="238"/>
      <c r="P632" s="243"/>
      <c r="Q632" s="244"/>
      <c r="R632" s="301"/>
      <c r="S632" s="250"/>
      <c r="T632" s="301"/>
      <c r="U632" s="250"/>
      <c r="V632" s="301"/>
      <c r="W632" s="250"/>
      <c r="X632" s="254"/>
      <c r="Y632" s="301"/>
      <c r="Z632" s="258"/>
      <c r="AA632" s="250"/>
      <c r="AB632" s="301"/>
      <c r="AC632" s="305"/>
      <c r="AD632" s="262"/>
      <c r="AE632" s="262"/>
      <c r="AF632" s="283"/>
    </row>
    <row r="633" spans="2:32" hidden="1">
      <c r="B633" s="267"/>
      <c r="C633" s="219"/>
      <c r="D633" s="219"/>
      <c r="E633" s="219"/>
      <c r="F633" s="219"/>
      <c r="G633" s="222"/>
      <c r="H633" s="227"/>
      <c r="I633" s="227"/>
      <c r="J633" s="217"/>
      <c r="K633" s="217"/>
      <c r="L633" s="217"/>
      <c r="M633" s="231"/>
      <c r="N633" s="235"/>
      <c r="O633" s="239"/>
      <c r="P633" s="245"/>
      <c r="Q633" s="246"/>
      <c r="R633" s="302"/>
      <c r="S633" s="251"/>
      <c r="T633" s="302"/>
      <c r="U633" s="251"/>
      <c r="V633" s="302"/>
      <c r="W633" s="251"/>
      <c r="X633" s="255"/>
      <c r="Y633" s="302"/>
      <c r="Z633" s="259"/>
      <c r="AA633" s="251"/>
      <c r="AB633" s="302"/>
      <c r="AC633" s="306"/>
      <c r="AD633" s="261"/>
      <c r="AE633" s="261"/>
      <c r="AF633" s="282"/>
    </row>
    <row r="634" spans="2:32" hidden="1">
      <c r="B634" s="266"/>
      <c r="C634" s="220"/>
      <c r="D634" s="220"/>
      <c r="E634" s="220"/>
      <c r="F634" s="220"/>
      <c r="G634" s="223"/>
      <c r="H634" s="226"/>
      <c r="I634" s="226"/>
      <c r="J634" s="216"/>
      <c r="K634" s="216"/>
      <c r="L634" s="216"/>
      <c r="M634" s="230"/>
      <c r="N634" s="234"/>
      <c r="O634" s="238"/>
      <c r="P634" s="243"/>
      <c r="Q634" s="244"/>
      <c r="R634" s="301"/>
      <c r="S634" s="250"/>
      <c r="T634" s="301"/>
      <c r="U634" s="250"/>
      <c r="V634" s="301"/>
      <c r="W634" s="250"/>
      <c r="X634" s="254"/>
      <c r="Y634" s="301"/>
      <c r="Z634" s="258"/>
      <c r="AA634" s="250"/>
      <c r="AB634" s="301"/>
      <c r="AC634" s="305"/>
      <c r="AD634" s="262"/>
      <c r="AE634" s="262"/>
      <c r="AF634" s="283"/>
    </row>
    <row r="635" spans="2:32" hidden="1">
      <c r="B635" s="267"/>
      <c r="C635" s="219"/>
      <c r="D635" s="219"/>
      <c r="E635" s="219"/>
      <c r="F635" s="219"/>
      <c r="G635" s="222"/>
      <c r="H635" s="227"/>
      <c r="I635" s="227"/>
      <c r="J635" s="217"/>
      <c r="K635" s="217"/>
      <c r="L635" s="217"/>
      <c r="M635" s="231"/>
      <c r="N635" s="235"/>
      <c r="O635" s="239"/>
      <c r="P635" s="245"/>
      <c r="Q635" s="246"/>
      <c r="R635" s="302"/>
      <c r="S635" s="251"/>
      <c r="T635" s="302"/>
      <c r="U635" s="251"/>
      <c r="V635" s="302"/>
      <c r="W635" s="251"/>
      <c r="X635" s="255"/>
      <c r="Y635" s="302"/>
      <c r="Z635" s="259"/>
      <c r="AA635" s="251"/>
      <c r="AB635" s="302"/>
      <c r="AC635" s="306"/>
      <c r="AD635" s="261"/>
      <c r="AE635" s="261"/>
      <c r="AF635" s="282"/>
    </row>
    <row r="636" spans="2:32" hidden="1">
      <c r="B636" s="266"/>
      <c r="C636" s="220"/>
      <c r="D636" s="220"/>
      <c r="E636" s="220"/>
      <c r="F636" s="220"/>
      <c r="G636" s="223"/>
      <c r="H636" s="226"/>
      <c r="I636" s="226"/>
      <c r="J636" s="216"/>
      <c r="K636" s="216"/>
      <c r="L636" s="216"/>
      <c r="M636" s="230"/>
      <c r="N636" s="234"/>
      <c r="O636" s="238"/>
      <c r="P636" s="243"/>
      <c r="Q636" s="244"/>
      <c r="R636" s="301"/>
      <c r="S636" s="250"/>
      <c r="T636" s="301"/>
      <c r="U636" s="250"/>
      <c r="V636" s="301"/>
      <c r="W636" s="250"/>
      <c r="X636" s="254"/>
      <c r="Y636" s="301"/>
      <c r="Z636" s="258"/>
      <c r="AA636" s="250"/>
      <c r="AB636" s="301"/>
      <c r="AC636" s="305"/>
      <c r="AD636" s="262"/>
      <c r="AE636" s="262"/>
      <c r="AF636" s="283"/>
    </row>
    <row r="637" spans="2:32" hidden="1">
      <c r="B637" s="267"/>
      <c r="C637" s="219"/>
      <c r="D637" s="219"/>
      <c r="E637" s="219"/>
      <c r="F637" s="219"/>
      <c r="G637" s="222"/>
      <c r="H637" s="227"/>
      <c r="I637" s="227"/>
      <c r="J637" s="217"/>
      <c r="K637" s="217"/>
      <c r="L637" s="217"/>
      <c r="M637" s="231"/>
      <c r="N637" s="235"/>
      <c r="O637" s="239"/>
      <c r="P637" s="245"/>
      <c r="Q637" s="246"/>
      <c r="R637" s="302"/>
      <c r="S637" s="251"/>
      <c r="T637" s="302"/>
      <c r="U637" s="251"/>
      <c r="V637" s="302"/>
      <c r="W637" s="251"/>
      <c r="X637" s="255"/>
      <c r="Y637" s="302"/>
      <c r="Z637" s="259"/>
      <c r="AA637" s="251"/>
      <c r="AB637" s="302"/>
      <c r="AC637" s="306"/>
      <c r="AD637" s="261"/>
      <c r="AE637" s="261"/>
      <c r="AF637" s="282"/>
    </row>
    <row r="638" spans="2:32" hidden="1">
      <c r="B638" s="266"/>
      <c r="C638" s="220"/>
      <c r="D638" s="220"/>
      <c r="E638" s="220"/>
      <c r="F638" s="220"/>
      <c r="G638" s="223"/>
      <c r="H638" s="226"/>
      <c r="I638" s="226"/>
      <c r="J638" s="216"/>
      <c r="K638" s="216"/>
      <c r="L638" s="216"/>
      <c r="M638" s="230"/>
      <c r="N638" s="234"/>
      <c r="O638" s="238"/>
      <c r="P638" s="243"/>
      <c r="Q638" s="244"/>
      <c r="R638" s="301"/>
      <c r="S638" s="250"/>
      <c r="T638" s="301"/>
      <c r="U638" s="250"/>
      <c r="V638" s="301"/>
      <c r="W638" s="250"/>
      <c r="X638" s="254"/>
      <c r="Y638" s="301"/>
      <c r="Z638" s="258"/>
      <c r="AA638" s="250"/>
      <c r="AB638" s="301"/>
      <c r="AC638" s="305"/>
      <c r="AD638" s="262"/>
      <c r="AE638" s="262"/>
      <c r="AF638" s="283"/>
    </row>
    <row r="639" spans="2:32" hidden="1">
      <c r="B639" s="267"/>
      <c r="C639" s="219"/>
      <c r="D639" s="219"/>
      <c r="E639" s="219"/>
      <c r="F639" s="219"/>
      <c r="G639" s="222"/>
      <c r="H639" s="227"/>
      <c r="I639" s="227"/>
      <c r="J639" s="217"/>
      <c r="K639" s="217"/>
      <c r="L639" s="217"/>
      <c r="M639" s="231"/>
      <c r="N639" s="235"/>
      <c r="O639" s="239"/>
      <c r="P639" s="245"/>
      <c r="Q639" s="246"/>
      <c r="R639" s="302"/>
      <c r="S639" s="251"/>
      <c r="T639" s="302"/>
      <c r="U639" s="251"/>
      <c r="V639" s="302"/>
      <c r="W639" s="251"/>
      <c r="X639" s="255"/>
      <c r="Y639" s="302"/>
      <c r="Z639" s="259"/>
      <c r="AA639" s="251"/>
      <c r="AB639" s="302"/>
      <c r="AC639" s="306"/>
      <c r="AD639" s="261"/>
      <c r="AE639" s="261"/>
      <c r="AF639" s="282"/>
    </row>
    <row r="640" spans="2:32" hidden="1">
      <c r="B640" s="266"/>
      <c r="C640" s="220"/>
      <c r="D640" s="220"/>
      <c r="E640" s="220"/>
      <c r="F640" s="220"/>
      <c r="G640" s="223"/>
      <c r="H640" s="226"/>
      <c r="I640" s="226"/>
      <c r="J640" s="216"/>
      <c r="K640" s="216"/>
      <c r="L640" s="216"/>
      <c r="M640" s="230"/>
      <c r="N640" s="234"/>
      <c r="O640" s="238"/>
      <c r="P640" s="243"/>
      <c r="Q640" s="244"/>
      <c r="R640" s="301"/>
      <c r="S640" s="250"/>
      <c r="T640" s="301"/>
      <c r="U640" s="250"/>
      <c r="V640" s="301"/>
      <c r="W640" s="250"/>
      <c r="X640" s="254"/>
      <c r="Y640" s="301"/>
      <c r="Z640" s="258"/>
      <c r="AA640" s="250"/>
      <c r="AB640" s="301"/>
      <c r="AC640" s="305"/>
      <c r="AD640" s="262"/>
      <c r="AE640" s="262"/>
      <c r="AF640" s="283"/>
    </row>
    <row r="641" spans="2:32" hidden="1">
      <c r="B641" s="267"/>
      <c r="C641" s="219"/>
      <c r="D641" s="219"/>
      <c r="E641" s="219"/>
      <c r="F641" s="219"/>
      <c r="G641" s="222"/>
      <c r="H641" s="227"/>
      <c r="I641" s="227"/>
      <c r="J641" s="217"/>
      <c r="K641" s="217"/>
      <c r="L641" s="217"/>
      <c r="M641" s="231"/>
      <c r="N641" s="235"/>
      <c r="O641" s="239"/>
      <c r="P641" s="245"/>
      <c r="Q641" s="246"/>
      <c r="R641" s="302"/>
      <c r="S641" s="251"/>
      <c r="T641" s="302"/>
      <c r="U641" s="251"/>
      <c r="V641" s="302"/>
      <c r="W641" s="251"/>
      <c r="X641" s="255"/>
      <c r="Y641" s="302"/>
      <c r="Z641" s="259"/>
      <c r="AA641" s="251"/>
      <c r="AB641" s="302"/>
      <c r="AC641" s="306"/>
      <c r="AD641" s="261"/>
      <c r="AE641" s="261"/>
      <c r="AF641" s="282"/>
    </row>
    <row r="642" spans="2:32" hidden="1">
      <c r="B642" s="266"/>
      <c r="C642" s="220"/>
      <c r="D642" s="220"/>
      <c r="E642" s="220"/>
      <c r="F642" s="220"/>
      <c r="G642" s="223"/>
      <c r="H642" s="226"/>
      <c r="I642" s="226"/>
      <c r="J642" s="216"/>
      <c r="K642" s="216"/>
      <c r="L642" s="216"/>
      <c r="M642" s="230"/>
      <c r="N642" s="234"/>
      <c r="O642" s="238"/>
      <c r="P642" s="243"/>
      <c r="Q642" s="244"/>
      <c r="R642" s="301"/>
      <c r="S642" s="250"/>
      <c r="T642" s="301"/>
      <c r="U642" s="250"/>
      <c r="V642" s="301"/>
      <c r="W642" s="250"/>
      <c r="X642" s="254"/>
      <c r="Y642" s="301"/>
      <c r="Z642" s="258"/>
      <c r="AA642" s="250"/>
      <c r="AB642" s="301"/>
      <c r="AC642" s="305"/>
      <c r="AD642" s="262"/>
      <c r="AE642" s="262"/>
      <c r="AF642" s="283"/>
    </row>
    <row r="643" spans="2:32" hidden="1">
      <c r="B643" s="267"/>
      <c r="C643" s="219"/>
      <c r="D643" s="219"/>
      <c r="E643" s="219"/>
      <c r="F643" s="219"/>
      <c r="G643" s="222"/>
      <c r="H643" s="227"/>
      <c r="I643" s="227"/>
      <c r="J643" s="217"/>
      <c r="K643" s="217"/>
      <c r="L643" s="217"/>
      <c r="M643" s="231"/>
      <c r="N643" s="235"/>
      <c r="O643" s="239"/>
      <c r="P643" s="245"/>
      <c r="Q643" s="246"/>
      <c r="R643" s="302"/>
      <c r="S643" s="251"/>
      <c r="T643" s="302"/>
      <c r="U643" s="251"/>
      <c r="V643" s="302"/>
      <c r="W643" s="251"/>
      <c r="X643" s="255"/>
      <c r="Y643" s="302"/>
      <c r="Z643" s="259"/>
      <c r="AA643" s="251"/>
      <c r="AB643" s="302"/>
      <c r="AC643" s="306"/>
      <c r="AD643" s="261"/>
      <c r="AE643" s="261"/>
      <c r="AF643" s="282"/>
    </row>
    <row r="644" spans="2:32" hidden="1">
      <c r="B644" s="266"/>
      <c r="C644" s="220"/>
      <c r="D644" s="220"/>
      <c r="E644" s="220"/>
      <c r="F644" s="220"/>
      <c r="G644" s="223"/>
      <c r="H644" s="226"/>
      <c r="I644" s="226"/>
      <c r="J644" s="216"/>
      <c r="K644" s="216"/>
      <c r="L644" s="216"/>
      <c r="M644" s="230"/>
      <c r="N644" s="234"/>
      <c r="O644" s="238"/>
      <c r="P644" s="243"/>
      <c r="Q644" s="244"/>
      <c r="R644" s="301"/>
      <c r="S644" s="250"/>
      <c r="T644" s="301"/>
      <c r="U644" s="250"/>
      <c r="V644" s="301"/>
      <c r="W644" s="250"/>
      <c r="X644" s="254"/>
      <c r="Y644" s="301"/>
      <c r="Z644" s="258"/>
      <c r="AA644" s="250"/>
      <c r="AB644" s="301"/>
      <c r="AC644" s="305"/>
      <c r="AD644" s="262"/>
      <c r="AE644" s="262"/>
      <c r="AF644" s="283"/>
    </row>
    <row r="645" spans="2:32" hidden="1">
      <c r="B645" s="267"/>
      <c r="C645" s="219"/>
      <c r="D645" s="219"/>
      <c r="E645" s="219"/>
      <c r="F645" s="219"/>
      <c r="G645" s="222"/>
      <c r="H645" s="227"/>
      <c r="I645" s="227"/>
      <c r="J645" s="217"/>
      <c r="K645" s="217"/>
      <c r="L645" s="217"/>
      <c r="M645" s="231"/>
      <c r="N645" s="235"/>
      <c r="O645" s="239"/>
      <c r="P645" s="245"/>
      <c r="Q645" s="246"/>
      <c r="R645" s="302"/>
      <c r="S645" s="251"/>
      <c r="T645" s="302"/>
      <c r="U645" s="251"/>
      <c r="V645" s="302"/>
      <c r="W645" s="251"/>
      <c r="X645" s="255"/>
      <c r="Y645" s="302"/>
      <c r="Z645" s="259"/>
      <c r="AA645" s="251"/>
      <c r="AB645" s="302"/>
      <c r="AC645" s="306"/>
      <c r="AD645" s="261"/>
      <c r="AE645" s="261"/>
      <c r="AF645" s="282"/>
    </row>
    <row r="646" spans="2:32" hidden="1">
      <c r="B646" s="266"/>
      <c r="C646" s="220"/>
      <c r="D646" s="220"/>
      <c r="E646" s="220"/>
      <c r="F646" s="220"/>
      <c r="G646" s="223"/>
      <c r="H646" s="226"/>
      <c r="I646" s="226"/>
      <c r="J646" s="216"/>
      <c r="K646" s="216"/>
      <c r="L646" s="216"/>
      <c r="M646" s="230"/>
      <c r="N646" s="234"/>
      <c r="O646" s="238"/>
      <c r="P646" s="243"/>
      <c r="Q646" s="244"/>
      <c r="R646" s="301"/>
      <c r="S646" s="250"/>
      <c r="T646" s="301"/>
      <c r="U646" s="250"/>
      <c r="V646" s="301"/>
      <c r="W646" s="250"/>
      <c r="X646" s="254"/>
      <c r="Y646" s="301"/>
      <c r="Z646" s="258"/>
      <c r="AA646" s="250"/>
      <c r="AB646" s="301"/>
      <c r="AC646" s="305"/>
      <c r="AD646" s="262"/>
      <c r="AE646" s="262"/>
      <c r="AF646" s="283"/>
    </row>
    <row r="647" spans="2:32" hidden="1">
      <c r="B647" s="267"/>
      <c r="C647" s="219"/>
      <c r="D647" s="219"/>
      <c r="E647" s="219"/>
      <c r="F647" s="219"/>
      <c r="G647" s="222"/>
      <c r="H647" s="227"/>
      <c r="I647" s="227"/>
      <c r="J647" s="217"/>
      <c r="K647" s="217"/>
      <c r="L647" s="217"/>
      <c r="M647" s="231"/>
      <c r="N647" s="235"/>
      <c r="O647" s="239"/>
      <c r="P647" s="245"/>
      <c r="Q647" s="246"/>
      <c r="R647" s="302"/>
      <c r="S647" s="251"/>
      <c r="T647" s="302"/>
      <c r="U647" s="251"/>
      <c r="V647" s="302"/>
      <c r="W647" s="251"/>
      <c r="X647" s="255"/>
      <c r="Y647" s="302"/>
      <c r="Z647" s="259"/>
      <c r="AA647" s="251"/>
      <c r="AB647" s="302"/>
      <c r="AC647" s="306"/>
      <c r="AD647" s="261"/>
      <c r="AE647" s="261"/>
      <c r="AF647" s="282"/>
    </row>
    <row r="648" spans="2:32" hidden="1">
      <c r="B648" s="266"/>
      <c r="C648" s="220"/>
      <c r="D648" s="220"/>
      <c r="E648" s="220"/>
      <c r="F648" s="220"/>
      <c r="G648" s="223"/>
      <c r="H648" s="226"/>
      <c r="I648" s="226"/>
      <c r="J648" s="216"/>
      <c r="K648" s="216"/>
      <c r="L648" s="216"/>
      <c r="M648" s="230"/>
      <c r="N648" s="234"/>
      <c r="O648" s="238"/>
      <c r="P648" s="243"/>
      <c r="Q648" s="244"/>
      <c r="R648" s="301"/>
      <c r="S648" s="250"/>
      <c r="T648" s="301"/>
      <c r="U648" s="250"/>
      <c r="V648" s="301"/>
      <c r="W648" s="250"/>
      <c r="X648" s="254"/>
      <c r="Y648" s="301"/>
      <c r="Z648" s="258"/>
      <c r="AA648" s="250"/>
      <c r="AB648" s="301"/>
      <c r="AC648" s="305"/>
      <c r="AD648" s="262"/>
      <c r="AE648" s="262"/>
      <c r="AF648" s="283"/>
    </row>
    <row r="649" spans="2:32" hidden="1">
      <c r="B649" s="267"/>
      <c r="C649" s="219"/>
      <c r="D649" s="219"/>
      <c r="E649" s="219"/>
      <c r="F649" s="219"/>
      <c r="G649" s="222"/>
      <c r="H649" s="227"/>
      <c r="I649" s="227"/>
      <c r="J649" s="217"/>
      <c r="K649" s="217"/>
      <c r="L649" s="217"/>
      <c r="M649" s="231"/>
      <c r="N649" s="235"/>
      <c r="O649" s="239"/>
      <c r="P649" s="245"/>
      <c r="Q649" s="246"/>
      <c r="R649" s="302"/>
      <c r="S649" s="251"/>
      <c r="T649" s="302"/>
      <c r="U649" s="251"/>
      <c r="V649" s="302"/>
      <c r="W649" s="251"/>
      <c r="X649" s="255"/>
      <c r="Y649" s="302"/>
      <c r="Z649" s="259"/>
      <c r="AA649" s="251"/>
      <c r="AB649" s="302"/>
      <c r="AC649" s="306"/>
      <c r="AD649" s="261"/>
      <c r="AE649" s="261"/>
      <c r="AF649" s="282"/>
    </row>
    <row r="650" spans="2:32" hidden="1">
      <c r="B650" s="266"/>
      <c r="C650" s="220"/>
      <c r="D650" s="220"/>
      <c r="E650" s="220"/>
      <c r="F650" s="220"/>
      <c r="G650" s="223"/>
      <c r="H650" s="226"/>
      <c r="I650" s="226"/>
      <c r="J650" s="216"/>
      <c r="K650" s="216"/>
      <c r="L650" s="216"/>
      <c r="M650" s="230"/>
      <c r="N650" s="234"/>
      <c r="O650" s="238"/>
      <c r="P650" s="243"/>
      <c r="Q650" s="244"/>
      <c r="R650" s="301"/>
      <c r="S650" s="250"/>
      <c r="T650" s="301"/>
      <c r="U650" s="250"/>
      <c r="V650" s="301"/>
      <c r="W650" s="250"/>
      <c r="X650" s="254"/>
      <c r="Y650" s="301"/>
      <c r="Z650" s="258"/>
      <c r="AA650" s="250"/>
      <c r="AB650" s="301"/>
      <c r="AC650" s="305"/>
      <c r="AD650" s="262"/>
      <c r="AE650" s="262"/>
      <c r="AF650" s="283"/>
    </row>
    <row r="651" spans="2:32" hidden="1">
      <c r="B651" s="267"/>
      <c r="C651" s="219"/>
      <c r="D651" s="219"/>
      <c r="E651" s="219"/>
      <c r="F651" s="219"/>
      <c r="G651" s="222"/>
      <c r="H651" s="227"/>
      <c r="I651" s="227"/>
      <c r="J651" s="217"/>
      <c r="K651" s="217"/>
      <c r="L651" s="217"/>
      <c r="M651" s="231"/>
      <c r="N651" s="235"/>
      <c r="O651" s="239"/>
      <c r="P651" s="245"/>
      <c r="Q651" s="246"/>
      <c r="R651" s="302"/>
      <c r="S651" s="251"/>
      <c r="T651" s="302"/>
      <c r="U651" s="251"/>
      <c r="V651" s="302"/>
      <c r="W651" s="251"/>
      <c r="X651" s="255"/>
      <c r="Y651" s="302"/>
      <c r="Z651" s="259"/>
      <c r="AA651" s="251"/>
      <c r="AB651" s="302"/>
      <c r="AC651" s="306"/>
      <c r="AD651" s="261"/>
      <c r="AE651" s="261"/>
      <c r="AF651" s="282"/>
    </row>
    <row r="652" spans="2:32" hidden="1">
      <c r="B652" s="266"/>
      <c r="C652" s="220"/>
      <c r="D652" s="220"/>
      <c r="E652" s="220"/>
      <c r="F652" s="220"/>
      <c r="G652" s="223"/>
      <c r="H652" s="226"/>
      <c r="I652" s="226"/>
      <c r="J652" s="216"/>
      <c r="K652" s="216"/>
      <c r="L652" s="216"/>
      <c r="M652" s="230"/>
      <c r="N652" s="234"/>
      <c r="O652" s="238"/>
      <c r="P652" s="243"/>
      <c r="Q652" s="244"/>
      <c r="R652" s="301"/>
      <c r="S652" s="250"/>
      <c r="T652" s="301"/>
      <c r="U652" s="250"/>
      <c r="V652" s="301"/>
      <c r="W652" s="250"/>
      <c r="X652" s="254"/>
      <c r="Y652" s="301"/>
      <c r="Z652" s="258"/>
      <c r="AA652" s="250"/>
      <c r="AB652" s="301"/>
      <c r="AC652" s="305"/>
      <c r="AD652" s="262"/>
      <c r="AE652" s="262"/>
      <c r="AF652" s="283"/>
    </row>
    <row r="653" spans="2:32" hidden="1">
      <c r="B653" s="267"/>
      <c r="C653" s="219"/>
      <c r="D653" s="219"/>
      <c r="E653" s="219"/>
      <c r="F653" s="219"/>
      <c r="G653" s="222"/>
      <c r="H653" s="227"/>
      <c r="I653" s="227"/>
      <c r="J653" s="217"/>
      <c r="K653" s="217"/>
      <c r="L653" s="217"/>
      <c r="M653" s="231"/>
      <c r="N653" s="235"/>
      <c r="O653" s="239"/>
      <c r="P653" s="245"/>
      <c r="Q653" s="246"/>
      <c r="R653" s="302"/>
      <c r="S653" s="251"/>
      <c r="T653" s="302"/>
      <c r="U653" s="251"/>
      <c r="V653" s="302"/>
      <c r="W653" s="251"/>
      <c r="X653" s="255"/>
      <c r="Y653" s="302"/>
      <c r="Z653" s="259"/>
      <c r="AA653" s="251"/>
      <c r="AB653" s="302"/>
      <c r="AC653" s="306"/>
      <c r="AD653" s="261"/>
      <c r="AE653" s="261"/>
      <c r="AF653" s="282"/>
    </row>
    <row r="654" spans="2:32" hidden="1">
      <c r="B654" s="266"/>
      <c r="C654" s="220"/>
      <c r="D654" s="220"/>
      <c r="E654" s="220"/>
      <c r="F654" s="220"/>
      <c r="G654" s="223"/>
      <c r="H654" s="226"/>
      <c r="I654" s="226"/>
      <c r="J654" s="216"/>
      <c r="K654" s="216"/>
      <c r="L654" s="216"/>
      <c r="M654" s="230"/>
      <c r="N654" s="234"/>
      <c r="O654" s="238"/>
      <c r="P654" s="243"/>
      <c r="Q654" s="244"/>
      <c r="R654" s="301"/>
      <c r="S654" s="250"/>
      <c r="T654" s="301"/>
      <c r="U654" s="250"/>
      <c r="V654" s="301"/>
      <c r="W654" s="250"/>
      <c r="X654" s="254"/>
      <c r="Y654" s="301"/>
      <c r="Z654" s="258"/>
      <c r="AA654" s="250"/>
      <c r="AB654" s="301"/>
      <c r="AC654" s="305"/>
      <c r="AD654" s="262"/>
      <c r="AE654" s="262"/>
      <c r="AF654" s="283"/>
    </row>
    <row r="655" spans="2:32" hidden="1">
      <c r="B655" s="267"/>
      <c r="C655" s="219"/>
      <c r="D655" s="219"/>
      <c r="E655" s="219"/>
      <c r="F655" s="219"/>
      <c r="G655" s="222"/>
      <c r="H655" s="227"/>
      <c r="I655" s="227"/>
      <c r="J655" s="217"/>
      <c r="K655" s="217"/>
      <c r="L655" s="217"/>
      <c r="M655" s="231"/>
      <c r="N655" s="235"/>
      <c r="O655" s="239"/>
      <c r="P655" s="245"/>
      <c r="Q655" s="246"/>
      <c r="R655" s="302"/>
      <c r="S655" s="251"/>
      <c r="T655" s="302"/>
      <c r="U655" s="251"/>
      <c r="V655" s="302"/>
      <c r="W655" s="251"/>
      <c r="X655" s="255"/>
      <c r="Y655" s="302"/>
      <c r="Z655" s="259"/>
      <c r="AA655" s="251"/>
      <c r="AB655" s="302"/>
      <c r="AC655" s="306"/>
      <c r="AD655" s="261"/>
      <c r="AE655" s="261"/>
      <c r="AF655" s="282"/>
    </row>
    <row r="656" spans="2:32" hidden="1">
      <c r="B656" s="266"/>
      <c r="C656" s="220"/>
      <c r="D656" s="220"/>
      <c r="E656" s="220"/>
      <c r="F656" s="220"/>
      <c r="G656" s="223"/>
      <c r="H656" s="226"/>
      <c r="I656" s="226"/>
      <c r="J656" s="216"/>
      <c r="K656" s="216"/>
      <c r="L656" s="216"/>
      <c r="M656" s="230"/>
      <c r="N656" s="234"/>
      <c r="O656" s="238"/>
      <c r="P656" s="243"/>
      <c r="Q656" s="244"/>
      <c r="R656" s="301"/>
      <c r="S656" s="250"/>
      <c r="T656" s="301"/>
      <c r="U656" s="250"/>
      <c r="V656" s="301"/>
      <c r="W656" s="250"/>
      <c r="X656" s="254"/>
      <c r="Y656" s="301"/>
      <c r="Z656" s="258"/>
      <c r="AA656" s="250"/>
      <c r="AB656" s="301"/>
      <c r="AC656" s="305"/>
      <c r="AD656" s="262"/>
      <c r="AE656" s="262"/>
      <c r="AF656" s="283"/>
    </row>
    <row r="657" spans="2:32" hidden="1">
      <c r="B657" s="267"/>
      <c r="C657" s="219"/>
      <c r="D657" s="219"/>
      <c r="E657" s="219"/>
      <c r="F657" s="219"/>
      <c r="G657" s="222"/>
      <c r="H657" s="227"/>
      <c r="I657" s="227"/>
      <c r="J657" s="217"/>
      <c r="K657" s="217"/>
      <c r="L657" s="217"/>
      <c r="M657" s="231"/>
      <c r="N657" s="235"/>
      <c r="O657" s="239"/>
      <c r="P657" s="245"/>
      <c r="Q657" s="246"/>
      <c r="R657" s="302"/>
      <c r="S657" s="251"/>
      <c r="T657" s="302"/>
      <c r="U657" s="251"/>
      <c r="V657" s="302"/>
      <c r="W657" s="251"/>
      <c r="X657" s="255"/>
      <c r="Y657" s="302"/>
      <c r="Z657" s="259"/>
      <c r="AA657" s="251"/>
      <c r="AB657" s="302"/>
      <c r="AC657" s="306"/>
      <c r="AD657" s="261"/>
      <c r="AE657" s="261"/>
      <c r="AF657" s="282"/>
    </row>
    <row r="658" spans="2:32" hidden="1">
      <c r="B658" s="266"/>
      <c r="C658" s="220"/>
      <c r="D658" s="220"/>
      <c r="E658" s="220"/>
      <c r="F658" s="220"/>
      <c r="G658" s="223"/>
      <c r="H658" s="226"/>
      <c r="I658" s="226"/>
      <c r="J658" s="216"/>
      <c r="K658" s="216"/>
      <c r="L658" s="216"/>
      <c r="M658" s="230"/>
      <c r="N658" s="234"/>
      <c r="O658" s="238"/>
      <c r="P658" s="243"/>
      <c r="Q658" s="244"/>
      <c r="R658" s="301"/>
      <c r="S658" s="250"/>
      <c r="T658" s="301"/>
      <c r="U658" s="250"/>
      <c r="V658" s="301"/>
      <c r="W658" s="250"/>
      <c r="X658" s="254"/>
      <c r="Y658" s="301"/>
      <c r="Z658" s="258"/>
      <c r="AA658" s="250"/>
      <c r="AB658" s="301"/>
      <c r="AC658" s="305"/>
      <c r="AD658" s="262"/>
      <c r="AE658" s="262"/>
      <c r="AF658" s="283"/>
    </row>
    <row r="659" spans="2:32" hidden="1">
      <c r="B659" s="267"/>
      <c r="C659" s="219"/>
      <c r="D659" s="219"/>
      <c r="E659" s="219"/>
      <c r="F659" s="219"/>
      <c r="G659" s="222"/>
      <c r="H659" s="227"/>
      <c r="I659" s="227"/>
      <c r="J659" s="217"/>
      <c r="K659" s="217"/>
      <c r="L659" s="217"/>
      <c r="M659" s="231"/>
      <c r="N659" s="235"/>
      <c r="O659" s="239"/>
      <c r="P659" s="245"/>
      <c r="Q659" s="246"/>
      <c r="R659" s="302"/>
      <c r="S659" s="251"/>
      <c r="T659" s="302"/>
      <c r="U659" s="251"/>
      <c r="V659" s="302"/>
      <c r="W659" s="251"/>
      <c r="X659" s="255"/>
      <c r="Y659" s="302"/>
      <c r="Z659" s="259"/>
      <c r="AA659" s="251"/>
      <c r="AB659" s="302"/>
      <c r="AC659" s="306"/>
      <c r="AD659" s="261"/>
      <c r="AE659" s="261"/>
      <c r="AF659" s="282"/>
    </row>
    <row r="660" spans="2:32" hidden="1">
      <c r="B660" s="266"/>
      <c r="C660" s="220"/>
      <c r="D660" s="220"/>
      <c r="E660" s="220"/>
      <c r="F660" s="220"/>
      <c r="G660" s="223"/>
      <c r="H660" s="226"/>
      <c r="I660" s="226"/>
      <c r="J660" s="216"/>
      <c r="K660" s="216"/>
      <c r="L660" s="216"/>
      <c r="M660" s="230"/>
      <c r="N660" s="234"/>
      <c r="O660" s="238"/>
      <c r="P660" s="243"/>
      <c r="Q660" s="244"/>
      <c r="R660" s="301"/>
      <c r="S660" s="250"/>
      <c r="T660" s="301"/>
      <c r="U660" s="250"/>
      <c r="V660" s="301"/>
      <c r="W660" s="250"/>
      <c r="X660" s="254"/>
      <c r="Y660" s="301"/>
      <c r="Z660" s="258"/>
      <c r="AA660" s="250"/>
      <c r="AB660" s="301"/>
      <c r="AC660" s="305"/>
      <c r="AD660" s="262"/>
      <c r="AE660" s="262"/>
      <c r="AF660" s="283"/>
    </row>
    <row r="661" spans="2:32" hidden="1">
      <c r="B661" s="267"/>
      <c r="C661" s="219"/>
      <c r="D661" s="219"/>
      <c r="E661" s="219"/>
      <c r="F661" s="219"/>
      <c r="G661" s="222"/>
      <c r="H661" s="227"/>
      <c r="I661" s="227"/>
      <c r="J661" s="217"/>
      <c r="K661" s="217"/>
      <c r="L661" s="217"/>
      <c r="M661" s="231"/>
      <c r="N661" s="235"/>
      <c r="O661" s="239"/>
      <c r="P661" s="245"/>
      <c r="Q661" s="246"/>
      <c r="R661" s="302"/>
      <c r="S661" s="251"/>
      <c r="T661" s="302"/>
      <c r="U661" s="251"/>
      <c r="V661" s="302"/>
      <c r="W661" s="251"/>
      <c r="X661" s="255"/>
      <c r="Y661" s="302"/>
      <c r="Z661" s="259"/>
      <c r="AA661" s="251"/>
      <c r="AB661" s="302"/>
      <c r="AC661" s="306"/>
      <c r="AD661" s="261"/>
      <c r="AE661" s="261"/>
      <c r="AF661" s="282"/>
    </row>
    <row r="662" spans="2:32" hidden="1">
      <c r="B662" s="266"/>
      <c r="C662" s="220"/>
      <c r="D662" s="220"/>
      <c r="E662" s="220"/>
      <c r="F662" s="220"/>
      <c r="G662" s="223"/>
      <c r="H662" s="226"/>
      <c r="I662" s="226"/>
      <c r="J662" s="216"/>
      <c r="K662" s="216"/>
      <c r="L662" s="216"/>
      <c r="M662" s="230"/>
      <c r="N662" s="234"/>
      <c r="O662" s="238"/>
      <c r="P662" s="243"/>
      <c r="Q662" s="244"/>
      <c r="R662" s="301"/>
      <c r="S662" s="250"/>
      <c r="T662" s="301"/>
      <c r="U662" s="250"/>
      <c r="V662" s="301"/>
      <c r="W662" s="250"/>
      <c r="X662" s="254"/>
      <c r="Y662" s="301"/>
      <c r="Z662" s="258"/>
      <c r="AA662" s="250"/>
      <c r="AB662" s="301"/>
      <c r="AC662" s="305"/>
      <c r="AD662" s="262"/>
      <c r="AE662" s="262"/>
      <c r="AF662" s="283"/>
    </row>
    <row r="663" spans="2:32" hidden="1">
      <c r="B663" s="267"/>
      <c r="C663" s="219"/>
      <c r="D663" s="219"/>
      <c r="E663" s="219"/>
      <c r="F663" s="219"/>
      <c r="G663" s="222"/>
      <c r="H663" s="227"/>
      <c r="I663" s="227"/>
      <c r="J663" s="217"/>
      <c r="K663" s="217"/>
      <c r="L663" s="217"/>
      <c r="M663" s="231"/>
      <c r="N663" s="235"/>
      <c r="O663" s="239"/>
      <c r="P663" s="245"/>
      <c r="Q663" s="246"/>
      <c r="R663" s="302"/>
      <c r="S663" s="251"/>
      <c r="T663" s="302"/>
      <c r="U663" s="251"/>
      <c r="V663" s="302"/>
      <c r="W663" s="251"/>
      <c r="X663" s="255"/>
      <c r="Y663" s="302"/>
      <c r="Z663" s="259"/>
      <c r="AA663" s="251"/>
      <c r="AB663" s="302"/>
      <c r="AC663" s="306"/>
      <c r="AD663" s="261"/>
      <c r="AE663" s="261"/>
      <c r="AF663" s="282"/>
    </row>
    <row r="664" spans="2:32" hidden="1">
      <c r="B664" s="266"/>
      <c r="C664" s="220"/>
      <c r="D664" s="220"/>
      <c r="E664" s="220"/>
      <c r="F664" s="220"/>
      <c r="G664" s="223"/>
      <c r="H664" s="226"/>
      <c r="I664" s="226"/>
      <c r="J664" s="216"/>
      <c r="K664" s="216"/>
      <c r="L664" s="216"/>
      <c r="M664" s="230"/>
      <c r="N664" s="234"/>
      <c r="O664" s="238"/>
      <c r="P664" s="243"/>
      <c r="Q664" s="244"/>
      <c r="R664" s="301"/>
      <c r="S664" s="250"/>
      <c r="T664" s="301"/>
      <c r="U664" s="250"/>
      <c r="V664" s="301"/>
      <c r="W664" s="250"/>
      <c r="X664" s="254"/>
      <c r="Y664" s="301"/>
      <c r="Z664" s="258"/>
      <c r="AA664" s="250"/>
      <c r="AB664" s="301"/>
      <c r="AC664" s="305"/>
      <c r="AD664" s="262"/>
      <c r="AE664" s="262"/>
      <c r="AF664" s="283"/>
    </row>
    <row r="665" spans="2:32" hidden="1">
      <c r="B665" s="267"/>
      <c r="C665" s="219"/>
      <c r="D665" s="219"/>
      <c r="E665" s="219"/>
      <c r="F665" s="219"/>
      <c r="G665" s="222"/>
      <c r="H665" s="227"/>
      <c r="I665" s="227"/>
      <c r="J665" s="217"/>
      <c r="K665" s="217"/>
      <c r="L665" s="217"/>
      <c r="M665" s="231"/>
      <c r="N665" s="235"/>
      <c r="O665" s="239"/>
      <c r="P665" s="245"/>
      <c r="Q665" s="246"/>
      <c r="R665" s="302"/>
      <c r="S665" s="251"/>
      <c r="T665" s="302"/>
      <c r="U665" s="251"/>
      <c r="V665" s="302"/>
      <c r="W665" s="251"/>
      <c r="X665" s="255"/>
      <c r="Y665" s="302"/>
      <c r="Z665" s="259"/>
      <c r="AA665" s="251"/>
      <c r="AB665" s="302"/>
      <c r="AC665" s="306"/>
      <c r="AD665" s="261"/>
      <c r="AE665" s="261"/>
      <c r="AF665" s="282"/>
    </row>
    <row r="666" spans="2:32" hidden="1">
      <c r="B666" s="266"/>
      <c r="C666" s="220"/>
      <c r="D666" s="220"/>
      <c r="E666" s="220"/>
      <c r="F666" s="220"/>
      <c r="G666" s="223"/>
      <c r="H666" s="226"/>
      <c r="I666" s="226"/>
      <c r="J666" s="216"/>
      <c r="K666" s="216"/>
      <c r="L666" s="216"/>
      <c r="M666" s="230"/>
      <c r="N666" s="234"/>
      <c r="O666" s="238"/>
      <c r="P666" s="243"/>
      <c r="Q666" s="244"/>
      <c r="R666" s="301"/>
      <c r="S666" s="250"/>
      <c r="T666" s="301"/>
      <c r="U666" s="250"/>
      <c r="V666" s="301"/>
      <c r="W666" s="250"/>
      <c r="X666" s="254"/>
      <c r="Y666" s="301"/>
      <c r="Z666" s="258"/>
      <c r="AA666" s="250"/>
      <c r="AB666" s="301"/>
      <c r="AC666" s="305"/>
      <c r="AD666" s="262"/>
      <c r="AE666" s="262"/>
      <c r="AF666" s="283"/>
    </row>
    <row r="667" spans="2:32" hidden="1">
      <c r="B667" s="267"/>
      <c r="C667" s="219"/>
      <c r="D667" s="219"/>
      <c r="E667" s="219"/>
      <c r="F667" s="219"/>
      <c r="G667" s="222"/>
      <c r="H667" s="227"/>
      <c r="I667" s="227"/>
      <c r="J667" s="217"/>
      <c r="K667" s="217"/>
      <c r="L667" s="217"/>
      <c r="M667" s="231"/>
      <c r="N667" s="235"/>
      <c r="O667" s="239"/>
      <c r="P667" s="245"/>
      <c r="Q667" s="246"/>
      <c r="R667" s="302"/>
      <c r="S667" s="251"/>
      <c r="T667" s="302"/>
      <c r="U667" s="251"/>
      <c r="V667" s="302"/>
      <c r="W667" s="251"/>
      <c r="X667" s="255"/>
      <c r="Y667" s="302"/>
      <c r="Z667" s="259"/>
      <c r="AA667" s="251"/>
      <c r="AB667" s="302"/>
      <c r="AC667" s="306"/>
      <c r="AD667" s="261"/>
      <c r="AE667" s="261"/>
      <c r="AF667" s="282"/>
    </row>
    <row r="668" spans="2:32" hidden="1">
      <c r="B668" s="266"/>
      <c r="C668" s="220"/>
      <c r="D668" s="220"/>
      <c r="E668" s="220"/>
      <c r="F668" s="220"/>
      <c r="G668" s="223"/>
      <c r="H668" s="226"/>
      <c r="I668" s="226"/>
      <c r="J668" s="216"/>
      <c r="K668" s="216"/>
      <c r="L668" s="216"/>
      <c r="M668" s="230"/>
      <c r="N668" s="234"/>
      <c r="O668" s="238"/>
      <c r="P668" s="243"/>
      <c r="Q668" s="244"/>
      <c r="R668" s="301"/>
      <c r="S668" s="250"/>
      <c r="T668" s="301"/>
      <c r="U668" s="250"/>
      <c r="V668" s="301"/>
      <c r="W668" s="250"/>
      <c r="X668" s="254"/>
      <c r="Y668" s="301"/>
      <c r="Z668" s="258"/>
      <c r="AA668" s="250"/>
      <c r="AB668" s="301"/>
      <c r="AC668" s="305"/>
      <c r="AD668" s="262"/>
      <c r="AE668" s="262"/>
      <c r="AF668" s="283"/>
    </row>
    <row r="669" spans="2:32" hidden="1">
      <c r="B669" s="267"/>
      <c r="C669" s="219"/>
      <c r="D669" s="219"/>
      <c r="E669" s="219"/>
      <c r="F669" s="219"/>
      <c r="G669" s="222"/>
      <c r="H669" s="227"/>
      <c r="I669" s="227"/>
      <c r="J669" s="217"/>
      <c r="K669" s="217"/>
      <c r="L669" s="217"/>
      <c r="M669" s="231"/>
      <c r="N669" s="235"/>
      <c r="O669" s="239"/>
      <c r="P669" s="245"/>
      <c r="Q669" s="246"/>
      <c r="R669" s="302"/>
      <c r="S669" s="251"/>
      <c r="T669" s="302"/>
      <c r="U669" s="251"/>
      <c r="V669" s="302"/>
      <c r="W669" s="251"/>
      <c r="X669" s="255"/>
      <c r="Y669" s="302"/>
      <c r="Z669" s="259"/>
      <c r="AA669" s="251"/>
      <c r="AB669" s="302"/>
      <c r="AC669" s="306"/>
      <c r="AD669" s="261"/>
      <c r="AE669" s="261"/>
      <c r="AF669" s="282"/>
    </row>
    <row r="670" spans="2:32" hidden="1">
      <c r="B670" s="266"/>
      <c r="C670" s="220"/>
      <c r="D670" s="220"/>
      <c r="E670" s="220"/>
      <c r="F670" s="220"/>
      <c r="G670" s="223"/>
      <c r="H670" s="226"/>
      <c r="I670" s="226"/>
      <c r="J670" s="216"/>
      <c r="K670" s="216"/>
      <c r="L670" s="216"/>
      <c r="M670" s="230"/>
      <c r="N670" s="234"/>
      <c r="O670" s="238"/>
      <c r="P670" s="243"/>
      <c r="Q670" s="244"/>
      <c r="R670" s="301"/>
      <c r="S670" s="250"/>
      <c r="T670" s="301"/>
      <c r="U670" s="250"/>
      <c r="V670" s="301"/>
      <c r="W670" s="250"/>
      <c r="X670" s="254"/>
      <c r="Y670" s="301"/>
      <c r="Z670" s="258"/>
      <c r="AA670" s="250"/>
      <c r="AB670" s="301"/>
      <c r="AC670" s="305"/>
      <c r="AD670" s="262"/>
      <c r="AE670" s="262"/>
      <c r="AF670" s="283"/>
    </row>
    <row r="671" spans="2:32" hidden="1">
      <c r="B671" s="267"/>
      <c r="C671" s="219"/>
      <c r="D671" s="219"/>
      <c r="E671" s="219"/>
      <c r="F671" s="219"/>
      <c r="G671" s="222"/>
      <c r="H671" s="227"/>
      <c r="I671" s="227"/>
      <c r="J671" s="217"/>
      <c r="K671" s="217"/>
      <c r="L671" s="217"/>
      <c r="M671" s="231"/>
      <c r="N671" s="235"/>
      <c r="O671" s="239"/>
      <c r="P671" s="245"/>
      <c r="Q671" s="246"/>
      <c r="R671" s="302"/>
      <c r="S671" s="251"/>
      <c r="T671" s="302"/>
      <c r="U671" s="251"/>
      <c r="V671" s="302"/>
      <c r="W671" s="251"/>
      <c r="X671" s="255"/>
      <c r="Y671" s="302"/>
      <c r="Z671" s="259"/>
      <c r="AA671" s="251"/>
      <c r="AB671" s="302"/>
      <c r="AC671" s="306"/>
      <c r="AD671" s="261"/>
      <c r="AE671" s="261"/>
      <c r="AF671" s="282"/>
    </row>
    <row r="672" spans="2:32" hidden="1">
      <c r="B672" s="266"/>
      <c r="C672" s="220"/>
      <c r="D672" s="220"/>
      <c r="E672" s="220"/>
      <c r="F672" s="220"/>
      <c r="G672" s="223"/>
      <c r="H672" s="226"/>
      <c r="I672" s="226"/>
      <c r="J672" s="216"/>
      <c r="K672" s="216"/>
      <c r="L672" s="216"/>
      <c r="M672" s="230"/>
      <c r="N672" s="234"/>
      <c r="O672" s="238"/>
      <c r="P672" s="243"/>
      <c r="Q672" s="244"/>
      <c r="R672" s="301"/>
      <c r="S672" s="250"/>
      <c r="T672" s="301"/>
      <c r="U672" s="250"/>
      <c r="V672" s="301"/>
      <c r="W672" s="250"/>
      <c r="X672" s="254"/>
      <c r="Y672" s="301"/>
      <c r="Z672" s="258"/>
      <c r="AA672" s="250"/>
      <c r="AB672" s="301"/>
      <c r="AC672" s="305"/>
      <c r="AD672" s="262"/>
      <c r="AE672" s="262"/>
      <c r="AF672" s="283"/>
    </row>
    <row r="673" spans="2:32" hidden="1">
      <c r="B673" s="267"/>
      <c r="C673" s="219"/>
      <c r="D673" s="219"/>
      <c r="E673" s="219"/>
      <c r="F673" s="219"/>
      <c r="G673" s="222"/>
      <c r="H673" s="227"/>
      <c r="I673" s="227"/>
      <c r="J673" s="217"/>
      <c r="K673" s="217"/>
      <c r="L673" s="217"/>
      <c r="M673" s="231"/>
      <c r="N673" s="235"/>
      <c r="O673" s="239"/>
      <c r="P673" s="245"/>
      <c r="Q673" s="246"/>
      <c r="R673" s="302"/>
      <c r="S673" s="251"/>
      <c r="T673" s="302"/>
      <c r="U673" s="251"/>
      <c r="V673" s="302"/>
      <c r="W673" s="251"/>
      <c r="X673" s="255"/>
      <c r="Y673" s="302"/>
      <c r="Z673" s="259"/>
      <c r="AA673" s="251"/>
      <c r="AB673" s="302"/>
      <c r="AC673" s="306"/>
      <c r="AD673" s="261"/>
      <c r="AE673" s="261"/>
      <c r="AF673" s="282"/>
    </row>
    <row r="674" spans="2:32" hidden="1">
      <c r="B674" s="266"/>
      <c r="C674" s="220"/>
      <c r="D674" s="220"/>
      <c r="E674" s="220"/>
      <c r="F674" s="220"/>
      <c r="G674" s="223"/>
      <c r="H674" s="226"/>
      <c r="I674" s="226"/>
      <c r="J674" s="216"/>
      <c r="K674" s="216"/>
      <c r="L674" s="216"/>
      <c r="M674" s="230"/>
      <c r="N674" s="234"/>
      <c r="O674" s="238"/>
      <c r="P674" s="243"/>
      <c r="Q674" s="244"/>
      <c r="R674" s="301"/>
      <c r="S674" s="250"/>
      <c r="T674" s="301"/>
      <c r="U674" s="250"/>
      <c r="V674" s="301"/>
      <c r="W674" s="250"/>
      <c r="X674" s="254"/>
      <c r="Y674" s="301"/>
      <c r="Z674" s="258"/>
      <c r="AA674" s="250"/>
      <c r="AB674" s="301"/>
      <c r="AC674" s="305"/>
      <c r="AD674" s="262"/>
      <c r="AE674" s="262"/>
      <c r="AF674" s="283"/>
    </row>
    <row r="675" spans="2:32" hidden="1">
      <c r="B675" s="267"/>
      <c r="C675" s="219"/>
      <c r="D675" s="219"/>
      <c r="E675" s="219"/>
      <c r="F675" s="219"/>
      <c r="G675" s="222"/>
      <c r="H675" s="227"/>
      <c r="I675" s="227"/>
      <c r="J675" s="217"/>
      <c r="K675" s="217"/>
      <c r="L675" s="217"/>
      <c r="M675" s="231"/>
      <c r="N675" s="235"/>
      <c r="O675" s="239"/>
      <c r="P675" s="245"/>
      <c r="Q675" s="246"/>
      <c r="R675" s="302"/>
      <c r="S675" s="251"/>
      <c r="T675" s="302"/>
      <c r="U675" s="251"/>
      <c r="V675" s="302"/>
      <c r="W675" s="251"/>
      <c r="X675" s="255"/>
      <c r="Y675" s="302"/>
      <c r="Z675" s="259"/>
      <c r="AA675" s="251"/>
      <c r="AB675" s="302"/>
      <c r="AC675" s="306"/>
      <c r="AD675" s="261"/>
      <c r="AE675" s="261"/>
      <c r="AF675" s="282"/>
    </row>
    <row r="676" spans="2:32" hidden="1">
      <c r="B676" s="266"/>
      <c r="C676" s="220"/>
      <c r="D676" s="220"/>
      <c r="E676" s="220"/>
      <c r="F676" s="220"/>
      <c r="G676" s="223"/>
      <c r="H676" s="226"/>
      <c r="I676" s="226"/>
      <c r="J676" s="216"/>
      <c r="K676" s="216"/>
      <c r="L676" s="216"/>
      <c r="M676" s="230"/>
      <c r="N676" s="234"/>
      <c r="O676" s="238"/>
      <c r="P676" s="243"/>
      <c r="Q676" s="244"/>
      <c r="R676" s="301"/>
      <c r="S676" s="250"/>
      <c r="T676" s="301"/>
      <c r="U676" s="250"/>
      <c r="V676" s="301"/>
      <c r="W676" s="250"/>
      <c r="X676" s="254"/>
      <c r="Y676" s="301"/>
      <c r="Z676" s="258"/>
      <c r="AA676" s="250"/>
      <c r="AB676" s="301"/>
      <c r="AC676" s="305"/>
      <c r="AD676" s="262"/>
      <c r="AE676" s="262"/>
      <c r="AF676" s="283"/>
    </row>
    <row r="677" spans="2:32" hidden="1">
      <c r="B677" s="267"/>
      <c r="C677" s="219"/>
      <c r="D677" s="219"/>
      <c r="E677" s="219"/>
      <c r="F677" s="219"/>
      <c r="G677" s="222"/>
      <c r="H677" s="227"/>
      <c r="I677" s="227"/>
      <c r="J677" s="217"/>
      <c r="K677" s="217"/>
      <c r="L677" s="217"/>
      <c r="M677" s="231"/>
      <c r="N677" s="235"/>
      <c r="O677" s="239"/>
      <c r="P677" s="245"/>
      <c r="Q677" s="246"/>
      <c r="R677" s="302"/>
      <c r="S677" s="251"/>
      <c r="T677" s="302"/>
      <c r="U677" s="251"/>
      <c r="V677" s="302"/>
      <c r="W677" s="251"/>
      <c r="X677" s="255"/>
      <c r="Y677" s="302"/>
      <c r="Z677" s="259"/>
      <c r="AA677" s="251"/>
      <c r="AB677" s="302"/>
      <c r="AC677" s="306"/>
      <c r="AD677" s="261"/>
      <c r="AE677" s="261"/>
      <c r="AF677" s="282"/>
    </row>
    <row r="678" spans="2:32" hidden="1">
      <c r="B678" s="266"/>
      <c r="C678" s="220"/>
      <c r="D678" s="220"/>
      <c r="E678" s="220"/>
      <c r="F678" s="220"/>
      <c r="G678" s="223"/>
      <c r="H678" s="226"/>
      <c r="I678" s="226"/>
      <c r="J678" s="216"/>
      <c r="K678" s="216"/>
      <c r="L678" s="216"/>
      <c r="M678" s="230"/>
      <c r="N678" s="234"/>
      <c r="O678" s="238"/>
      <c r="P678" s="243"/>
      <c r="Q678" s="244"/>
      <c r="R678" s="301"/>
      <c r="S678" s="250"/>
      <c r="T678" s="301"/>
      <c r="U678" s="250"/>
      <c r="V678" s="301"/>
      <c r="W678" s="250"/>
      <c r="X678" s="254"/>
      <c r="Y678" s="301"/>
      <c r="Z678" s="258"/>
      <c r="AA678" s="250"/>
      <c r="AB678" s="301"/>
      <c r="AC678" s="305"/>
      <c r="AD678" s="262"/>
      <c r="AE678" s="262"/>
      <c r="AF678" s="283"/>
    </row>
    <row r="679" spans="2:32" hidden="1">
      <c r="B679" s="267"/>
      <c r="C679" s="219"/>
      <c r="D679" s="219"/>
      <c r="E679" s="219"/>
      <c r="F679" s="219"/>
      <c r="G679" s="222"/>
      <c r="H679" s="227"/>
      <c r="I679" s="227"/>
      <c r="J679" s="217"/>
      <c r="K679" s="217"/>
      <c r="L679" s="217"/>
      <c r="M679" s="231"/>
      <c r="N679" s="235"/>
      <c r="O679" s="239"/>
      <c r="P679" s="245"/>
      <c r="Q679" s="246"/>
      <c r="R679" s="302"/>
      <c r="S679" s="251"/>
      <c r="T679" s="302"/>
      <c r="U679" s="251"/>
      <c r="V679" s="302"/>
      <c r="W679" s="251"/>
      <c r="X679" s="255"/>
      <c r="Y679" s="302"/>
      <c r="Z679" s="259"/>
      <c r="AA679" s="251"/>
      <c r="AB679" s="302"/>
      <c r="AC679" s="306"/>
      <c r="AD679" s="261"/>
      <c r="AE679" s="261"/>
      <c r="AF679" s="282"/>
    </row>
    <row r="680" spans="2:32" hidden="1">
      <c r="B680" s="266"/>
      <c r="C680" s="220"/>
      <c r="D680" s="220"/>
      <c r="E680" s="220"/>
      <c r="F680" s="220"/>
      <c r="G680" s="223"/>
      <c r="H680" s="226"/>
      <c r="I680" s="226"/>
      <c r="J680" s="216"/>
      <c r="K680" s="216"/>
      <c r="L680" s="216"/>
      <c r="M680" s="230"/>
      <c r="N680" s="234"/>
      <c r="O680" s="238"/>
      <c r="P680" s="243"/>
      <c r="Q680" s="244"/>
      <c r="R680" s="301"/>
      <c r="S680" s="250"/>
      <c r="T680" s="301"/>
      <c r="U680" s="250"/>
      <c r="V680" s="301"/>
      <c r="W680" s="250"/>
      <c r="X680" s="254"/>
      <c r="Y680" s="301"/>
      <c r="Z680" s="258"/>
      <c r="AA680" s="250"/>
      <c r="AB680" s="301"/>
      <c r="AC680" s="305"/>
      <c r="AD680" s="262"/>
      <c r="AE680" s="262"/>
      <c r="AF680" s="283"/>
    </row>
    <row r="681" spans="2:32" hidden="1">
      <c r="B681" s="267"/>
      <c r="C681" s="219"/>
      <c r="D681" s="219"/>
      <c r="E681" s="219"/>
      <c r="F681" s="219"/>
      <c r="G681" s="222"/>
      <c r="H681" s="227"/>
      <c r="I681" s="227"/>
      <c r="J681" s="217"/>
      <c r="K681" s="217"/>
      <c r="L681" s="217"/>
      <c r="M681" s="231"/>
      <c r="N681" s="235"/>
      <c r="O681" s="239"/>
      <c r="P681" s="245"/>
      <c r="Q681" s="246"/>
      <c r="R681" s="302"/>
      <c r="S681" s="251"/>
      <c r="T681" s="302"/>
      <c r="U681" s="251"/>
      <c r="V681" s="302"/>
      <c r="W681" s="251"/>
      <c r="X681" s="255"/>
      <c r="Y681" s="302"/>
      <c r="Z681" s="259"/>
      <c r="AA681" s="251"/>
      <c r="AB681" s="302"/>
      <c r="AC681" s="306"/>
      <c r="AD681" s="261"/>
      <c r="AE681" s="261"/>
      <c r="AF681" s="282"/>
    </row>
    <row r="682" spans="2:32" hidden="1">
      <c r="B682" s="266"/>
      <c r="C682" s="220"/>
      <c r="D682" s="220"/>
      <c r="E682" s="220"/>
      <c r="F682" s="220"/>
      <c r="G682" s="223"/>
      <c r="H682" s="226"/>
      <c r="I682" s="226"/>
      <c r="J682" s="216"/>
      <c r="K682" s="216"/>
      <c r="L682" s="216"/>
      <c r="M682" s="230"/>
      <c r="N682" s="234"/>
      <c r="O682" s="238"/>
      <c r="P682" s="243"/>
      <c r="Q682" s="244"/>
      <c r="R682" s="301"/>
      <c r="S682" s="250"/>
      <c r="T682" s="301"/>
      <c r="U682" s="250"/>
      <c r="V682" s="301"/>
      <c r="W682" s="250"/>
      <c r="X682" s="254"/>
      <c r="Y682" s="301"/>
      <c r="Z682" s="258"/>
      <c r="AA682" s="250"/>
      <c r="AB682" s="301"/>
      <c r="AC682" s="305"/>
      <c r="AD682" s="262"/>
      <c r="AE682" s="262"/>
      <c r="AF682" s="283"/>
    </row>
    <row r="683" spans="2:32" hidden="1">
      <c r="B683" s="267"/>
      <c r="C683" s="219"/>
      <c r="D683" s="219"/>
      <c r="E683" s="219"/>
      <c r="F683" s="219"/>
      <c r="G683" s="222"/>
      <c r="H683" s="227"/>
      <c r="I683" s="227"/>
      <c r="J683" s="217"/>
      <c r="K683" s="217"/>
      <c r="L683" s="217"/>
      <c r="M683" s="231"/>
      <c r="N683" s="235"/>
      <c r="O683" s="239"/>
      <c r="P683" s="245"/>
      <c r="Q683" s="246"/>
      <c r="R683" s="302"/>
      <c r="S683" s="251"/>
      <c r="T683" s="302"/>
      <c r="U683" s="251"/>
      <c r="V683" s="302"/>
      <c r="W683" s="251"/>
      <c r="X683" s="255"/>
      <c r="Y683" s="302"/>
      <c r="Z683" s="259"/>
      <c r="AA683" s="251"/>
      <c r="AB683" s="302"/>
      <c r="AC683" s="306"/>
      <c r="AD683" s="261"/>
      <c r="AE683" s="261"/>
      <c r="AF683" s="282"/>
    </row>
    <row r="684" spans="2:32" hidden="1">
      <c r="B684" s="266"/>
      <c r="C684" s="220"/>
      <c r="D684" s="220"/>
      <c r="E684" s="220"/>
      <c r="F684" s="220"/>
      <c r="G684" s="223"/>
      <c r="H684" s="226"/>
      <c r="I684" s="226"/>
      <c r="J684" s="216"/>
      <c r="K684" s="216"/>
      <c r="L684" s="216"/>
      <c r="M684" s="230"/>
      <c r="N684" s="234"/>
      <c r="O684" s="238"/>
      <c r="P684" s="243"/>
      <c r="Q684" s="244"/>
      <c r="R684" s="301"/>
      <c r="S684" s="250"/>
      <c r="T684" s="301"/>
      <c r="U684" s="250"/>
      <c r="V684" s="301"/>
      <c r="W684" s="250"/>
      <c r="X684" s="254"/>
      <c r="Y684" s="301"/>
      <c r="Z684" s="258"/>
      <c r="AA684" s="250"/>
      <c r="AB684" s="301"/>
      <c r="AC684" s="305"/>
      <c r="AD684" s="262"/>
      <c r="AE684" s="262"/>
      <c r="AF684" s="283"/>
    </row>
    <row r="685" spans="2:32" hidden="1">
      <c r="B685" s="267"/>
      <c r="C685" s="219"/>
      <c r="D685" s="219"/>
      <c r="E685" s="219"/>
      <c r="F685" s="219"/>
      <c r="G685" s="222"/>
      <c r="H685" s="227"/>
      <c r="I685" s="227"/>
      <c r="J685" s="217"/>
      <c r="K685" s="217"/>
      <c r="L685" s="217"/>
      <c r="M685" s="231"/>
      <c r="N685" s="235"/>
      <c r="O685" s="239"/>
      <c r="P685" s="245"/>
      <c r="Q685" s="246"/>
      <c r="R685" s="302"/>
      <c r="S685" s="251"/>
      <c r="T685" s="302"/>
      <c r="U685" s="251"/>
      <c r="V685" s="302"/>
      <c r="W685" s="251"/>
      <c r="X685" s="255"/>
      <c r="Y685" s="302"/>
      <c r="Z685" s="259"/>
      <c r="AA685" s="251"/>
      <c r="AB685" s="302"/>
      <c r="AC685" s="306"/>
      <c r="AD685" s="261"/>
      <c r="AE685" s="261"/>
      <c r="AF685" s="282"/>
    </row>
    <row r="686" spans="2:32" hidden="1">
      <c r="B686" s="266"/>
      <c r="C686" s="220"/>
      <c r="D686" s="220"/>
      <c r="E686" s="220"/>
      <c r="F686" s="220"/>
      <c r="G686" s="223"/>
      <c r="H686" s="226"/>
      <c r="I686" s="226"/>
      <c r="J686" s="216"/>
      <c r="K686" s="216"/>
      <c r="L686" s="216"/>
      <c r="M686" s="230"/>
      <c r="N686" s="234"/>
      <c r="O686" s="238"/>
      <c r="P686" s="243"/>
      <c r="Q686" s="244"/>
      <c r="R686" s="301"/>
      <c r="S686" s="250"/>
      <c r="T686" s="301"/>
      <c r="U686" s="250"/>
      <c r="V686" s="301"/>
      <c r="W686" s="250"/>
      <c r="X686" s="254"/>
      <c r="Y686" s="301"/>
      <c r="Z686" s="258"/>
      <c r="AA686" s="250"/>
      <c r="AB686" s="301"/>
      <c r="AC686" s="305"/>
      <c r="AD686" s="262"/>
      <c r="AE686" s="262"/>
      <c r="AF686" s="283"/>
    </row>
    <row r="687" spans="2:32" hidden="1">
      <c r="B687" s="267"/>
      <c r="C687" s="219"/>
      <c r="D687" s="219"/>
      <c r="E687" s="219"/>
      <c r="F687" s="219"/>
      <c r="G687" s="222"/>
      <c r="H687" s="227"/>
      <c r="I687" s="227"/>
      <c r="J687" s="217"/>
      <c r="K687" s="217"/>
      <c r="L687" s="217"/>
      <c r="M687" s="231"/>
      <c r="N687" s="235"/>
      <c r="O687" s="239"/>
      <c r="P687" s="245"/>
      <c r="Q687" s="246"/>
      <c r="R687" s="302"/>
      <c r="S687" s="251"/>
      <c r="T687" s="302"/>
      <c r="U687" s="251"/>
      <c r="V687" s="302"/>
      <c r="W687" s="251"/>
      <c r="X687" s="255"/>
      <c r="Y687" s="302"/>
      <c r="Z687" s="259"/>
      <c r="AA687" s="251"/>
      <c r="AB687" s="302"/>
      <c r="AC687" s="306"/>
      <c r="AD687" s="261"/>
      <c r="AE687" s="261"/>
      <c r="AF687" s="282"/>
    </row>
    <row r="688" spans="2:32" hidden="1">
      <c r="B688" s="266"/>
      <c r="C688" s="220"/>
      <c r="D688" s="220"/>
      <c r="E688" s="220"/>
      <c r="F688" s="220"/>
      <c r="G688" s="223"/>
      <c r="H688" s="226"/>
      <c r="I688" s="226"/>
      <c r="J688" s="216"/>
      <c r="K688" s="216"/>
      <c r="L688" s="216"/>
      <c r="M688" s="230"/>
      <c r="N688" s="234"/>
      <c r="O688" s="238"/>
      <c r="P688" s="243"/>
      <c r="Q688" s="244"/>
      <c r="R688" s="301"/>
      <c r="S688" s="250"/>
      <c r="T688" s="301"/>
      <c r="U688" s="250"/>
      <c r="V688" s="301"/>
      <c r="W688" s="250"/>
      <c r="X688" s="254"/>
      <c r="Y688" s="301"/>
      <c r="Z688" s="258"/>
      <c r="AA688" s="250"/>
      <c r="AB688" s="301"/>
      <c r="AC688" s="305"/>
      <c r="AD688" s="262"/>
      <c r="AE688" s="262"/>
      <c r="AF688" s="283"/>
    </row>
    <row r="689" spans="2:32" hidden="1">
      <c r="B689" s="267"/>
      <c r="C689" s="219"/>
      <c r="D689" s="219"/>
      <c r="E689" s="219"/>
      <c r="F689" s="219"/>
      <c r="G689" s="222"/>
      <c r="H689" s="227"/>
      <c r="I689" s="227"/>
      <c r="J689" s="217"/>
      <c r="K689" s="217"/>
      <c r="L689" s="217"/>
      <c r="M689" s="231"/>
      <c r="N689" s="235"/>
      <c r="O689" s="239"/>
      <c r="P689" s="245"/>
      <c r="Q689" s="246"/>
      <c r="R689" s="302"/>
      <c r="S689" s="251"/>
      <c r="T689" s="302"/>
      <c r="U689" s="251"/>
      <c r="V689" s="302"/>
      <c r="W689" s="251"/>
      <c r="X689" s="255"/>
      <c r="Y689" s="302"/>
      <c r="Z689" s="259"/>
      <c r="AA689" s="251"/>
      <c r="AB689" s="302"/>
      <c r="AC689" s="306"/>
      <c r="AD689" s="261"/>
      <c r="AE689" s="261"/>
      <c r="AF689" s="282"/>
    </row>
    <row r="690" spans="2:32" hidden="1">
      <c r="B690" s="266"/>
      <c r="C690" s="220"/>
      <c r="D690" s="220"/>
      <c r="E690" s="220"/>
      <c r="F690" s="220"/>
      <c r="G690" s="223"/>
      <c r="H690" s="226"/>
      <c r="I690" s="226"/>
      <c r="J690" s="216"/>
      <c r="K690" s="216"/>
      <c r="L690" s="216"/>
      <c r="M690" s="230"/>
      <c r="N690" s="234"/>
      <c r="O690" s="238"/>
      <c r="P690" s="243"/>
      <c r="Q690" s="244"/>
      <c r="R690" s="301"/>
      <c r="S690" s="250"/>
      <c r="T690" s="301"/>
      <c r="U690" s="250"/>
      <c r="V690" s="301"/>
      <c r="W690" s="250"/>
      <c r="X690" s="254"/>
      <c r="Y690" s="301"/>
      <c r="Z690" s="258"/>
      <c r="AA690" s="250"/>
      <c r="AB690" s="301"/>
      <c r="AC690" s="305"/>
      <c r="AD690" s="262"/>
      <c r="AE690" s="262"/>
      <c r="AF690" s="283"/>
    </row>
    <row r="691" spans="2:32" hidden="1">
      <c r="B691" s="267"/>
      <c r="C691" s="219"/>
      <c r="D691" s="219"/>
      <c r="E691" s="219"/>
      <c r="F691" s="219"/>
      <c r="G691" s="222"/>
      <c r="H691" s="227"/>
      <c r="I691" s="227"/>
      <c r="J691" s="217"/>
      <c r="K691" s="217"/>
      <c r="L691" s="217"/>
      <c r="M691" s="231"/>
      <c r="N691" s="235"/>
      <c r="O691" s="239"/>
      <c r="P691" s="245"/>
      <c r="Q691" s="246"/>
      <c r="R691" s="302"/>
      <c r="S691" s="251"/>
      <c r="T691" s="302"/>
      <c r="U691" s="251"/>
      <c r="V691" s="302"/>
      <c r="W691" s="251"/>
      <c r="X691" s="255"/>
      <c r="Y691" s="302"/>
      <c r="Z691" s="259"/>
      <c r="AA691" s="251"/>
      <c r="AB691" s="302"/>
      <c r="AC691" s="306"/>
      <c r="AD691" s="261"/>
      <c r="AE691" s="261"/>
      <c r="AF691" s="282"/>
    </row>
    <row r="692" spans="2:32" hidden="1">
      <c r="B692" s="266"/>
      <c r="C692" s="220"/>
      <c r="D692" s="220"/>
      <c r="E692" s="220"/>
      <c r="F692" s="220"/>
      <c r="G692" s="223"/>
      <c r="H692" s="226"/>
      <c r="I692" s="226"/>
      <c r="J692" s="216"/>
      <c r="K692" s="216"/>
      <c r="L692" s="216"/>
      <c r="M692" s="230"/>
      <c r="N692" s="234"/>
      <c r="O692" s="238"/>
      <c r="P692" s="243"/>
      <c r="Q692" s="244"/>
      <c r="R692" s="301"/>
      <c r="S692" s="250"/>
      <c r="T692" s="301"/>
      <c r="U692" s="250"/>
      <c r="V692" s="301"/>
      <c r="W692" s="250"/>
      <c r="X692" s="254"/>
      <c r="Y692" s="301"/>
      <c r="Z692" s="258"/>
      <c r="AA692" s="250"/>
      <c r="AB692" s="301"/>
      <c r="AC692" s="305"/>
      <c r="AD692" s="262"/>
      <c r="AE692" s="262"/>
      <c r="AF692" s="283"/>
    </row>
    <row r="693" spans="2:32" hidden="1">
      <c r="B693" s="267"/>
      <c r="C693" s="219"/>
      <c r="D693" s="219"/>
      <c r="E693" s="219"/>
      <c r="F693" s="219"/>
      <c r="G693" s="222"/>
      <c r="H693" s="227"/>
      <c r="I693" s="227"/>
      <c r="J693" s="217"/>
      <c r="K693" s="217"/>
      <c r="L693" s="217"/>
      <c r="M693" s="231"/>
      <c r="N693" s="235"/>
      <c r="O693" s="239"/>
      <c r="P693" s="245"/>
      <c r="Q693" s="246"/>
      <c r="R693" s="302"/>
      <c r="S693" s="251"/>
      <c r="T693" s="302"/>
      <c r="U693" s="251"/>
      <c r="V693" s="302"/>
      <c r="W693" s="251"/>
      <c r="X693" s="255"/>
      <c r="Y693" s="302"/>
      <c r="Z693" s="259"/>
      <c r="AA693" s="251"/>
      <c r="AB693" s="302"/>
      <c r="AC693" s="306"/>
      <c r="AD693" s="261"/>
      <c r="AE693" s="261"/>
      <c r="AF693" s="282"/>
    </row>
    <row r="694" spans="2:32" hidden="1">
      <c r="B694" s="266"/>
      <c r="C694" s="220"/>
      <c r="D694" s="220"/>
      <c r="E694" s="220"/>
      <c r="F694" s="220"/>
      <c r="G694" s="223"/>
      <c r="H694" s="226"/>
      <c r="I694" s="226"/>
      <c r="J694" s="216"/>
      <c r="K694" s="216"/>
      <c r="L694" s="216"/>
      <c r="M694" s="230"/>
      <c r="N694" s="234"/>
      <c r="O694" s="238"/>
      <c r="P694" s="243"/>
      <c r="Q694" s="244"/>
      <c r="R694" s="301"/>
      <c r="S694" s="250"/>
      <c r="T694" s="301"/>
      <c r="U694" s="250"/>
      <c r="V694" s="301"/>
      <c r="W694" s="250"/>
      <c r="X694" s="254"/>
      <c r="Y694" s="301"/>
      <c r="Z694" s="258"/>
      <c r="AA694" s="250"/>
      <c r="AB694" s="301"/>
      <c r="AC694" s="305"/>
      <c r="AD694" s="262"/>
      <c r="AE694" s="262"/>
      <c r="AF694" s="283"/>
    </row>
    <row r="695" spans="2:32" hidden="1">
      <c r="B695" s="267"/>
      <c r="C695" s="219"/>
      <c r="D695" s="219"/>
      <c r="E695" s="219"/>
      <c r="F695" s="219"/>
      <c r="G695" s="222"/>
      <c r="H695" s="227"/>
      <c r="I695" s="227"/>
      <c r="J695" s="217"/>
      <c r="K695" s="217"/>
      <c r="L695" s="217"/>
      <c r="M695" s="231"/>
      <c r="N695" s="235"/>
      <c r="O695" s="239"/>
      <c r="P695" s="245"/>
      <c r="Q695" s="246"/>
      <c r="R695" s="302"/>
      <c r="S695" s="251"/>
      <c r="T695" s="302"/>
      <c r="U695" s="251"/>
      <c r="V695" s="302"/>
      <c r="W695" s="251"/>
      <c r="X695" s="255"/>
      <c r="Y695" s="302"/>
      <c r="Z695" s="259"/>
      <c r="AA695" s="251"/>
      <c r="AB695" s="302"/>
      <c r="AC695" s="306"/>
      <c r="AD695" s="261"/>
      <c r="AE695" s="261"/>
      <c r="AF695" s="282"/>
    </row>
    <row r="696" spans="2:32" hidden="1">
      <c r="B696" s="266"/>
      <c r="C696" s="220"/>
      <c r="D696" s="220"/>
      <c r="E696" s="220"/>
      <c r="F696" s="220"/>
      <c r="G696" s="223"/>
      <c r="H696" s="226"/>
      <c r="I696" s="226"/>
      <c r="J696" s="216"/>
      <c r="K696" s="216"/>
      <c r="L696" s="216"/>
      <c r="M696" s="230"/>
      <c r="N696" s="234"/>
      <c r="O696" s="238"/>
      <c r="P696" s="243"/>
      <c r="Q696" s="244"/>
      <c r="R696" s="301"/>
      <c r="S696" s="250"/>
      <c r="T696" s="301"/>
      <c r="U696" s="250"/>
      <c r="V696" s="301"/>
      <c r="W696" s="250"/>
      <c r="X696" s="254"/>
      <c r="Y696" s="301"/>
      <c r="Z696" s="258"/>
      <c r="AA696" s="250"/>
      <c r="AB696" s="301"/>
      <c r="AC696" s="305"/>
      <c r="AD696" s="262"/>
      <c r="AE696" s="262"/>
      <c r="AF696" s="283"/>
    </row>
    <row r="697" spans="2:32" hidden="1">
      <c r="B697" s="267"/>
      <c r="C697" s="219"/>
      <c r="D697" s="219"/>
      <c r="E697" s="219"/>
      <c r="F697" s="219"/>
      <c r="G697" s="222"/>
      <c r="H697" s="227"/>
      <c r="I697" s="227"/>
      <c r="J697" s="217"/>
      <c r="K697" s="217"/>
      <c r="L697" s="217"/>
      <c r="M697" s="231"/>
      <c r="N697" s="235"/>
      <c r="O697" s="239"/>
      <c r="P697" s="245"/>
      <c r="Q697" s="246"/>
      <c r="R697" s="302"/>
      <c r="S697" s="251"/>
      <c r="T697" s="302"/>
      <c r="U697" s="251"/>
      <c r="V697" s="302"/>
      <c r="W697" s="251"/>
      <c r="X697" s="255"/>
      <c r="Y697" s="302"/>
      <c r="Z697" s="259"/>
      <c r="AA697" s="251"/>
      <c r="AB697" s="302"/>
      <c r="AC697" s="306"/>
      <c r="AD697" s="261"/>
      <c r="AE697" s="261"/>
      <c r="AF697" s="282"/>
    </row>
    <row r="698" spans="2:32" hidden="1">
      <c r="B698" s="266"/>
      <c r="C698" s="220"/>
      <c r="D698" s="220"/>
      <c r="E698" s="220"/>
      <c r="F698" s="220"/>
      <c r="G698" s="223"/>
      <c r="H698" s="226"/>
      <c r="I698" s="226"/>
      <c r="J698" s="216"/>
      <c r="K698" s="216"/>
      <c r="L698" s="216"/>
      <c r="M698" s="230"/>
      <c r="N698" s="234"/>
      <c r="O698" s="238"/>
      <c r="P698" s="243"/>
      <c r="Q698" s="244"/>
      <c r="R698" s="301"/>
      <c r="S698" s="250"/>
      <c r="T698" s="301"/>
      <c r="U698" s="250"/>
      <c r="V698" s="301"/>
      <c r="W698" s="250"/>
      <c r="X698" s="254"/>
      <c r="Y698" s="301"/>
      <c r="Z698" s="258"/>
      <c r="AA698" s="250"/>
      <c r="AB698" s="301"/>
      <c r="AC698" s="305"/>
      <c r="AD698" s="262"/>
      <c r="AE698" s="262"/>
      <c r="AF698" s="283"/>
    </row>
    <row r="699" spans="2:32" hidden="1">
      <c r="B699" s="267"/>
      <c r="C699" s="219"/>
      <c r="D699" s="219"/>
      <c r="E699" s="219"/>
      <c r="F699" s="219"/>
      <c r="G699" s="222"/>
      <c r="H699" s="227"/>
      <c r="I699" s="227"/>
      <c r="J699" s="217"/>
      <c r="K699" s="217"/>
      <c r="L699" s="217"/>
      <c r="M699" s="231"/>
      <c r="N699" s="235"/>
      <c r="O699" s="239"/>
      <c r="P699" s="245"/>
      <c r="Q699" s="246"/>
      <c r="R699" s="302"/>
      <c r="S699" s="251"/>
      <c r="T699" s="302"/>
      <c r="U699" s="251"/>
      <c r="V699" s="302"/>
      <c r="W699" s="251"/>
      <c r="X699" s="255"/>
      <c r="Y699" s="302"/>
      <c r="Z699" s="259"/>
      <c r="AA699" s="251"/>
      <c r="AB699" s="302"/>
      <c r="AC699" s="306"/>
      <c r="AD699" s="261"/>
      <c r="AE699" s="261"/>
      <c r="AF699" s="282"/>
    </row>
    <row r="700" spans="2:32" hidden="1">
      <c r="B700" s="266"/>
      <c r="C700" s="220"/>
      <c r="D700" s="220"/>
      <c r="E700" s="220"/>
      <c r="F700" s="220"/>
      <c r="G700" s="223"/>
      <c r="H700" s="226"/>
      <c r="I700" s="226"/>
      <c r="J700" s="216"/>
      <c r="K700" s="216"/>
      <c r="L700" s="216"/>
      <c r="M700" s="230"/>
      <c r="N700" s="234"/>
      <c r="O700" s="238"/>
      <c r="P700" s="243"/>
      <c r="Q700" s="244"/>
      <c r="R700" s="301"/>
      <c r="S700" s="250"/>
      <c r="T700" s="301"/>
      <c r="U700" s="250"/>
      <c r="V700" s="301"/>
      <c r="W700" s="250"/>
      <c r="X700" s="254"/>
      <c r="Y700" s="301"/>
      <c r="Z700" s="258"/>
      <c r="AA700" s="250"/>
      <c r="AB700" s="301"/>
      <c r="AC700" s="305"/>
      <c r="AD700" s="262"/>
      <c r="AE700" s="262"/>
      <c r="AF700" s="283"/>
    </row>
    <row r="701" spans="2:32" hidden="1">
      <c r="B701" s="267"/>
      <c r="C701" s="219"/>
      <c r="D701" s="219"/>
      <c r="E701" s="219"/>
      <c r="F701" s="219"/>
      <c r="G701" s="222"/>
      <c r="H701" s="227"/>
      <c r="I701" s="227"/>
      <c r="J701" s="217"/>
      <c r="K701" s="217"/>
      <c r="L701" s="217"/>
      <c r="M701" s="231"/>
      <c r="N701" s="235"/>
      <c r="O701" s="239"/>
      <c r="P701" s="245"/>
      <c r="Q701" s="246"/>
      <c r="R701" s="302"/>
      <c r="S701" s="251"/>
      <c r="T701" s="302"/>
      <c r="U701" s="251"/>
      <c r="V701" s="302"/>
      <c r="W701" s="251"/>
      <c r="X701" s="255"/>
      <c r="Y701" s="302"/>
      <c r="Z701" s="259"/>
      <c r="AA701" s="251"/>
      <c r="AB701" s="302"/>
      <c r="AC701" s="306"/>
      <c r="AD701" s="261"/>
      <c r="AE701" s="261"/>
      <c r="AF701" s="282"/>
    </row>
    <row r="702" spans="2:32" hidden="1">
      <c r="B702" s="266"/>
      <c r="C702" s="220"/>
      <c r="D702" s="220"/>
      <c r="E702" s="220"/>
      <c r="F702" s="220"/>
      <c r="G702" s="223"/>
      <c r="H702" s="226"/>
      <c r="I702" s="226"/>
      <c r="J702" s="216"/>
      <c r="K702" s="216"/>
      <c r="L702" s="216"/>
      <c r="M702" s="230"/>
      <c r="N702" s="234"/>
      <c r="O702" s="238"/>
      <c r="P702" s="243"/>
      <c r="Q702" s="244"/>
      <c r="R702" s="301"/>
      <c r="S702" s="250"/>
      <c r="T702" s="301"/>
      <c r="U702" s="250"/>
      <c r="V702" s="301"/>
      <c r="W702" s="250"/>
      <c r="X702" s="254"/>
      <c r="Y702" s="301"/>
      <c r="Z702" s="258"/>
      <c r="AA702" s="250"/>
      <c r="AB702" s="301"/>
      <c r="AC702" s="305"/>
      <c r="AD702" s="262"/>
      <c r="AE702" s="262"/>
      <c r="AF702" s="283"/>
    </row>
    <row r="703" spans="2:32" hidden="1">
      <c r="B703" s="267"/>
      <c r="C703" s="219"/>
      <c r="D703" s="219"/>
      <c r="E703" s="219"/>
      <c r="F703" s="219"/>
      <c r="G703" s="222"/>
      <c r="H703" s="227"/>
      <c r="I703" s="227"/>
      <c r="J703" s="217"/>
      <c r="K703" s="217"/>
      <c r="L703" s="217"/>
      <c r="M703" s="231"/>
      <c r="N703" s="235"/>
      <c r="O703" s="239"/>
      <c r="P703" s="245"/>
      <c r="Q703" s="246"/>
      <c r="R703" s="302"/>
      <c r="S703" s="251"/>
      <c r="T703" s="302"/>
      <c r="U703" s="251"/>
      <c r="V703" s="302"/>
      <c r="W703" s="251"/>
      <c r="X703" s="255"/>
      <c r="Y703" s="302"/>
      <c r="Z703" s="259"/>
      <c r="AA703" s="251"/>
      <c r="AB703" s="302"/>
      <c r="AC703" s="306"/>
      <c r="AD703" s="261"/>
      <c r="AE703" s="261"/>
      <c r="AF703" s="282"/>
    </row>
    <row r="704" spans="2:32" hidden="1">
      <c r="B704" s="266"/>
      <c r="C704" s="220"/>
      <c r="D704" s="220"/>
      <c r="E704" s="220"/>
      <c r="F704" s="220"/>
      <c r="G704" s="223"/>
      <c r="H704" s="226"/>
      <c r="I704" s="226"/>
      <c r="J704" s="216"/>
      <c r="K704" s="216"/>
      <c r="L704" s="216"/>
      <c r="M704" s="230"/>
      <c r="N704" s="234"/>
      <c r="O704" s="238"/>
      <c r="P704" s="243"/>
      <c r="Q704" s="244"/>
      <c r="R704" s="301"/>
      <c r="S704" s="250"/>
      <c r="T704" s="301"/>
      <c r="U704" s="250"/>
      <c r="V704" s="301"/>
      <c r="W704" s="250"/>
      <c r="X704" s="254"/>
      <c r="Y704" s="301"/>
      <c r="Z704" s="258"/>
      <c r="AA704" s="250"/>
      <c r="AB704" s="301"/>
      <c r="AC704" s="305"/>
      <c r="AD704" s="262"/>
      <c r="AE704" s="262"/>
      <c r="AF704" s="283"/>
    </row>
    <row r="705" spans="2:32" hidden="1">
      <c r="B705" s="267"/>
      <c r="C705" s="219"/>
      <c r="D705" s="219"/>
      <c r="E705" s="219"/>
      <c r="F705" s="219"/>
      <c r="G705" s="222"/>
      <c r="H705" s="227"/>
      <c r="I705" s="227"/>
      <c r="J705" s="217"/>
      <c r="K705" s="217"/>
      <c r="L705" s="217"/>
      <c r="M705" s="231"/>
      <c r="N705" s="235"/>
      <c r="O705" s="239"/>
      <c r="P705" s="245"/>
      <c r="Q705" s="246"/>
      <c r="R705" s="302"/>
      <c r="S705" s="251"/>
      <c r="T705" s="302"/>
      <c r="U705" s="251"/>
      <c r="V705" s="302"/>
      <c r="W705" s="251"/>
      <c r="X705" s="255"/>
      <c r="Y705" s="302"/>
      <c r="Z705" s="259"/>
      <c r="AA705" s="251"/>
      <c r="AB705" s="302"/>
      <c r="AC705" s="306"/>
      <c r="AD705" s="261"/>
      <c r="AE705" s="261"/>
      <c r="AF705" s="282"/>
    </row>
    <row r="706" spans="2:32" hidden="1">
      <c r="B706" s="266"/>
      <c r="C706" s="220"/>
      <c r="D706" s="220"/>
      <c r="E706" s="220"/>
      <c r="F706" s="220"/>
      <c r="G706" s="223"/>
      <c r="H706" s="226"/>
      <c r="I706" s="226"/>
      <c r="J706" s="216"/>
      <c r="K706" s="216"/>
      <c r="L706" s="216"/>
      <c r="M706" s="230"/>
      <c r="N706" s="234"/>
      <c r="O706" s="238"/>
      <c r="P706" s="243"/>
      <c r="Q706" s="244"/>
      <c r="R706" s="301"/>
      <c r="S706" s="250"/>
      <c r="T706" s="301"/>
      <c r="U706" s="250"/>
      <c r="V706" s="301"/>
      <c r="W706" s="250"/>
      <c r="X706" s="254"/>
      <c r="Y706" s="301"/>
      <c r="Z706" s="258"/>
      <c r="AA706" s="250"/>
      <c r="AB706" s="301"/>
      <c r="AC706" s="305"/>
      <c r="AD706" s="262"/>
      <c r="AE706" s="262"/>
      <c r="AF706" s="283"/>
    </row>
    <row r="707" spans="2:32" hidden="1">
      <c r="B707" s="267"/>
      <c r="C707" s="219"/>
      <c r="D707" s="219"/>
      <c r="E707" s="219"/>
      <c r="F707" s="219"/>
      <c r="G707" s="222"/>
      <c r="H707" s="227"/>
      <c r="I707" s="227"/>
      <c r="J707" s="217"/>
      <c r="K707" s="217"/>
      <c r="L707" s="217"/>
      <c r="M707" s="231"/>
      <c r="N707" s="235"/>
      <c r="O707" s="239"/>
      <c r="P707" s="245"/>
      <c r="Q707" s="246"/>
      <c r="R707" s="302"/>
      <c r="S707" s="251"/>
      <c r="T707" s="302"/>
      <c r="U707" s="251"/>
      <c r="V707" s="302"/>
      <c r="W707" s="251"/>
      <c r="X707" s="255"/>
      <c r="Y707" s="302"/>
      <c r="Z707" s="259"/>
      <c r="AA707" s="251"/>
      <c r="AB707" s="302"/>
      <c r="AC707" s="306"/>
      <c r="AD707" s="261"/>
      <c r="AE707" s="261"/>
      <c r="AF707" s="282"/>
    </row>
    <row r="708" spans="2:32" hidden="1">
      <c r="B708" s="266"/>
      <c r="C708" s="220"/>
      <c r="D708" s="220"/>
      <c r="E708" s="220"/>
      <c r="F708" s="220"/>
      <c r="G708" s="223"/>
      <c r="H708" s="226"/>
      <c r="I708" s="226"/>
      <c r="J708" s="216"/>
      <c r="K708" s="216"/>
      <c r="L708" s="216"/>
      <c r="M708" s="230"/>
      <c r="N708" s="234"/>
      <c r="O708" s="238"/>
      <c r="P708" s="243"/>
      <c r="Q708" s="244"/>
      <c r="R708" s="301"/>
      <c r="S708" s="250"/>
      <c r="T708" s="301"/>
      <c r="U708" s="250"/>
      <c r="V708" s="301"/>
      <c r="W708" s="250"/>
      <c r="X708" s="254"/>
      <c r="Y708" s="301"/>
      <c r="Z708" s="258"/>
      <c r="AA708" s="250"/>
      <c r="AB708" s="301"/>
      <c r="AC708" s="305"/>
      <c r="AD708" s="262"/>
      <c r="AE708" s="262"/>
      <c r="AF708" s="283"/>
    </row>
    <row r="709" spans="2:32" hidden="1">
      <c r="B709" s="267"/>
      <c r="C709" s="219"/>
      <c r="D709" s="219"/>
      <c r="E709" s="219"/>
      <c r="F709" s="219"/>
      <c r="G709" s="222"/>
      <c r="H709" s="227"/>
      <c r="I709" s="227"/>
      <c r="J709" s="217"/>
      <c r="K709" s="217"/>
      <c r="L709" s="217"/>
      <c r="M709" s="231"/>
      <c r="N709" s="235"/>
      <c r="O709" s="239"/>
      <c r="P709" s="245"/>
      <c r="Q709" s="246"/>
      <c r="R709" s="302"/>
      <c r="S709" s="251"/>
      <c r="T709" s="302"/>
      <c r="U709" s="251"/>
      <c r="V709" s="302"/>
      <c r="W709" s="251"/>
      <c r="X709" s="255"/>
      <c r="Y709" s="302"/>
      <c r="Z709" s="259"/>
      <c r="AA709" s="251"/>
      <c r="AB709" s="302"/>
      <c r="AC709" s="306"/>
      <c r="AD709" s="261"/>
      <c r="AE709" s="261"/>
      <c r="AF709" s="282"/>
    </row>
    <row r="710" spans="2:32" hidden="1">
      <c r="B710" s="266"/>
      <c r="C710" s="220"/>
      <c r="D710" s="220"/>
      <c r="E710" s="220"/>
      <c r="F710" s="220"/>
      <c r="G710" s="223"/>
      <c r="H710" s="226"/>
      <c r="I710" s="226"/>
      <c r="J710" s="216"/>
      <c r="K710" s="216"/>
      <c r="L710" s="216"/>
      <c r="M710" s="230"/>
      <c r="N710" s="234"/>
      <c r="O710" s="238"/>
      <c r="P710" s="243"/>
      <c r="Q710" s="244"/>
      <c r="R710" s="301"/>
      <c r="S710" s="250"/>
      <c r="T710" s="301"/>
      <c r="U710" s="250"/>
      <c r="V710" s="301"/>
      <c r="W710" s="250"/>
      <c r="X710" s="254"/>
      <c r="Y710" s="301"/>
      <c r="Z710" s="258"/>
      <c r="AA710" s="250"/>
      <c r="AB710" s="301"/>
      <c r="AC710" s="305"/>
      <c r="AD710" s="262"/>
      <c r="AE710" s="262"/>
      <c r="AF710" s="283"/>
    </row>
    <row r="711" spans="2:32" hidden="1">
      <c r="B711" s="267"/>
      <c r="C711" s="219"/>
      <c r="D711" s="219"/>
      <c r="E711" s="219"/>
      <c r="F711" s="219"/>
      <c r="G711" s="222"/>
      <c r="H711" s="227"/>
      <c r="I711" s="227"/>
      <c r="J711" s="217"/>
      <c r="K711" s="217"/>
      <c r="L711" s="217"/>
      <c r="M711" s="231"/>
      <c r="N711" s="235"/>
      <c r="O711" s="239"/>
      <c r="P711" s="245"/>
      <c r="Q711" s="246"/>
      <c r="R711" s="302"/>
      <c r="S711" s="251"/>
      <c r="T711" s="302"/>
      <c r="U711" s="251"/>
      <c r="V711" s="302"/>
      <c r="W711" s="251"/>
      <c r="X711" s="255"/>
      <c r="Y711" s="302"/>
      <c r="Z711" s="259"/>
      <c r="AA711" s="251"/>
      <c r="AB711" s="302"/>
      <c r="AC711" s="306"/>
      <c r="AD711" s="261"/>
      <c r="AE711" s="261"/>
      <c r="AF711" s="282"/>
    </row>
    <row r="712" spans="2:32" hidden="1">
      <c r="B712" s="266"/>
      <c r="C712" s="220"/>
      <c r="D712" s="220"/>
      <c r="E712" s="220"/>
      <c r="F712" s="220"/>
      <c r="G712" s="223"/>
      <c r="H712" s="226"/>
      <c r="I712" s="226"/>
      <c r="J712" s="216"/>
      <c r="K712" s="216"/>
      <c r="L712" s="216"/>
      <c r="M712" s="230"/>
      <c r="N712" s="234"/>
      <c r="O712" s="238"/>
      <c r="P712" s="243"/>
      <c r="Q712" s="244"/>
      <c r="R712" s="301"/>
      <c r="S712" s="250"/>
      <c r="T712" s="301"/>
      <c r="U712" s="250"/>
      <c r="V712" s="301"/>
      <c r="W712" s="250"/>
      <c r="X712" s="254"/>
      <c r="Y712" s="301"/>
      <c r="Z712" s="258"/>
      <c r="AA712" s="250"/>
      <c r="AB712" s="301"/>
      <c r="AC712" s="305"/>
      <c r="AD712" s="262"/>
      <c r="AE712" s="262"/>
      <c r="AF712" s="283"/>
    </row>
    <row r="713" spans="2:32" hidden="1">
      <c r="B713" s="267"/>
      <c r="C713" s="219"/>
      <c r="D713" s="219"/>
      <c r="E713" s="219"/>
      <c r="F713" s="219"/>
      <c r="G713" s="222"/>
      <c r="H713" s="227"/>
      <c r="I713" s="227"/>
      <c r="J713" s="217"/>
      <c r="K713" s="217"/>
      <c r="L713" s="217"/>
      <c r="M713" s="231"/>
      <c r="N713" s="235"/>
      <c r="O713" s="239"/>
      <c r="P713" s="245"/>
      <c r="Q713" s="246"/>
      <c r="R713" s="302"/>
      <c r="S713" s="251"/>
      <c r="T713" s="302"/>
      <c r="U713" s="251"/>
      <c r="V713" s="302"/>
      <c r="W713" s="251"/>
      <c r="X713" s="255"/>
      <c r="Y713" s="302"/>
      <c r="Z713" s="259"/>
      <c r="AA713" s="251"/>
      <c r="AB713" s="302"/>
      <c r="AC713" s="306"/>
      <c r="AD713" s="261"/>
      <c r="AE713" s="261"/>
      <c r="AF713" s="282"/>
    </row>
    <row r="714" spans="2:32" hidden="1">
      <c r="B714" s="266"/>
      <c r="C714" s="220"/>
      <c r="D714" s="220"/>
      <c r="E714" s="220"/>
      <c r="F714" s="220"/>
      <c r="G714" s="223"/>
      <c r="H714" s="226"/>
      <c r="I714" s="226"/>
      <c r="J714" s="216"/>
      <c r="K714" s="216"/>
      <c r="L714" s="216"/>
      <c r="M714" s="230"/>
      <c r="N714" s="234"/>
      <c r="O714" s="238"/>
      <c r="P714" s="243"/>
      <c r="Q714" s="244"/>
      <c r="R714" s="301"/>
      <c r="S714" s="250"/>
      <c r="T714" s="301"/>
      <c r="U714" s="250"/>
      <c r="V714" s="301"/>
      <c r="W714" s="250"/>
      <c r="X714" s="254"/>
      <c r="Y714" s="301"/>
      <c r="Z714" s="258"/>
      <c r="AA714" s="250"/>
      <c r="AB714" s="301"/>
      <c r="AC714" s="305"/>
      <c r="AD714" s="262"/>
      <c r="AE714" s="262"/>
      <c r="AF714" s="283"/>
    </row>
    <row r="715" spans="2:32" hidden="1">
      <c r="B715" s="267"/>
      <c r="C715" s="219"/>
      <c r="D715" s="219"/>
      <c r="E715" s="219"/>
      <c r="F715" s="219"/>
      <c r="G715" s="222"/>
      <c r="H715" s="227"/>
      <c r="I715" s="227"/>
      <c r="J715" s="217"/>
      <c r="K715" s="217"/>
      <c r="L715" s="217"/>
      <c r="M715" s="231"/>
      <c r="N715" s="235"/>
      <c r="O715" s="239"/>
      <c r="P715" s="245"/>
      <c r="Q715" s="246"/>
      <c r="R715" s="302"/>
      <c r="S715" s="251"/>
      <c r="T715" s="302"/>
      <c r="U715" s="251"/>
      <c r="V715" s="302"/>
      <c r="W715" s="251"/>
      <c r="X715" s="255"/>
      <c r="Y715" s="302"/>
      <c r="Z715" s="259"/>
      <c r="AA715" s="251"/>
      <c r="AB715" s="302"/>
      <c r="AC715" s="306"/>
      <c r="AD715" s="261"/>
      <c r="AE715" s="261"/>
      <c r="AF715" s="282"/>
    </row>
    <row r="716" spans="2:32" hidden="1">
      <c r="B716" s="266"/>
      <c r="C716" s="220"/>
      <c r="D716" s="220"/>
      <c r="E716" s="220"/>
      <c r="F716" s="220"/>
      <c r="G716" s="223"/>
      <c r="H716" s="226"/>
      <c r="I716" s="226"/>
      <c r="J716" s="216"/>
      <c r="K716" s="216"/>
      <c r="L716" s="216"/>
      <c r="M716" s="230"/>
      <c r="N716" s="234"/>
      <c r="O716" s="238"/>
      <c r="P716" s="243"/>
      <c r="Q716" s="244"/>
      <c r="R716" s="301"/>
      <c r="S716" s="250"/>
      <c r="T716" s="301"/>
      <c r="U716" s="250"/>
      <c r="V716" s="301"/>
      <c r="W716" s="250"/>
      <c r="X716" s="254"/>
      <c r="Y716" s="301"/>
      <c r="Z716" s="258"/>
      <c r="AA716" s="250"/>
      <c r="AB716" s="301"/>
      <c r="AC716" s="305"/>
      <c r="AD716" s="262"/>
      <c r="AE716" s="262"/>
      <c r="AF716" s="283"/>
    </row>
    <row r="717" spans="2:32" hidden="1">
      <c r="B717" s="267"/>
      <c r="C717" s="219"/>
      <c r="D717" s="219"/>
      <c r="E717" s="219"/>
      <c r="F717" s="219"/>
      <c r="G717" s="222"/>
      <c r="H717" s="227"/>
      <c r="I717" s="227"/>
      <c r="J717" s="217"/>
      <c r="K717" s="217"/>
      <c r="L717" s="217"/>
      <c r="M717" s="231"/>
      <c r="N717" s="235"/>
      <c r="O717" s="239"/>
      <c r="P717" s="245"/>
      <c r="Q717" s="246"/>
      <c r="R717" s="302"/>
      <c r="S717" s="251"/>
      <c r="T717" s="302"/>
      <c r="U717" s="251"/>
      <c r="V717" s="302"/>
      <c r="W717" s="251"/>
      <c r="X717" s="255"/>
      <c r="Y717" s="302"/>
      <c r="Z717" s="259"/>
      <c r="AA717" s="251"/>
      <c r="AB717" s="302"/>
      <c r="AC717" s="306"/>
      <c r="AD717" s="261"/>
      <c r="AE717" s="261"/>
      <c r="AF717" s="282"/>
    </row>
    <row r="718" spans="2:32" hidden="1">
      <c r="B718" s="266"/>
      <c r="C718" s="220"/>
      <c r="D718" s="220"/>
      <c r="E718" s="220"/>
      <c r="F718" s="220"/>
      <c r="G718" s="223"/>
      <c r="H718" s="226"/>
      <c r="I718" s="226"/>
      <c r="J718" s="216"/>
      <c r="K718" s="216"/>
      <c r="L718" s="216"/>
      <c r="M718" s="230"/>
      <c r="N718" s="234"/>
      <c r="O718" s="238"/>
      <c r="P718" s="243"/>
      <c r="Q718" s="244"/>
      <c r="R718" s="301"/>
      <c r="S718" s="250"/>
      <c r="T718" s="301"/>
      <c r="U718" s="250"/>
      <c r="V718" s="301"/>
      <c r="W718" s="250"/>
      <c r="X718" s="254"/>
      <c r="Y718" s="301"/>
      <c r="Z718" s="258"/>
      <c r="AA718" s="250"/>
      <c r="AB718" s="301"/>
      <c r="AC718" s="305"/>
      <c r="AD718" s="262"/>
      <c r="AE718" s="262"/>
      <c r="AF718" s="283"/>
    </row>
    <row r="719" spans="2:32" hidden="1">
      <c r="B719" s="267"/>
      <c r="C719" s="219"/>
      <c r="D719" s="219"/>
      <c r="E719" s="219"/>
      <c r="F719" s="219"/>
      <c r="G719" s="222"/>
      <c r="H719" s="227"/>
      <c r="I719" s="227"/>
      <c r="J719" s="217"/>
      <c r="K719" s="217"/>
      <c r="L719" s="217"/>
      <c r="M719" s="231"/>
      <c r="N719" s="235"/>
      <c r="O719" s="239"/>
      <c r="P719" s="245"/>
      <c r="Q719" s="246"/>
      <c r="R719" s="302"/>
      <c r="S719" s="251"/>
      <c r="T719" s="302"/>
      <c r="U719" s="251"/>
      <c r="V719" s="302"/>
      <c r="W719" s="251"/>
      <c r="X719" s="255"/>
      <c r="Y719" s="302"/>
      <c r="Z719" s="259"/>
      <c r="AA719" s="251"/>
      <c r="AB719" s="302"/>
      <c r="AC719" s="306"/>
      <c r="AD719" s="261"/>
      <c r="AE719" s="261"/>
      <c r="AF719" s="282"/>
    </row>
    <row r="720" spans="2:32" hidden="1">
      <c r="B720" s="266"/>
      <c r="C720" s="220"/>
      <c r="D720" s="220"/>
      <c r="E720" s="220"/>
      <c r="F720" s="220"/>
      <c r="G720" s="223"/>
      <c r="H720" s="226"/>
      <c r="I720" s="226"/>
      <c r="J720" s="216"/>
      <c r="K720" s="216"/>
      <c r="L720" s="216"/>
      <c r="M720" s="230"/>
      <c r="N720" s="234"/>
      <c r="O720" s="238"/>
      <c r="P720" s="243"/>
      <c r="Q720" s="244"/>
      <c r="R720" s="301"/>
      <c r="S720" s="250"/>
      <c r="T720" s="301"/>
      <c r="U720" s="250"/>
      <c r="V720" s="301"/>
      <c r="W720" s="250"/>
      <c r="X720" s="254"/>
      <c r="Y720" s="301"/>
      <c r="Z720" s="258"/>
      <c r="AA720" s="250"/>
      <c r="AB720" s="301"/>
      <c r="AC720" s="305"/>
      <c r="AD720" s="262"/>
      <c r="AE720" s="262"/>
      <c r="AF720" s="283"/>
    </row>
    <row r="721" spans="2:32" hidden="1">
      <c r="B721" s="267"/>
      <c r="C721" s="219"/>
      <c r="D721" s="219"/>
      <c r="E721" s="219"/>
      <c r="F721" s="219"/>
      <c r="G721" s="222"/>
      <c r="H721" s="227"/>
      <c r="I721" s="227"/>
      <c r="J721" s="217"/>
      <c r="K721" s="217"/>
      <c r="L721" s="217"/>
      <c r="M721" s="231"/>
      <c r="N721" s="235"/>
      <c r="O721" s="239"/>
      <c r="P721" s="245"/>
      <c r="Q721" s="246"/>
      <c r="R721" s="302"/>
      <c r="S721" s="251"/>
      <c r="T721" s="302"/>
      <c r="U721" s="251"/>
      <c r="V721" s="302"/>
      <c r="W721" s="251"/>
      <c r="X721" s="255"/>
      <c r="Y721" s="302"/>
      <c r="Z721" s="259"/>
      <c r="AA721" s="251"/>
      <c r="AB721" s="302"/>
      <c r="AC721" s="306"/>
      <c r="AD721" s="261"/>
      <c r="AE721" s="261"/>
      <c r="AF721" s="282"/>
    </row>
    <row r="722" spans="2:32" hidden="1">
      <c r="B722" s="266"/>
      <c r="C722" s="220"/>
      <c r="D722" s="220"/>
      <c r="E722" s="220"/>
      <c r="F722" s="220"/>
      <c r="G722" s="223"/>
      <c r="H722" s="226"/>
      <c r="I722" s="226"/>
      <c r="J722" s="216"/>
      <c r="K722" s="216"/>
      <c r="L722" s="216"/>
      <c r="M722" s="230"/>
      <c r="N722" s="234"/>
      <c r="O722" s="238"/>
      <c r="P722" s="243"/>
      <c r="Q722" s="244"/>
      <c r="R722" s="301"/>
      <c r="S722" s="250"/>
      <c r="T722" s="301"/>
      <c r="U722" s="250"/>
      <c r="V722" s="301"/>
      <c r="W722" s="250"/>
      <c r="X722" s="254"/>
      <c r="Y722" s="301"/>
      <c r="Z722" s="258"/>
      <c r="AA722" s="250"/>
      <c r="AB722" s="301"/>
      <c r="AC722" s="305"/>
      <c r="AD722" s="262"/>
      <c r="AE722" s="262"/>
      <c r="AF722" s="283"/>
    </row>
    <row r="723" spans="2:32" hidden="1">
      <c r="B723" s="267"/>
      <c r="C723" s="219"/>
      <c r="D723" s="219"/>
      <c r="E723" s="219"/>
      <c r="F723" s="219"/>
      <c r="G723" s="222"/>
      <c r="H723" s="227"/>
      <c r="I723" s="227"/>
      <c r="J723" s="217"/>
      <c r="K723" s="217"/>
      <c r="L723" s="217"/>
      <c r="M723" s="231"/>
      <c r="N723" s="235"/>
      <c r="O723" s="239"/>
      <c r="P723" s="245"/>
      <c r="Q723" s="246"/>
      <c r="R723" s="302"/>
      <c r="S723" s="251"/>
      <c r="T723" s="302"/>
      <c r="U723" s="251"/>
      <c r="V723" s="302"/>
      <c r="W723" s="251"/>
      <c r="X723" s="255"/>
      <c r="Y723" s="302"/>
      <c r="Z723" s="259"/>
      <c r="AA723" s="251"/>
      <c r="AB723" s="302"/>
      <c r="AC723" s="306"/>
      <c r="AD723" s="261"/>
      <c r="AE723" s="261"/>
      <c r="AF723" s="282"/>
    </row>
    <row r="724" spans="2:32" hidden="1">
      <c r="B724" s="266"/>
      <c r="C724" s="220"/>
      <c r="D724" s="220"/>
      <c r="E724" s="220"/>
      <c r="F724" s="220"/>
      <c r="G724" s="223"/>
      <c r="H724" s="226"/>
      <c r="I724" s="226"/>
      <c r="J724" s="216"/>
      <c r="K724" s="216"/>
      <c r="L724" s="216"/>
      <c r="M724" s="230"/>
      <c r="N724" s="234"/>
      <c r="O724" s="238"/>
      <c r="P724" s="243"/>
      <c r="Q724" s="244"/>
      <c r="R724" s="301"/>
      <c r="S724" s="250"/>
      <c r="T724" s="301"/>
      <c r="U724" s="250"/>
      <c r="V724" s="301"/>
      <c r="W724" s="250"/>
      <c r="X724" s="254"/>
      <c r="Y724" s="301"/>
      <c r="Z724" s="258"/>
      <c r="AA724" s="250"/>
      <c r="AB724" s="301"/>
      <c r="AC724" s="305"/>
      <c r="AD724" s="262"/>
      <c r="AE724" s="262"/>
      <c r="AF724" s="283"/>
    </row>
    <row r="725" spans="2:32" hidden="1">
      <c r="B725" s="267"/>
      <c r="C725" s="219"/>
      <c r="D725" s="219"/>
      <c r="E725" s="219"/>
      <c r="F725" s="219"/>
      <c r="G725" s="222"/>
      <c r="H725" s="227"/>
      <c r="I725" s="227"/>
      <c r="J725" s="217"/>
      <c r="K725" s="217"/>
      <c r="L725" s="217"/>
      <c r="M725" s="231"/>
      <c r="N725" s="235"/>
      <c r="O725" s="239"/>
      <c r="P725" s="245"/>
      <c r="Q725" s="246"/>
      <c r="R725" s="302"/>
      <c r="S725" s="251"/>
      <c r="T725" s="302"/>
      <c r="U725" s="251"/>
      <c r="V725" s="302"/>
      <c r="W725" s="251"/>
      <c r="X725" s="255"/>
      <c r="Y725" s="302"/>
      <c r="Z725" s="259"/>
      <c r="AA725" s="251"/>
      <c r="AB725" s="302"/>
      <c r="AC725" s="306"/>
      <c r="AD725" s="261"/>
      <c r="AE725" s="261"/>
      <c r="AF725" s="282"/>
    </row>
    <row r="726" spans="2:32" hidden="1">
      <c r="B726" s="266"/>
      <c r="C726" s="220"/>
      <c r="D726" s="220"/>
      <c r="E726" s="220"/>
      <c r="F726" s="220"/>
      <c r="G726" s="223"/>
      <c r="H726" s="226"/>
      <c r="I726" s="226"/>
      <c r="J726" s="216"/>
      <c r="K726" s="216"/>
      <c r="L726" s="216"/>
      <c r="M726" s="230"/>
      <c r="N726" s="234"/>
      <c r="O726" s="238"/>
      <c r="P726" s="243"/>
      <c r="Q726" s="244"/>
      <c r="R726" s="301"/>
      <c r="S726" s="250"/>
      <c r="T726" s="301"/>
      <c r="U726" s="250"/>
      <c r="V726" s="301"/>
      <c r="W726" s="250"/>
      <c r="X726" s="254"/>
      <c r="Y726" s="301"/>
      <c r="Z726" s="258"/>
      <c r="AA726" s="250"/>
      <c r="AB726" s="301"/>
      <c r="AC726" s="305"/>
      <c r="AD726" s="262"/>
      <c r="AE726" s="262"/>
      <c r="AF726" s="283"/>
    </row>
    <row r="727" spans="2:32" hidden="1">
      <c r="B727" s="267"/>
      <c r="C727" s="219"/>
      <c r="D727" s="219"/>
      <c r="E727" s="219"/>
      <c r="F727" s="219"/>
      <c r="G727" s="222"/>
      <c r="H727" s="227"/>
      <c r="I727" s="227"/>
      <c r="J727" s="217"/>
      <c r="K727" s="217"/>
      <c r="L727" s="217"/>
      <c r="M727" s="231"/>
      <c r="N727" s="235"/>
      <c r="O727" s="239"/>
      <c r="P727" s="245"/>
      <c r="Q727" s="246"/>
      <c r="R727" s="302"/>
      <c r="S727" s="251"/>
      <c r="T727" s="302"/>
      <c r="U727" s="251"/>
      <c r="V727" s="302"/>
      <c r="W727" s="251"/>
      <c r="X727" s="255"/>
      <c r="Y727" s="302"/>
      <c r="Z727" s="259"/>
      <c r="AA727" s="251"/>
      <c r="AB727" s="302"/>
      <c r="AC727" s="306"/>
      <c r="AD727" s="261"/>
      <c r="AE727" s="261"/>
      <c r="AF727" s="282"/>
    </row>
    <row r="728" spans="2:32" hidden="1">
      <c r="B728" s="266"/>
      <c r="C728" s="220"/>
      <c r="D728" s="220"/>
      <c r="E728" s="220"/>
      <c r="F728" s="220"/>
      <c r="G728" s="223"/>
      <c r="H728" s="226"/>
      <c r="I728" s="226"/>
      <c r="J728" s="216"/>
      <c r="K728" s="216"/>
      <c r="L728" s="216"/>
      <c r="M728" s="230"/>
      <c r="N728" s="234"/>
      <c r="O728" s="238"/>
      <c r="P728" s="243"/>
      <c r="Q728" s="244"/>
      <c r="R728" s="301"/>
      <c r="S728" s="250"/>
      <c r="T728" s="301"/>
      <c r="U728" s="250"/>
      <c r="V728" s="301"/>
      <c r="W728" s="250"/>
      <c r="X728" s="254"/>
      <c r="Y728" s="301"/>
      <c r="Z728" s="258"/>
      <c r="AA728" s="250"/>
      <c r="AB728" s="301"/>
      <c r="AC728" s="305"/>
      <c r="AD728" s="262"/>
      <c r="AE728" s="262"/>
      <c r="AF728" s="283"/>
    </row>
    <row r="729" spans="2:32" hidden="1">
      <c r="B729" s="267"/>
      <c r="C729" s="219"/>
      <c r="D729" s="219"/>
      <c r="E729" s="219"/>
      <c r="F729" s="219"/>
      <c r="G729" s="222"/>
      <c r="H729" s="227"/>
      <c r="I729" s="227"/>
      <c r="J729" s="217"/>
      <c r="K729" s="217"/>
      <c r="L729" s="217"/>
      <c r="M729" s="231"/>
      <c r="N729" s="235"/>
      <c r="O729" s="239"/>
      <c r="P729" s="245"/>
      <c r="Q729" s="246"/>
      <c r="R729" s="302"/>
      <c r="S729" s="251"/>
      <c r="T729" s="302"/>
      <c r="U729" s="251"/>
      <c r="V729" s="302"/>
      <c r="W729" s="251"/>
      <c r="X729" s="255"/>
      <c r="Y729" s="302"/>
      <c r="Z729" s="259"/>
      <c r="AA729" s="251"/>
      <c r="AB729" s="302"/>
      <c r="AC729" s="306"/>
      <c r="AD729" s="261"/>
      <c r="AE729" s="261"/>
      <c r="AF729" s="282"/>
    </row>
    <row r="730" spans="2:32" hidden="1">
      <c r="B730" s="266"/>
      <c r="C730" s="220"/>
      <c r="D730" s="220"/>
      <c r="E730" s="220"/>
      <c r="F730" s="220"/>
      <c r="G730" s="223"/>
      <c r="H730" s="226"/>
      <c r="I730" s="226"/>
      <c r="J730" s="216"/>
      <c r="K730" s="216"/>
      <c r="L730" s="216"/>
      <c r="M730" s="230"/>
      <c r="N730" s="234"/>
      <c r="O730" s="238"/>
      <c r="P730" s="243"/>
      <c r="Q730" s="244"/>
      <c r="R730" s="301"/>
      <c r="S730" s="250"/>
      <c r="T730" s="301"/>
      <c r="U730" s="250"/>
      <c r="V730" s="301"/>
      <c r="W730" s="250"/>
      <c r="X730" s="254"/>
      <c r="Y730" s="301"/>
      <c r="Z730" s="258"/>
      <c r="AA730" s="250"/>
      <c r="AB730" s="301"/>
      <c r="AC730" s="305"/>
      <c r="AD730" s="262"/>
      <c r="AE730" s="262"/>
      <c r="AF730" s="283"/>
    </row>
    <row r="731" spans="2:32" hidden="1">
      <c r="B731" s="267"/>
      <c r="C731" s="219"/>
      <c r="D731" s="219"/>
      <c r="E731" s="219"/>
      <c r="F731" s="219"/>
      <c r="G731" s="222"/>
      <c r="H731" s="227"/>
      <c r="I731" s="227"/>
      <c r="J731" s="217"/>
      <c r="K731" s="217"/>
      <c r="L731" s="217"/>
      <c r="M731" s="231"/>
      <c r="N731" s="235"/>
      <c r="O731" s="239"/>
      <c r="P731" s="245"/>
      <c r="Q731" s="246"/>
      <c r="R731" s="302"/>
      <c r="S731" s="251"/>
      <c r="T731" s="302"/>
      <c r="U731" s="251"/>
      <c r="V731" s="302"/>
      <c r="W731" s="251"/>
      <c r="X731" s="255"/>
      <c r="Y731" s="302"/>
      <c r="Z731" s="259"/>
      <c r="AA731" s="251"/>
      <c r="AB731" s="302"/>
      <c r="AC731" s="306"/>
      <c r="AD731" s="261"/>
      <c r="AE731" s="261"/>
      <c r="AF731" s="282"/>
    </row>
    <row r="732" spans="2:32" hidden="1">
      <c r="B732" s="266"/>
      <c r="C732" s="220"/>
      <c r="D732" s="220"/>
      <c r="E732" s="220"/>
      <c r="F732" s="220"/>
      <c r="G732" s="223"/>
      <c r="H732" s="226"/>
      <c r="I732" s="226"/>
      <c r="J732" s="216"/>
      <c r="K732" s="216"/>
      <c r="L732" s="216"/>
      <c r="M732" s="230"/>
      <c r="N732" s="234"/>
      <c r="O732" s="238"/>
      <c r="P732" s="243"/>
      <c r="Q732" s="244"/>
      <c r="R732" s="301"/>
      <c r="S732" s="250"/>
      <c r="T732" s="301"/>
      <c r="U732" s="250"/>
      <c r="V732" s="301"/>
      <c r="W732" s="250"/>
      <c r="X732" s="254"/>
      <c r="Y732" s="301"/>
      <c r="Z732" s="258"/>
      <c r="AA732" s="250"/>
      <c r="AB732" s="301"/>
      <c r="AC732" s="305"/>
      <c r="AD732" s="262"/>
      <c r="AE732" s="262"/>
      <c r="AF732" s="283"/>
    </row>
    <row r="733" spans="2:32" hidden="1">
      <c r="B733" s="267"/>
      <c r="C733" s="219"/>
      <c r="D733" s="219"/>
      <c r="E733" s="219"/>
      <c r="F733" s="219"/>
      <c r="G733" s="222"/>
      <c r="H733" s="227"/>
      <c r="I733" s="227"/>
      <c r="J733" s="217"/>
      <c r="K733" s="217"/>
      <c r="L733" s="217"/>
      <c r="M733" s="231"/>
      <c r="N733" s="235"/>
      <c r="O733" s="239"/>
      <c r="P733" s="245"/>
      <c r="Q733" s="246"/>
      <c r="R733" s="302"/>
      <c r="S733" s="251"/>
      <c r="T733" s="302"/>
      <c r="U733" s="251"/>
      <c r="V733" s="302"/>
      <c r="W733" s="251"/>
      <c r="X733" s="255"/>
      <c r="Y733" s="302"/>
      <c r="Z733" s="259"/>
      <c r="AA733" s="251"/>
      <c r="AB733" s="302"/>
      <c r="AC733" s="306"/>
      <c r="AD733" s="261"/>
      <c r="AE733" s="261"/>
      <c r="AF733" s="282"/>
    </row>
    <row r="734" spans="2:32" hidden="1">
      <c r="B734" s="266"/>
      <c r="C734" s="220"/>
      <c r="D734" s="220"/>
      <c r="E734" s="220"/>
      <c r="F734" s="220"/>
      <c r="G734" s="223"/>
      <c r="H734" s="226"/>
      <c r="I734" s="226"/>
      <c r="J734" s="216"/>
      <c r="K734" s="216"/>
      <c r="L734" s="216"/>
      <c r="M734" s="230"/>
      <c r="N734" s="234"/>
      <c r="O734" s="238"/>
      <c r="P734" s="243"/>
      <c r="Q734" s="244"/>
      <c r="R734" s="301"/>
      <c r="S734" s="250"/>
      <c r="T734" s="301"/>
      <c r="U734" s="250"/>
      <c r="V734" s="301"/>
      <c r="W734" s="250"/>
      <c r="X734" s="254"/>
      <c r="Y734" s="301"/>
      <c r="Z734" s="258"/>
      <c r="AA734" s="250"/>
      <c r="AB734" s="301"/>
      <c r="AC734" s="305"/>
      <c r="AD734" s="262"/>
      <c r="AE734" s="262"/>
      <c r="AF734" s="283"/>
    </row>
    <row r="735" spans="2:32" hidden="1">
      <c r="B735" s="267"/>
      <c r="C735" s="219"/>
      <c r="D735" s="219"/>
      <c r="E735" s="219"/>
      <c r="F735" s="219"/>
      <c r="G735" s="222"/>
      <c r="H735" s="227"/>
      <c r="I735" s="227"/>
      <c r="J735" s="217"/>
      <c r="K735" s="217"/>
      <c r="L735" s="217"/>
      <c r="M735" s="231"/>
      <c r="N735" s="235"/>
      <c r="O735" s="239"/>
      <c r="P735" s="245"/>
      <c r="Q735" s="246"/>
      <c r="R735" s="302"/>
      <c r="S735" s="251"/>
      <c r="T735" s="302"/>
      <c r="U735" s="251"/>
      <c r="V735" s="302"/>
      <c r="W735" s="251"/>
      <c r="X735" s="255"/>
      <c r="Y735" s="302"/>
      <c r="Z735" s="259"/>
      <c r="AA735" s="251"/>
      <c r="AB735" s="302"/>
      <c r="AC735" s="306"/>
      <c r="AD735" s="261"/>
      <c r="AE735" s="261"/>
      <c r="AF735" s="282"/>
    </row>
    <row r="736" spans="2:32" hidden="1">
      <c r="B736" s="266"/>
      <c r="C736" s="220"/>
      <c r="D736" s="220"/>
      <c r="E736" s="220"/>
      <c r="F736" s="220"/>
      <c r="G736" s="223"/>
      <c r="H736" s="226"/>
      <c r="I736" s="226"/>
      <c r="J736" s="216"/>
      <c r="K736" s="216"/>
      <c r="L736" s="216"/>
      <c r="M736" s="230"/>
      <c r="N736" s="234"/>
      <c r="O736" s="238"/>
      <c r="P736" s="243"/>
      <c r="Q736" s="244"/>
      <c r="R736" s="301"/>
      <c r="S736" s="250"/>
      <c r="T736" s="301"/>
      <c r="U736" s="250"/>
      <c r="V736" s="301"/>
      <c r="W736" s="250"/>
      <c r="X736" s="254"/>
      <c r="Y736" s="301"/>
      <c r="Z736" s="258"/>
      <c r="AA736" s="250"/>
      <c r="AB736" s="301"/>
      <c r="AC736" s="305"/>
      <c r="AD736" s="262"/>
      <c r="AE736" s="262"/>
      <c r="AF736" s="283"/>
    </row>
    <row r="737" spans="2:32" hidden="1">
      <c r="B737" s="267"/>
      <c r="C737" s="219"/>
      <c r="D737" s="219"/>
      <c r="E737" s="219"/>
      <c r="F737" s="219"/>
      <c r="G737" s="222"/>
      <c r="H737" s="227"/>
      <c r="I737" s="227"/>
      <c r="J737" s="217"/>
      <c r="K737" s="217"/>
      <c r="L737" s="217"/>
      <c r="M737" s="231"/>
      <c r="N737" s="235"/>
      <c r="O737" s="239"/>
      <c r="P737" s="245"/>
      <c r="Q737" s="246"/>
      <c r="R737" s="302"/>
      <c r="S737" s="251"/>
      <c r="T737" s="302"/>
      <c r="U737" s="251"/>
      <c r="V737" s="302"/>
      <c r="W737" s="251"/>
      <c r="X737" s="255"/>
      <c r="Y737" s="302"/>
      <c r="Z737" s="259"/>
      <c r="AA737" s="251"/>
      <c r="AB737" s="302"/>
      <c r="AC737" s="306"/>
      <c r="AD737" s="261"/>
      <c r="AE737" s="261"/>
      <c r="AF737" s="282"/>
    </row>
    <row r="738" spans="2:32" hidden="1">
      <c r="B738" s="266"/>
      <c r="C738" s="220"/>
      <c r="D738" s="220"/>
      <c r="E738" s="220"/>
      <c r="F738" s="220"/>
      <c r="G738" s="223"/>
      <c r="H738" s="226"/>
      <c r="I738" s="226"/>
      <c r="J738" s="216"/>
      <c r="K738" s="216"/>
      <c r="L738" s="216"/>
      <c r="M738" s="230"/>
      <c r="N738" s="234"/>
      <c r="O738" s="238"/>
      <c r="P738" s="243"/>
      <c r="Q738" s="244"/>
      <c r="R738" s="301"/>
      <c r="S738" s="250"/>
      <c r="T738" s="301"/>
      <c r="U738" s="250"/>
      <c r="V738" s="301"/>
      <c r="W738" s="250"/>
      <c r="X738" s="254"/>
      <c r="Y738" s="301"/>
      <c r="Z738" s="258"/>
      <c r="AA738" s="250"/>
      <c r="AB738" s="301"/>
      <c r="AC738" s="305"/>
      <c r="AD738" s="262"/>
      <c r="AE738" s="262"/>
      <c r="AF738" s="283"/>
    </row>
    <row r="739" spans="2:32" hidden="1">
      <c r="B739" s="267"/>
      <c r="C739" s="219"/>
      <c r="D739" s="219"/>
      <c r="E739" s="219"/>
      <c r="F739" s="219"/>
      <c r="G739" s="222"/>
      <c r="H739" s="227"/>
      <c r="I739" s="227"/>
      <c r="J739" s="217"/>
      <c r="K739" s="217"/>
      <c r="L739" s="217"/>
      <c r="M739" s="231"/>
      <c r="N739" s="235"/>
      <c r="O739" s="239"/>
      <c r="P739" s="245"/>
      <c r="Q739" s="246"/>
      <c r="R739" s="302"/>
      <c r="S739" s="251"/>
      <c r="T739" s="302"/>
      <c r="U739" s="251"/>
      <c r="V739" s="302"/>
      <c r="W739" s="251"/>
      <c r="X739" s="255"/>
      <c r="Y739" s="302"/>
      <c r="Z739" s="259"/>
      <c r="AA739" s="251"/>
      <c r="AB739" s="302"/>
      <c r="AC739" s="306"/>
      <c r="AD739" s="261"/>
      <c r="AE739" s="261"/>
      <c r="AF739" s="282"/>
    </row>
    <row r="740" spans="2:32" hidden="1">
      <c r="B740" s="266"/>
      <c r="C740" s="220"/>
      <c r="D740" s="220"/>
      <c r="E740" s="220"/>
      <c r="F740" s="220"/>
      <c r="G740" s="223"/>
      <c r="H740" s="226"/>
      <c r="I740" s="226"/>
      <c r="J740" s="216"/>
      <c r="K740" s="216"/>
      <c r="L740" s="216"/>
      <c r="M740" s="230"/>
      <c r="N740" s="234"/>
      <c r="O740" s="238"/>
      <c r="P740" s="243"/>
      <c r="Q740" s="244"/>
      <c r="R740" s="301"/>
      <c r="S740" s="250"/>
      <c r="T740" s="301"/>
      <c r="U740" s="250"/>
      <c r="V740" s="301"/>
      <c r="W740" s="250"/>
      <c r="X740" s="254"/>
      <c r="Y740" s="301"/>
      <c r="Z740" s="258"/>
      <c r="AA740" s="250"/>
      <c r="AB740" s="301"/>
      <c r="AC740" s="305"/>
      <c r="AD740" s="262"/>
      <c r="AE740" s="262"/>
      <c r="AF740" s="283"/>
    </row>
    <row r="741" spans="2:32" hidden="1">
      <c r="B741" s="267"/>
      <c r="C741" s="219"/>
      <c r="D741" s="219"/>
      <c r="E741" s="219"/>
      <c r="F741" s="219"/>
      <c r="G741" s="222"/>
      <c r="H741" s="227"/>
      <c r="I741" s="227"/>
      <c r="J741" s="217"/>
      <c r="K741" s="217"/>
      <c r="L741" s="217"/>
      <c r="M741" s="231"/>
      <c r="N741" s="235"/>
      <c r="O741" s="239"/>
      <c r="P741" s="245"/>
      <c r="Q741" s="246"/>
      <c r="R741" s="302"/>
      <c r="S741" s="251"/>
      <c r="T741" s="302"/>
      <c r="U741" s="251"/>
      <c r="V741" s="302"/>
      <c r="W741" s="251"/>
      <c r="X741" s="255"/>
      <c r="Y741" s="302"/>
      <c r="Z741" s="259"/>
      <c r="AA741" s="251"/>
      <c r="AB741" s="302"/>
      <c r="AC741" s="306"/>
      <c r="AD741" s="261"/>
      <c r="AE741" s="261"/>
      <c r="AF741" s="282"/>
    </row>
    <row r="742" spans="2:32" hidden="1">
      <c r="B742" s="266"/>
      <c r="C742" s="220"/>
      <c r="D742" s="220"/>
      <c r="E742" s="220"/>
      <c r="F742" s="220"/>
      <c r="G742" s="223"/>
      <c r="H742" s="226"/>
      <c r="I742" s="226"/>
      <c r="J742" s="216"/>
      <c r="K742" s="216"/>
      <c r="L742" s="216"/>
      <c r="M742" s="230"/>
      <c r="N742" s="234"/>
      <c r="O742" s="238"/>
      <c r="P742" s="243"/>
      <c r="Q742" s="244"/>
      <c r="R742" s="301"/>
      <c r="S742" s="250"/>
      <c r="T742" s="301"/>
      <c r="U742" s="250"/>
      <c r="V742" s="301"/>
      <c r="W742" s="250"/>
      <c r="X742" s="254"/>
      <c r="Y742" s="301"/>
      <c r="Z742" s="258"/>
      <c r="AA742" s="250"/>
      <c r="AB742" s="301"/>
      <c r="AC742" s="305"/>
      <c r="AD742" s="262"/>
      <c r="AE742" s="262"/>
      <c r="AF742" s="283"/>
    </row>
    <row r="743" spans="2:32" hidden="1">
      <c r="B743" s="267"/>
      <c r="C743" s="219"/>
      <c r="D743" s="219"/>
      <c r="E743" s="219"/>
      <c r="F743" s="219"/>
      <c r="G743" s="222"/>
      <c r="H743" s="227"/>
      <c r="I743" s="227"/>
      <c r="J743" s="217"/>
      <c r="K743" s="217"/>
      <c r="L743" s="217"/>
      <c r="M743" s="231"/>
      <c r="N743" s="235"/>
      <c r="O743" s="239"/>
      <c r="P743" s="245"/>
      <c r="Q743" s="246"/>
      <c r="R743" s="302"/>
      <c r="S743" s="251"/>
      <c r="T743" s="302"/>
      <c r="U743" s="251"/>
      <c r="V743" s="302"/>
      <c r="W743" s="251"/>
      <c r="X743" s="255"/>
      <c r="Y743" s="302"/>
      <c r="Z743" s="259"/>
      <c r="AA743" s="251"/>
      <c r="AB743" s="302"/>
      <c r="AC743" s="306"/>
      <c r="AD743" s="261"/>
      <c r="AE743" s="261"/>
      <c r="AF743" s="282"/>
    </row>
    <row r="744" spans="2:32" hidden="1">
      <c r="B744" s="266"/>
      <c r="C744" s="220"/>
      <c r="D744" s="220"/>
      <c r="E744" s="220"/>
      <c r="F744" s="220"/>
      <c r="G744" s="223"/>
      <c r="H744" s="226"/>
      <c r="I744" s="226"/>
      <c r="J744" s="216"/>
      <c r="K744" s="216"/>
      <c r="L744" s="216"/>
      <c r="M744" s="230"/>
      <c r="N744" s="234"/>
      <c r="O744" s="238"/>
      <c r="P744" s="243"/>
      <c r="Q744" s="244"/>
      <c r="R744" s="301"/>
      <c r="S744" s="250"/>
      <c r="T744" s="301"/>
      <c r="U744" s="250"/>
      <c r="V744" s="301"/>
      <c r="W744" s="250"/>
      <c r="X744" s="254"/>
      <c r="Y744" s="301"/>
      <c r="Z744" s="258"/>
      <c r="AA744" s="250"/>
      <c r="AB744" s="301"/>
      <c r="AC744" s="305"/>
      <c r="AD744" s="262"/>
      <c r="AE744" s="262"/>
      <c r="AF744" s="283"/>
    </row>
    <row r="745" spans="2:32" hidden="1">
      <c r="B745" s="267"/>
      <c r="C745" s="219"/>
      <c r="D745" s="219"/>
      <c r="E745" s="219"/>
      <c r="F745" s="219"/>
      <c r="G745" s="222"/>
      <c r="H745" s="227"/>
      <c r="I745" s="227"/>
      <c r="J745" s="217"/>
      <c r="K745" s="217"/>
      <c r="L745" s="217"/>
      <c r="M745" s="231"/>
      <c r="N745" s="235"/>
      <c r="O745" s="239"/>
      <c r="P745" s="245"/>
      <c r="Q745" s="246"/>
      <c r="R745" s="302"/>
      <c r="S745" s="251"/>
      <c r="T745" s="302"/>
      <c r="U745" s="251"/>
      <c r="V745" s="302"/>
      <c r="W745" s="251"/>
      <c r="X745" s="255"/>
      <c r="Y745" s="302"/>
      <c r="Z745" s="259"/>
      <c r="AA745" s="251"/>
      <c r="AB745" s="302"/>
      <c r="AC745" s="306"/>
      <c r="AD745" s="261"/>
      <c r="AE745" s="261"/>
      <c r="AF745" s="282"/>
    </row>
    <row r="746" spans="2:32" hidden="1">
      <c r="B746" s="266"/>
      <c r="C746" s="220"/>
      <c r="D746" s="220"/>
      <c r="E746" s="220"/>
      <c r="F746" s="220"/>
      <c r="G746" s="223"/>
      <c r="H746" s="226"/>
      <c r="I746" s="226"/>
      <c r="J746" s="216"/>
      <c r="K746" s="216"/>
      <c r="L746" s="216"/>
      <c r="M746" s="230"/>
      <c r="N746" s="234"/>
      <c r="O746" s="238"/>
      <c r="P746" s="243"/>
      <c r="Q746" s="244"/>
      <c r="R746" s="301"/>
      <c r="S746" s="250"/>
      <c r="T746" s="301"/>
      <c r="U746" s="250"/>
      <c r="V746" s="301"/>
      <c r="W746" s="250"/>
      <c r="X746" s="254"/>
      <c r="Y746" s="301"/>
      <c r="Z746" s="258"/>
      <c r="AA746" s="250"/>
      <c r="AB746" s="301"/>
      <c r="AC746" s="305"/>
      <c r="AD746" s="262"/>
      <c r="AE746" s="262"/>
      <c r="AF746" s="283"/>
    </row>
    <row r="747" spans="2:32" hidden="1">
      <c r="B747" s="267"/>
      <c r="C747" s="219"/>
      <c r="D747" s="219"/>
      <c r="E747" s="219"/>
      <c r="F747" s="219"/>
      <c r="G747" s="222"/>
      <c r="H747" s="227"/>
      <c r="I747" s="227"/>
      <c r="J747" s="217"/>
      <c r="K747" s="217"/>
      <c r="L747" s="217"/>
      <c r="M747" s="231"/>
      <c r="N747" s="235"/>
      <c r="O747" s="239"/>
      <c r="P747" s="245"/>
      <c r="Q747" s="246"/>
      <c r="R747" s="302"/>
      <c r="S747" s="251"/>
      <c r="T747" s="302"/>
      <c r="U747" s="251"/>
      <c r="V747" s="302"/>
      <c r="W747" s="251"/>
      <c r="X747" s="255"/>
      <c r="Y747" s="302"/>
      <c r="Z747" s="259"/>
      <c r="AA747" s="251"/>
      <c r="AB747" s="302"/>
      <c r="AC747" s="306"/>
      <c r="AD747" s="261"/>
      <c r="AE747" s="261"/>
      <c r="AF747" s="282"/>
    </row>
    <row r="748" spans="2:32" hidden="1">
      <c r="B748" s="266"/>
      <c r="C748" s="220"/>
      <c r="D748" s="220"/>
      <c r="E748" s="220"/>
      <c r="F748" s="220"/>
      <c r="G748" s="223"/>
      <c r="H748" s="226"/>
      <c r="I748" s="226"/>
      <c r="J748" s="216"/>
      <c r="K748" s="216"/>
      <c r="L748" s="216"/>
      <c r="M748" s="230"/>
      <c r="N748" s="234"/>
      <c r="O748" s="238"/>
      <c r="P748" s="243"/>
      <c r="Q748" s="244"/>
      <c r="R748" s="301"/>
      <c r="S748" s="250"/>
      <c r="T748" s="301"/>
      <c r="U748" s="250"/>
      <c r="V748" s="301"/>
      <c r="W748" s="250"/>
      <c r="X748" s="254"/>
      <c r="Y748" s="301"/>
      <c r="Z748" s="258"/>
      <c r="AA748" s="250"/>
      <c r="AB748" s="301"/>
      <c r="AC748" s="305"/>
      <c r="AD748" s="262"/>
      <c r="AE748" s="262"/>
      <c r="AF748" s="283"/>
    </row>
    <row r="749" spans="2:32" hidden="1">
      <c r="B749" s="267"/>
      <c r="C749" s="219"/>
      <c r="D749" s="219"/>
      <c r="E749" s="219"/>
      <c r="F749" s="219"/>
      <c r="G749" s="222"/>
      <c r="H749" s="227"/>
      <c r="I749" s="227"/>
      <c r="J749" s="217"/>
      <c r="K749" s="217"/>
      <c r="L749" s="217"/>
      <c r="M749" s="231"/>
      <c r="N749" s="235"/>
      <c r="O749" s="239"/>
      <c r="P749" s="245"/>
      <c r="Q749" s="246"/>
      <c r="R749" s="302"/>
      <c r="S749" s="251"/>
      <c r="T749" s="302"/>
      <c r="U749" s="251"/>
      <c r="V749" s="302"/>
      <c r="W749" s="251"/>
      <c r="X749" s="255"/>
      <c r="Y749" s="302"/>
      <c r="Z749" s="259"/>
      <c r="AA749" s="251"/>
      <c r="AB749" s="302"/>
      <c r="AC749" s="306"/>
      <c r="AD749" s="261"/>
      <c r="AE749" s="261"/>
      <c r="AF749" s="282"/>
    </row>
    <row r="750" spans="2:32" hidden="1">
      <c r="B750" s="266"/>
      <c r="C750" s="220"/>
      <c r="D750" s="220"/>
      <c r="E750" s="220"/>
      <c r="F750" s="220"/>
      <c r="G750" s="223"/>
      <c r="H750" s="226"/>
      <c r="I750" s="226"/>
      <c r="J750" s="216"/>
      <c r="K750" s="216"/>
      <c r="L750" s="216"/>
      <c r="M750" s="230"/>
      <c r="N750" s="234"/>
      <c r="O750" s="238"/>
      <c r="P750" s="243"/>
      <c r="Q750" s="244"/>
      <c r="R750" s="301"/>
      <c r="S750" s="250"/>
      <c r="T750" s="301"/>
      <c r="U750" s="250"/>
      <c r="V750" s="301"/>
      <c r="W750" s="250"/>
      <c r="X750" s="254"/>
      <c r="Y750" s="301"/>
      <c r="Z750" s="258"/>
      <c r="AA750" s="250"/>
      <c r="AB750" s="301"/>
      <c r="AC750" s="305"/>
      <c r="AD750" s="262"/>
      <c r="AE750" s="262"/>
      <c r="AF750" s="283"/>
    </row>
    <row r="751" spans="2:32" hidden="1">
      <c r="B751" s="267"/>
      <c r="C751" s="219"/>
      <c r="D751" s="219"/>
      <c r="E751" s="219"/>
      <c r="F751" s="219"/>
      <c r="G751" s="222"/>
      <c r="H751" s="227"/>
      <c r="I751" s="227"/>
      <c r="J751" s="217"/>
      <c r="K751" s="217"/>
      <c r="L751" s="217"/>
      <c r="M751" s="231"/>
      <c r="N751" s="235"/>
      <c r="O751" s="239"/>
      <c r="P751" s="245"/>
      <c r="Q751" s="246"/>
      <c r="R751" s="302"/>
      <c r="S751" s="251"/>
      <c r="T751" s="302"/>
      <c r="U751" s="251"/>
      <c r="V751" s="302"/>
      <c r="W751" s="251"/>
      <c r="X751" s="255"/>
      <c r="Y751" s="302"/>
      <c r="Z751" s="259"/>
      <c r="AA751" s="251"/>
      <c r="AB751" s="302"/>
      <c r="AC751" s="306"/>
      <c r="AD751" s="261"/>
      <c r="AE751" s="261"/>
      <c r="AF751" s="282"/>
    </row>
    <row r="752" spans="2:32" hidden="1">
      <c r="B752" s="266"/>
      <c r="C752" s="220"/>
      <c r="D752" s="220"/>
      <c r="E752" s="220"/>
      <c r="F752" s="220"/>
      <c r="G752" s="223"/>
      <c r="H752" s="226"/>
      <c r="I752" s="226"/>
      <c r="J752" s="216"/>
      <c r="K752" s="216"/>
      <c r="L752" s="216"/>
      <c r="M752" s="230"/>
      <c r="N752" s="234"/>
      <c r="O752" s="238"/>
      <c r="P752" s="243"/>
      <c r="Q752" s="244"/>
      <c r="R752" s="301"/>
      <c r="S752" s="250"/>
      <c r="T752" s="301"/>
      <c r="U752" s="250"/>
      <c r="V752" s="301"/>
      <c r="W752" s="250"/>
      <c r="X752" s="254"/>
      <c r="Y752" s="301"/>
      <c r="Z752" s="258"/>
      <c r="AA752" s="250"/>
      <c r="AB752" s="301"/>
      <c r="AC752" s="305"/>
      <c r="AD752" s="262"/>
      <c r="AE752" s="262"/>
      <c r="AF752" s="283"/>
    </row>
    <row r="753" spans="2:32" hidden="1">
      <c r="B753" s="267"/>
      <c r="C753" s="219"/>
      <c r="D753" s="219"/>
      <c r="E753" s="219"/>
      <c r="F753" s="219"/>
      <c r="G753" s="222"/>
      <c r="H753" s="227"/>
      <c r="I753" s="227"/>
      <c r="J753" s="217"/>
      <c r="K753" s="217"/>
      <c r="L753" s="217"/>
      <c r="M753" s="231"/>
      <c r="N753" s="235"/>
      <c r="O753" s="239"/>
      <c r="P753" s="245"/>
      <c r="Q753" s="246"/>
      <c r="R753" s="302"/>
      <c r="S753" s="251"/>
      <c r="T753" s="302"/>
      <c r="U753" s="251"/>
      <c r="V753" s="302"/>
      <c r="W753" s="251"/>
      <c r="X753" s="255"/>
      <c r="Y753" s="302"/>
      <c r="Z753" s="259"/>
      <c r="AA753" s="251"/>
      <c r="AB753" s="302"/>
      <c r="AC753" s="306"/>
      <c r="AD753" s="261"/>
      <c r="AE753" s="261"/>
      <c r="AF753" s="282"/>
    </row>
    <row r="754" spans="2:32" hidden="1">
      <c r="B754" s="266"/>
      <c r="C754" s="220"/>
      <c r="D754" s="220"/>
      <c r="E754" s="220"/>
      <c r="F754" s="220"/>
      <c r="G754" s="223"/>
      <c r="H754" s="226"/>
      <c r="I754" s="226"/>
      <c r="J754" s="216"/>
      <c r="K754" s="216"/>
      <c r="L754" s="216"/>
      <c r="M754" s="230"/>
      <c r="N754" s="234"/>
      <c r="O754" s="238"/>
      <c r="P754" s="243"/>
      <c r="Q754" s="244"/>
      <c r="R754" s="301"/>
      <c r="S754" s="250"/>
      <c r="T754" s="301"/>
      <c r="U754" s="250"/>
      <c r="V754" s="301"/>
      <c r="W754" s="250"/>
      <c r="X754" s="254"/>
      <c r="Y754" s="301"/>
      <c r="Z754" s="258"/>
      <c r="AA754" s="250"/>
      <c r="AB754" s="301"/>
      <c r="AC754" s="305"/>
      <c r="AD754" s="262"/>
      <c r="AE754" s="262"/>
      <c r="AF754" s="283"/>
    </row>
    <row r="755" spans="2:32" hidden="1">
      <c r="B755" s="267"/>
      <c r="C755" s="219"/>
      <c r="D755" s="219"/>
      <c r="E755" s="219"/>
      <c r="F755" s="219"/>
      <c r="G755" s="222"/>
      <c r="H755" s="227"/>
      <c r="I755" s="227"/>
      <c r="J755" s="217"/>
      <c r="K755" s="217"/>
      <c r="L755" s="217"/>
      <c r="M755" s="231"/>
      <c r="N755" s="235"/>
      <c r="O755" s="239"/>
      <c r="P755" s="245"/>
      <c r="Q755" s="246"/>
      <c r="R755" s="302"/>
      <c r="S755" s="251"/>
      <c r="T755" s="302"/>
      <c r="U755" s="251"/>
      <c r="V755" s="302"/>
      <c r="W755" s="251"/>
      <c r="X755" s="255"/>
      <c r="Y755" s="302"/>
      <c r="Z755" s="259"/>
      <c r="AA755" s="251"/>
      <c r="AB755" s="302"/>
      <c r="AC755" s="306"/>
      <c r="AD755" s="261"/>
      <c r="AE755" s="261"/>
      <c r="AF755" s="282"/>
    </row>
    <row r="756" spans="2:32" hidden="1">
      <c r="B756" s="266"/>
      <c r="C756" s="220"/>
      <c r="D756" s="220"/>
      <c r="E756" s="220"/>
      <c r="F756" s="220"/>
      <c r="G756" s="223"/>
      <c r="H756" s="226"/>
      <c r="I756" s="226"/>
      <c r="J756" s="216"/>
      <c r="K756" s="216"/>
      <c r="L756" s="216"/>
      <c r="M756" s="230"/>
      <c r="N756" s="234"/>
      <c r="O756" s="238"/>
      <c r="P756" s="243"/>
      <c r="Q756" s="244"/>
      <c r="R756" s="301"/>
      <c r="S756" s="250"/>
      <c r="T756" s="301"/>
      <c r="U756" s="250"/>
      <c r="V756" s="301"/>
      <c r="W756" s="250"/>
      <c r="X756" s="254"/>
      <c r="Y756" s="301"/>
      <c r="Z756" s="258"/>
      <c r="AA756" s="250"/>
      <c r="AB756" s="301"/>
      <c r="AC756" s="305"/>
      <c r="AD756" s="262"/>
      <c r="AE756" s="262"/>
      <c r="AF756" s="283"/>
    </row>
    <row r="757" spans="2:32" hidden="1">
      <c r="B757" s="267"/>
      <c r="C757" s="219"/>
      <c r="D757" s="219"/>
      <c r="E757" s="219"/>
      <c r="F757" s="219"/>
      <c r="G757" s="222"/>
      <c r="H757" s="227"/>
      <c r="I757" s="227"/>
      <c r="J757" s="217"/>
      <c r="K757" s="217"/>
      <c r="L757" s="217"/>
      <c r="M757" s="231"/>
      <c r="N757" s="235"/>
      <c r="O757" s="239"/>
      <c r="P757" s="245"/>
      <c r="Q757" s="246"/>
      <c r="R757" s="302"/>
      <c r="S757" s="251"/>
      <c r="T757" s="302"/>
      <c r="U757" s="251"/>
      <c r="V757" s="302"/>
      <c r="W757" s="251"/>
      <c r="X757" s="255"/>
      <c r="Y757" s="302"/>
      <c r="Z757" s="259"/>
      <c r="AA757" s="251"/>
      <c r="AB757" s="302"/>
      <c r="AC757" s="306"/>
      <c r="AD757" s="261"/>
      <c r="AE757" s="261"/>
      <c r="AF757" s="282"/>
    </row>
    <row r="758" spans="2:32" hidden="1">
      <c r="B758" s="266"/>
      <c r="C758" s="220"/>
      <c r="D758" s="220"/>
      <c r="E758" s="220"/>
      <c r="F758" s="220"/>
      <c r="G758" s="223"/>
      <c r="H758" s="226"/>
      <c r="I758" s="226"/>
      <c r="J758" s="216"/>
      <c r="K758" s="216"/>
      <c r="L758" s="216"/>
      <c r="M758" s="230"/>
      <c r="N758" s="234"/>
      <c r="O758" s="238"/>
      <c r="P758" s="243"/>
      <c r="Q758" s="244"/>
      <c r="R758" s="301"/>
      <c r="S758" s="250"/>
      <c r="T758" s="301"/>
      <c r="U758" s="250"/>
      <c r="V758" s="301"/>
      <c r="W758" s="250"/>
      <c r="X758" s="254"/>
      <c r="Y758" s="301"/>
      <c r="Z758" s="258"/>
      <c r="AA758" s="250"/>
      <c r="AB758" s="301"/>
      <c r="AC758" s="305"/>
      <c r="AD758" s="262"/>
      <c r="AE758" s="262"/>
      <c r="AF758" s="283"/>
    </row>
    <row r="759" spans="2:32" hidden="1">
      <c r="B759" s="267"/>
      <c r="C759" s="219"/>
      <c r="D759" s="219"/>
      <c r="E759" s="219"/>
      <c r="F759" s="219"/>
      <c r="G759" s="222"/>
      <c r="H759" s="227"/>
      <c r="I759" s="227"/>
      <c r="J759" s="217"/>
      <c r="K759" s="217"/>
      <c r="L759" s="217"/>
      <c r="M759" s="231"/>
      <c r="N759" s="235"/>
      <c r="O759" s="239"/>
      <c r="P759" s="245"/>
      <c r="Q759" s="246"/>
      <c r="R759" s="302"/>
      <c r="S759" s="251"/>
      <c r="T759" s="302"/>
      <c r="U759" s="251"/>
      <c r="V759" s="302"/>
      <c r="W759" s="251"/>
      <c r="X759" s="255"/>
      <c r="Y759" s="302"/>
      <c r="Z759" s="259"/>
      <c r="AA759" s="251"/>
      <c r="AB759" s="302"/>
      <c r="AC759" s="306"/>
      <c r="AD759" s="261"/>
      <c r="AE759" s="261"/>
      <c r="AF759" s="282"/>
    </row>
    <row r="760" spans="2:32" hidden="1">
      <c r="B760" s="266"/>
      <c r="C760" s="220"/>
      <c r="D760" s="220"/>
      <c r="E760" s="220"/>
      <c r="F760" s="220"/>
      <c r="G760" s="223"/>
      <c r="H760" s="226"/>
      <c r="I760" s="226"/>
      <c r="J760" s="216"/>
      <c r="K760" s="216"/>
      <c r="L760" s="216"/>
      <c r="M760" s="230"/>
      <c r="N760" s="234"/>
      <c r="O760" s="238"/>
      <c r="P760" s="243"/>
      <c r="Q760" s="244"/>
      <c r="R760" s="301"/>
      <c r="S760" s="250"/>
      <c r="T760" s="301"/>
      <c r="U760" s="250"/>
      <c r="V760" s="301"/>
      <c r="W760" s="250"/>
      <c r="X760" s="254"/>
      <c r="Y760" s="301"/>
      <c r="Z760" s="258"/>
      <c r="AA760" s="250"/>
      <c r="AB760" s="301"/>
      <c r="AC760" s="305"/>
      <c r="AD760" s="262"/>
      <c r="AE760" s="262"/>
      <c r="AF760" s="283"/>
    </row>
    <row r="761" spans="2:32" hidden="1">
      <c r="B761" s="267"/>
      <c r="C761" s="219"/>
      <c r="D761" s="219"/>
      <c r="E761" s="219"/>
      <c r="F761" s="219"/>
      <c r="G761" s="222"/>
      <c r="H761" s="227"/>
      <c r="I761" s="227"/>
      <c r="J761" s="217"/>
      <c r="K761" s="217"/>
      <c r="L761" s="217"/>
      <c r="M761" s="231"/>
      <c r="N761" s="235"/>
      <c r="O761" s="239"/>
      <c r="P761" s="245"/>
      <c r="Q761" s="246"/>
      <c r="R761" s="302"/>
      <c r="S761" s="251"/>
      <c r="T761" s="302"/>
      <c r="U761" s="251"/>
      <c r="V761" s="302"/>
      <c r="W761" s="251"/>
      <c r="X761" s="255"/>
      <c r="Y761" s="302"/>
      <c r="Z761" s="259"/>
      <c r="AA761" s="251"/>
      <c r="AB761" s="302"/>
      <c r="AC761" s="306"/>
      <c r="AD761" s="261"/>
      <c r="AE761" s="261"/>
      <c r="AF761" s="282"/>
    </row>
    <row r="762" spans="2:32" hidden="1">
      <c r="B762" s="266"/>
      <c r="C762" s="220"/>
      <c r="D762" s="220"/>
      <c r="E762" s="220"/>
      <c r="F762" s="220"/>
      <c r="G762" s="223"/>
      <c r="H762" s="226"/>
      <c r="I762" s="226"/>
      <c r="J762" s="216"/>
      <c r="K762" s="216"/>
      <c r="L762" s="216"/>
      <c r="M762" s="230"/>
      <c r="N762" s="234"/>
      <c r="O762" s="238"/>
      <c r="P762" s="243"/>
      <c r="Q762" s="244"/>
      <c r="R762" s="301"/>
      <c r="S762" s="250"/>
      <c r="T762" s="301"/>
      <c r="U762" s="250"/>
      <c r="V762" s="301"/>
      <c r="W762" s="250"/>
      <c r="X762" s="254"/>
      <c r="Y762" s="301"/>
      <c r="Z762" s="258"/>
      <c r="AA762" s="250"/>
      <c r="AB762" s="301"/>
      <c r="AC762" s="305"/>
      <c r="AD762" s="262"/>
      <c r="AE762" s="262"/>
      <c r="AF762" s="283"/>
    </row>
    <row r="763" spans="2:32" hidden="1">
      <c r="B763" s="267"/>
      <c r="C763" s="219"/>
      <c r="D763" s="219"/>
      <c r="E763" s="219"/>
      <c r="F763" s="219"/>
      <c r="G763" s="222"/>
      <c r="H763" s="227"/>
      <c r="I763" s="227"/>
      <c r="J763" s="217"/>
      <c r="K763" s="217"/>
      <c r="L763" s="217"/>
      <c r="M763" s="231"/>
      <c r="N763" s="235"/>
      <c r="O763" s="239"/>
      <c r="P763" s="245"/>
      <c r="Q763" s="246"/>
      <c r="R763" s="302"/>
      <c r="S763" s="251"/>
      <c r="T763" s="302"/>
      <c r="U763" s="251"/>
      <c r="V763" s="302"/>
      <c r="W763" s="251"/>
      <c r="X763" s="255"/>
      <c r="Y763" s="302"/>
      <c r="Z763" s="259"/>
      <c r="AA763" s="251"/>
      <c r="AB763" s="302"/>
      <c r="AC763" s="306"/>
      <c r="AD763" s="261"/>
      <c r="AE763" s="261"/>
      <c r="AF763" s="282"/>
    </row>
    <row r="764" spans="2:32" hidden="1">
      <c r="B764" s="266"/>
      <c r="C764" s="220"/>
      <c r="D764" s="220"/>
      <c r="E764" s="220"/>
      <c r="F764" s="220"/>
      <c r="G764" s="223"/>
      <c r="H764" s="226"/>
      <c r="I764" s="226"/>
      <c r="J764" s="216"/>
      <c r="K764" s="216"/>
      <c r="L764" s="216"/>
      <c r="M764" s="230"/>
      <c r="N764" s="234"/>
      <c r="O764" s="238"/>
      <c r="P764" s="243"/>
      <c r="Q764" s="244"/>
      <c r="R764" s="301"/>
      <c r="S764" s="250"/>
      <c r="T764" s="301"/>
      <c r="U764" s="250"/>
      <c r="V764" s="301"/>
      <c r="W764" s="250"/>
      <c r="X764" s="254"/>
      <c r="Y764" s="301"/>
      <c r="Z764" s="258"/>
      <c r="AA764" s="250"/>
      <c r="AB764" s="301"/>
      <c r="AC764" s="305"/>
      <c r="AD764" s="262"/>
      <c r="AE764" s="262"/>
      <c r="AF764" s="283"/>
    </row>
    <row r="765" spans="2:32" hidden="1">
      <c r="B765" s="267"/>
      <c r="C765" s="219"/>
      <c r="D765" s="219"/>
      <c r="E765" s="219"/>
      <c r="F765" s="219"/>
      <c r="G765" s="222"/>
      <c r="H765" s="227"/>
      <c r="I765" s="227"/>
      <c r="J765" s="217"/>
      <c r="K765" s="217"/>
      <c r="L765" s="217"/>
      <c r="M765" s="231"/>
      <c r="N765" s="235"/>
      <c r="O765" s="239"/>
      <c r="P765" s="245"/>
      <c r="Q765" s="246"/>
      <c r="R765" s="302"/>
      <c r="S765" s="251"/>
      <c r="T765" s="302"/>
      <c r="U765" s="251"/>
      <c r="V765" s="302"/>
      <c r="W765" s="251"/>
      <c r="X765" s="255"/>
      <c r="Y765" s="302"/>
      <c r="Z765" s="259"/>
      <c r="AA765" s="251"/>
      <c r="AB765" s="302"/>
      <c r="AC765" s="306"/>
      <c r="AD765" s="261"/>
      <c r="AE765" s="261"/>
      <c r="AF765" s="282"/>
    </row>
    <row r="766" spans="2:32" hidden="1">
      <c r="B766" s="266"/>
      <c r="C766" s="220"/>
      <c r="D766" s="220"/>
      <c r="E766" s="220"/>
      <c r="F766" s="220"/>
      <c r="G766" s="223"/>
      <c r="H766" s="226"/>
      <c r="I766" s="226"/>
      <c r="J766" s="216"/>
      <c r="K766" s="216"/>
      <c r="L766" s="216"/>
      <c r="M766" s="230"/>
      <c r="N766" s="234"/>
      <c r="O766" s="238"/>
      <c r="P766" s="243"/>
      <c r="Q766" s="244"/>
      <c r="R766" s="301"/>
      <c r="S766" s="250"/>
      <c r="T766" s="301"/>
      <c r="U766" s="250"/>
      <c r="V766" s="301"/>
      <c r="W766" s="250"/>
      <c r="X766" s="254"/>
      <c r="Y766" s="301"/>
      <c r="Z766" s="258"/>
      <c r="AA766" s="250"/>
      <c r="AB766" s="301"/>
      <c r="AC766" s="305"/>
      <c r="AD766" s="262"/>
      <c r="AE766" s="262"/>
      <c r="AF766" s="283"/>
    </row>
    <row r="767" spans="2:32" hidden="1">
      <c r="B767" s="267"/>
      <c r="C767" s="219"/>
      <c r="D767" s="219"/>
      <c r="E767" s="219"/>
      <c r="F767" s="219"/>
      <c r="G767" s="222"/>
      <c r="H767" s="227"/>
      <c r="I767" s="227"/>
      <c r="J767" s="217"/>
      <c r="K767" s="217"/>
      <c r="L767" s="217"/>
      <c r="M767" s="231"/>
      <c r="N767" s="235"/>
      <c r="O767" s="239"/>
      <c r="P767" s="245"/>
      <c r="Q767" s="246"/>
      <c r="R767" s="302"/>
      <c r="S767" s="251"/>
      <c r="T767" s="302"/>
      <c r="U767" s="251"/>
      <c r="V767" s="302"/>
      <c r="W767" s="251"/>
      <c r="X767" s="255"/>
      <c r="Y767" s="302"/>
      <c r="Z767" s="259"/>
      <c r="AA767" s="251"/>
      <c r="AB767" s="302"/>
      <c r="AC767" s="306"/>
      <c r="AD767" s="261"/>
      <c r="AE767" s="261"/>
      <c r="AF767" s="282"/>
    </row>
    <row r="768" spans="2:32" hidden="1">
      <c r="B768" s="266"/>
      <c r="C768" s="220"/>
      <c r="D768" s="220"/>
      <c r="E768" s="220"/>
      <c r="F768" s="220"/>
      <c r="G768" s="223"/>
      <c r="H768" s="226"/>
      <c r="I768" s="226"/>
      <c r="J768" s="216"/>
      <c r="K768" s="216"/>
      <c r="L768" s="216"/>
      <c r="M768" s="230"/>
      <c r="N768" s="234"/>
      <c r="O768" s="238"/>
      <c r="P768" s="243"/>
      <c r="Q768" s="244"/>
      <c r="R768" s="301"/>
      <c r="S768" s="250"/>
      <c r="T768" s="301"/>
      <c r="U768" s="250"/>
      <c r="V768" s="301"/>
      <c r="W768" s="250"/>
      <c r="X768" s="254"/>
      <c r="Y768" s="301"/>
      <c r="Z768" s="258"/>
      <c r="AA768" s="250"/>
      <c r="AB768" s="301"/>
      <c r="AC768" s="305"/>
      <c r="AD768" s="262"/>
      <c r="AE768" s="262"/>
      <c r="AF768" s="283"/>
    </row>
    <row r="769" spans="2:32" hidden="1">
      <c r="B769" s="267"/>
      <c r="C769" s="219"/>
      <c r="D769" s="219"/>
      <c r="E769" s="219"/>
      <c r="F769" s="219"/>
      <c r="G769" s="222"/>
      <c r="H769" s="227"/>
      <c r="I769" s="227"/>
      <c r="J769" s="217"/>
      <c r="K769" s="217"/>
      <c r="L769" s="217"/>
      <c r="M769" s="231"/>
      <c r="N769" s="235"/>
      <c r="O769" s="239"/>
      <c r="P769" s="245"/>
      <c r="Q769" s="246"/>
      <c r="R769" s="302"/>
      <c r="S769" s="251"/>
      <c r="T769" s="302"/>
      <c r="U769" s="251"/>
      <c r="V769" s="302"/>
      <c r="W769" s="251"/>
      <c r="X769" s="255"/>
      <c r="Y769" s="302"/>
      <c r="Z769" s="259"/>
      <c r="AA769" s="251"/>
      <c r="AB769" s="302"/>
      <c r="AC769" s="306"/>
      <c r="AD769" s="261"/>
      <c r="AE769" s="261"/>
      <c r="AF769" s="282"/>
    </row>
    <row r="770" spans="2:32" hidden="1">
      <c r="B770" s="266"/>
      <c r="C770" s="220"/>
      <c r="D770" s="220"/>
      <c r="E770" s="220"/>
      <c r="F770" s="220"/>
      <c r="G770" s="223"/>
      <c r="H770" s="226"/>
      <c r="I770" s="226"/>
      <c r="J770" s="216"/>
      <c r="K770" s="216"/>
      <c r="L770" s="216"/>
      <c r="M770" s="230"/>
      <c r="N770" s="234"/>
      <c r="O770" s="238"/>
      <c r="P770" s="243"/>
      <c r="Q770" s="244"/>
      <c r="R770" s="301"/>
      <c r="S770" s="250"/>
      <c r="T770" s="301"/>
      <c r="U770" s="250"/>
      <c r="V770" s="301"/>
      <c r="W770" s="250"/>
      <c r="X770" s="254"/>
      <c r="Y770" s="301"/>
      <c r="Z770" s="258"/>
      <c r="AA770" s="250"/>
      <c r="AB770" s="301"/>
      <c r="AC770" s="305"/>
      <c r="AD770" s="262"/>
      <c r="AE770" s="262"/>
      <c r="AF770" s="283"/>
    </row>
    <row r="771" spans="2:32" hidden="1">
      <c r="B771" s="267"/>
      <c r="C771" s="219"/>
      <c r="D771" s="219"/>
      <c r="E771" s="219"/>
      <c r="F771" s="219"/>
      <c r="G771" s="222"/>
      <c r="H771" s="227"/>
      <c r="I771" s="227"/>
      <c r="J771" s="217"/>
      <c r="K771" s="217"/>
      <c r="L771" s="217"/>
      <c r="M771" s="231"/>
      <c r="N771" s="235"/>
      <c r="O771" s="239"/>
      <c r="P771" s="245"/>
      <c r="Q771" s="246"/>
      <c r="R771" s="302"/>
      <c r="S771" s="251"/>
      <c r="T771" s="302"/>
      <c r="U771" s="251"/>
      <c r="V771" s="302"/>
      <c r="W771" s="251"/>
      <c r="X771" s="255"/>
      <c r="Y771" s="302"/>
      <c r="Z771" s="259"/>
      <c r="AA771" s="251"/>
      <c r="AB771" s="302"/>
      <c r="AC771" s="306"/>
      <c r="AD771" s="261"/>
      <c r="AE771" s="261"/>
      <c r="AF771" s="282"/>
    </row>
    <row r="772" spans="2:32" hidden="1">
      <c r="B772" s="266"/>
      <c r="C772" s="220"/>
      <c r="D772" s="220"/>
      <c r="E772" s="220"/>
      <c r="F772" s="220"/>
      <c r="G772" s="223"/>
      <c r="H772" s="226"/>
      <c r="I772" s="226"/>
      <c r="J772" s="216"/>
      <c r="K772" s="216"/>
      <c r="L772" s="216"/>
      <c r="M772" s="230"/>
      <c r="N772" s="234"/>
      <c r="O772" s="238"/>
      <c r="P772" s="243"/>
      <c r="Q772" s="244"/>
      <c r="R772" s="301"/>
      <c r="S772" s="250"/>
      <c r="T772" s="301"/>
      <c r="U772" s="250"/>
      <c r="V772" s="301"/>
      <c r="W772" s="250"/>
      <c r="X772" s="254"/>
      <c r="Y772" s="301"/>
      <c r="Z772" s="258"/>
      <c r="AA772" s="250"/>
      <c r="AB772" s="301"/>
      <c r="AC772" s="305"/>
      <c r="AD772" s="262"/>
      <c r="AE772" s="262"/>
      <c r="AF772" s="283"/>
    </row>
    <row r="773" spans="2:32" hidden="1">
      <c r="B773" s="267"/>
      <c r="C773" s="219"/>
      <c r="D773" s="219"/>
      <c r="E773" s="219"/>
      <c r="F773" s="219"/>
      <c r="G773" s="222"/>
      <c r="H773" s="227"/>
      <c r="I773" s="227"/>
      <c r="J773" s="217"/>
      <c r="K773" s="217"/>
      <c r="L773" s="217"/>
      <c r="M773" s="231"/>
      <c r="N773" s="235"/>
      <c r="O773" s="239"/>
      <c r="P773" s="245"/>
      <c r="Q773" s="246"/>
      <c r="R773" s="302"/>
      <c r="S773" s="251"/>
      <c r="T773" s="302"/>
      <c r="U773" s="251"/>
      <c r="V773" s="302"/>
      <c r="W773" s="251"/>
      <c r="X773" s="255"/>
      <c r="Y773" s="302"/>
      <c r="Z773" s="259"/>
      <c r="AA773" s="251"/>
      <c r="AB773" s="302"/>
      <c r="AC773" s="306"/>
      <c r="AD773" s="261"/>
      <c r="AE773" s="261"/>
      <c r="AF773" s="282"/>
    </row>
    <row r="774" spans="2:32" hidden="1">
      <c r="B774" s="266"/>
      <c r="C774" s="220"/>
      <c r="D774" s="220"/>
      <c r="E774" s="220"/>
      <c r="F774" s="220"/>
      <c r="G774" s="223"/>
      <c r="H774" s="226"/>
      <c r="I774" s="226"/>
      <c r="J774" s="216"/>
      <c r="K774" s="216"/>
      <c r="L774" s="216"/>
      <c r="M774" s="230"/>
      <c r="N774" s="234"/>
      <c r="O774" s="238"/>
      <c r="P774" s="243"/>
      <c r="Q774" s="244"/>
      <c r="R774" s="301"/>
      <c r="S774" s="250"/>
      <c r="T774" s="301"/>
      <c r="U774" s="250"/>
      <c r="V774" s="301"/>
      <c r="W774" s="250"/>
      <c r="X774" s="254"/>
      <c r="Y774" s="301"/>
      <c r="Z774" s="258"/>
      <c r="AA774" s="250"/>
      <c r="AB774" s="301"/>
      <c r="AC774" s="305"/>
      <c r="AD774" s="262"/>
      <c r="AE774" s="262"/>
      <c r="AF774" s="283"/>
    </row>
    <row r="775" spans="2:32" hidden="1">
      <c r="B775" s="267"/>
      <c r="C775" s="219"/>
      <c r="D775" s="219"/>
      <c r="E775" s="219"/>
      <c r="F775" s="219"/>
      <c r="G775" s="222"/>
      <c r="H775" s="227"/>
      <c r="I775" s="227"/>
      <c r="J775" s="217"/>
      <c r="K775" s="217"/>
      <c r="L775" s="217"/>
      <c r="M775" s="231"/>
      <c r="N775" s="235"/>
      <c r="O775" s="239"/>
      <c r="P775" s="245"/>
      <c r="Q775" s="246"/>
      <c r="R775" s="302"/>
      <c r="S775" s="251"/>
      <c r="T775" s="302"/>
      <c r="U775" s="251"/>
      <c r="V775" s="302"/>
      <c r="W775" s="251"/>
      <c r="X775" s="255"/>
      <c r="Y775" s="302"/>
      <c r="Z775" s="259"/>
      <c r="AA775" s="251"/>
      <c r="AB775" s="302"/>
      <c r="AC775" s="306"/>
      <c r="AD775" s="261"/>
      <c r="AE775" s="261"/>
      <c r="AF775" s="282"/>
    </row>
    <row r="776" spans="2:32" hidden="1">
      <c r="B776" s="266"/>
      <c r="C776" s="220"/>
      <c r="D776" s="220"/>
      <c r="E776" s="220"/>
      <c r="F776" s="220"/>
      <c r="G776" s="223"/>
      <c r="H776" s="226"/>
      <c r="I776" s="226"/>
      <c r="J776" s="216"/>
      <c r="K776" s="216"/>
      <c r="L776" s="216"/>
      <c r="M776" s="230"/>
      <c r="N776" s="234"/>
      <c r="O776" s="238"/>
      <c r="P776" s="243"/>
      <c r="Q776" s="244"/>
      <c r="R776" s="301"/>
      <c r="S776" s="250"/>
      <c r="T776" s="301"/>
      <c r="U776" s="250"/>
      <c r="V776" s="301"/>
      <c r="W776" s="250"/>
      <c r="X776" s="254"/>
      <c r="Y776" s="301"/>
      <c r="Z776" s="258"/>
      <c r="AA776" s="250"/>
      <c r="AB776" s="301"/>
      <c r="AC776" s="305"/>
      <c r="AD776" s="262"/>
      <c r="AE776" s="262"/>
      <c r="AF776" s="283"/>
    </row>
    <row r="777" spans="2:32" hidden="1">
      <c r="B777" s="267"/>
      <c r="C777" s="219"/>
      <c r="D777" s="219"/>
      <c r="E777" s="219"/>
      <c r="F777" s="219"/>
      <c r="G777" s="222"/>
      <c r="H777" s="227"/>
      <c r="I777" s="227"/>
      <c r="J777" s="217"/>
      <c r="K777" s="217"/>
      <c r="L777" s="217"/>
      <c r="M777" s="231"/>
      <c r="N777" s="235"/>
      <c r="O777" s="239"/>
      <c r="P777" s="245"/>
      <c r="Q777" s="246"/>
      <c r="R777" s="302"/>
      <c r="S777" s="251"/>
      <c r="T777" s="302"/>
      <c r="U777" s="251"/>
      <c r="V777" s="302"/>
      <c r="W777" s="251"/>
      <c r="X777" s="255"/>
      <c r="Y777" s="302"/>
      <c r="Z777" s="259"/>
      <c r="AA777" s="251"/>
      <c r="AB777" s="302"/>
      <c r="AC777" s="306"/>
      <c r="AD777" s="261"/>
      <c r="AE777" s="261"/>
      <c r="AF777" s="282"/>
    </row>
    <row r="778" spans="2:32" hidden="1">
      <c r="B778" s="266"/>
      <c r="C778" s="220"/>
      <c r="D778" s="220"/>
      <c r="E778" s="220"/>
      <c r="F778" s="220"/>
      <c r="G778" s="223"/>
      <c r="H778" s="226"/>
      <c r="I778" s="226"/>
      <c r="J778" s="216"/>
      <c r="K778" s="216"/>
      <c r="L778" s="216"/>
      <c r="M778" s="230"/>
      <c r="N778" s="234"/>
      <c r="O778" s="238"/>
      <c r="P778" s="243"/>
      <c r="Q778" s="244"/>
      <c r="R778" s="301"/>
      <c r="S778" s="250"/>
      <c r="T778" s="301"/>
      <c r="U778" s="250"/>
      <c r="V778" s="301"/>
      <c r="W778" s="250"/>
      <c r="X778" s="254"/>
      <c r="Y778" s="301"/>
      <c r="Z778" s="258"/>
      <c r="AA778" s="250"/>
      <c r="AB778" s="301"/>
      <c r="AC778" s="305"/>
      <c r="AD778" s="262"/>
      <c r="AE778" s="262"/>
      <c r="AF778" s="283"/>
    </row>
    <row r="779" spans="2:32" hidden="1">
      <c r="B779" s="267"/>
      <c r="C779" s="219"/>
      <c r="D779" s="219"/>
      <c r="E779" s="219"/>
      <c r="F779" s="219"/>
      <c r="G779" s="222"/>
      <c r="H779" s="227"/>
      <c r="I779" s="227"/>
      <c r="J779" s="217"/>
      <c r="K779" s="217"/>
      <c r="L779" s="217"/>
      <c r="M779" s="231"/>
      <c r="N779" s="235"/>
      <c r="O779" s="239"/>
      <c r="P779" s="245"/>
      <c r="Q779" s="246"/>
      <c r="R779" s="302"/>
      <c r="S779" s="251"/>
      <c r="T779" s="302"/>
      <c r="U779" s="251"/>
      <c r="V779" s="302"/>
      <c r="W779" s="251"/>
      <c r="X779" s="255"/>
      <c r="Y779" s="302"/>
      <c r="Z779" s="259"/>
      <c r="AA779" s="251"/>
      <c r="AB779" s="302"/>
      <c r="AC779" s="306"/>
      <c r="AD779" s="261"/>
      <c r="AE779" s="261"/>
      <c r="AF779" s="282"/>
    </row>
    <row r="780" spans="2:32" hidden="1">
      <c r="B780" s="266"/>
      <c r="C780" s="220"/>
      <c r="D780" s="220"/>
      <c r="E780" s="220"/>
      <c r="F780" s="220"/>
      <c r="G780" s="223"/>
      <c r="H780" s="226"/>
      <c r="I780" s="226"/>
      <c r="J780" s="216"/>
      <c r="K780" s="216"/>
      <c r="L780" s="216"/>
      <c r="M780" s="230"/>
      <c r="N780" s="234"/>
      <c r="O780" s="238"/>
      <c r="P780" s="243"/>
      <c r="Q780" s="244"/>
      <c r="R780" s="301"/>
      <c r="S780" s="250"/>
      <c r="T780" s="301"/>
      <c r="U780" s="250"/>
      <c r="V780" s="301"/>
      <c r="W780" s="250"/>
      <c r="X780" s="254"/>
      <c r="Y780" s="301"/>
      <c r="Z780" s="258"/>
      <c r="AA780" s="250"/>
      <c r="AB780" s="301"/>
      <c r="AC780" s="305"/>
      <c r="AD780" s="262"/>
      <c r="AE780" s="262"/>
      <c r="AF780" s="283"/>
    </row>
    <row r="781" spans="2:32" hidden="1">
      <c r="B781" s="267"/>
      <c r="C781" s="219"/>
      <c r="D781" s="219"/>
      <c r="E781" s="219"/>
      <c r="F781" s="219"/>
      <c r="G781" s="222"/>
      <c r="H781" s="227"/>
      <c r="I781" s="227"/>
      <c r="J781" s="217"/>
      <c r="K781" s="217"/>
      <c r="L781" s="217"/>
      <c r="M781" s="231"/>
      <c r="N781" s="235"/>
      <c r="O781" s="239"/>
      <c r="P781" s="245"/>
      <c r="Q781" s="246"/>
      <c r="R781" s="302"/>
      <c r="S781" s="251"/>
      <c r="T781" s="302"/>
      <c r="U781" s="251"/>
      <c r="V781" s="302"/>
      <c r="W781" s="251"/>
      <c r="X781" s="255"/>
      <c r="Y781" s="302"/>
      <c r="Z781" s="259"/>
      <c r="AA781" s="251"/>
      <c r="AB781" s="302"/>
      <c r="AC781" s="306"/>
      <c r="AD781" s="261"/>
      <c r="AE781" s="261"/>
      <c r="AF781" s="282"/>
    </row>
    <row r="782" spans="2:32" hidden="1">
      <c r="B782" s="266"/>
      <c r="C782" s="220"/>
      <c r="D782" s="220"/>
      <c r="E782" s="220"/>
      <c r="F782" s="220"/>
      <c r="G782" s="223"/>
      <c r="H782" s="226"/>
      <c r="I782" s="226"/>
      <c r="J782" s="216"/>
      <c r="K782" s="216"/>
      <c r="L782" s="216"/>
      <c r="M782" s="230"/>
      <c r="N782" s="234"/>
      <c r="O782" s="238"/>
      <c r="P782" s="243"/>
      <c r="Q782" s="244"/>
      <c r="R782" s="301"/>
      <c r="S782" s="250"/>
      <c r="T782" s="301"/>
      <c r="U782" s="250"/>
      <c r="V782" s="301"/>
      <c r="W782" s="250"/>
      <c r="X782" s="254"/>
      <c r="Y782" s="301"/>
      <c r="Z782" s="258"/>
      <c r="AA782" s="250"/>
      <c r="AB782" s="301"/>
      <c r="AC782" s="305"/>
      <c r="AD782" s="262"/>
      <c r="AE782" s="262"/>
      <c r="AF782" s="283"/>
    </row>
    <row r="783" spans="2:32" hidden="1">
      <c r="B783" s="267"/>
      <c r="C783" s="219"/>
      <c r="D783" s="219"/>
      <c r="E783" s="219"/>
      <c r="F783" s="219"/>
      <c r="G783" s="222"/>
      <c r="H783" s="227"/>
      <c r="I783" s="227"/>
      <c r="J783" s="217"/>
      <c r="K783" s="217"/>
      <c r="L783" s="217"/>
      <c r="M783" s="231"/>
      <c r="N783" s="235"/>
      <c r="O783" s="239"/>
      <c r="P783" s="245"/>
      <c r="Q783" s="246"/>
      <c r="R783" s="302"/>
      <c r="S783" s="251"/>
      <c r="T783" s="302"/>
      <c r="U783" s="251"/>
      <c r="V783" s="302"/>
      <c r="W783" s="251"/>
      <c r="X783" s="255"/>
      <c r="Y783" s="302"/>
      <c r="Z783" s="259"/>
      <c r="AA783" s="251"/>
      <c r="AB783" s="302"/>
      <c r="AC783" s="306"/>
      <c r="AD783" s="261"/>
      <c r="AE783" s="261"/>
      <c r="AF783" s="282"/>
    </row>
    <row r="784" spans="2:32" hidden="1">
      <c r="B784" s="266"/>
      <c r="C784" s="220"/>
      <c r="D784" s="220"/>
      <c r="E784" s="220"/>
      <c r="F784" s="220"/>
      <c r="G784" s="223"/>
      <c r="H784" s="226"/>
      <c r="I784" s="226"/>
      <c r="J784" s="216"/>
      <c r="K784" s="216"/>
      <c r="L784" s="216"/>
      <c r="M784" s="230"/>
      <c r="N784" s="234"/>
      <c r="O784" s="238"/>
      <c r="P784" s="243"/>
      <c r="Q784" s="244"/>
      <c r="R784" s="301"/>
      <c r="S784" s="250"/>
      <c r="T784" s="301"/>
      <c r="U784" s="250"/>
      <c r="V784" s="301"/>
      <c r="W784" s="250"/>
      <c r="X784" s="254"/>
      <c r="Y784" s="301"/>
      <c r="Z784" s="258"/>
      <c r="AA784" s="250"/>
      <c r="AB784" s="301"/>
      <c r="AC784" s="305"/>
      <c r="AD784" s="262"/>
      <c r="AE784" s="262"/>
      <c r="AF784" s="283"/>
    </row>
    <row r="785" spans="2:32" hidden="1">
      <c r="B785" s="267"/>
      <c r="C785" s="219"/>
      <c r="D785" s="219"/>
      <c r="E785" s="219"/>
      <c r="F785" s="219"/>
      <c r="G785" s="222"/>
      <c r="H785" s="227"/>
      <c r="I785" s="227"/>
      <c r="J785" s="217"/>
      <c r="K785" s="217"/>
      <c r="L785" s="217"/>
      <c r="M785" s="231"/>
      <c r="N785" s="235"/>
      <c r="O785" s="239"/>
      <c r="P785" s="245"/>
      <c r="Q785" s="246"/>
      <c r="R785" s="302"/>
      <c r="S785" s="251"/>
      <c r="T785" s="302"/>
      <c r="U785" s="251"/>
      <c r="V785" s="302"/>
      <c r="W785" s="251"/>
      <c r="X785" s="255"/>
      <c r="Y785" s="302"/>
      <c r="Z785" s="259"/>
      <c r="AA785" s="251"/>
      <c r="AB785" s="302"/>
      <c r="AC785" s="306"/>
      <c r="AD785" s="261"/>
      <c r="AE785" s="261"/>
      <c r="AF785" s="282"/>
    </row>
    <row r="786" spans="2:32" hidden="1">
      <c r="B786" s="266"/>
      <c r="C786" s="220"/>
      <c r="D786" s="220"/>
      <c r="E786" s="220"/>
      <c r="F786" s="220"/>
      <c r="G786" s="223"/>
      <c r="H786" s="226"/>
      <c r="I786" s="226"/>
      <c r="J786" s="216"/>
      <c r="K786" s="216"/>
      <c r="L786" s="216"/>
      <c r="M786" s="230"/>
      <c r="N786" s="234"/>
      <c r="O786" s="238"/>
      <c r="P786" s="243"/>
      <c r="Q786" s="244"/>
      <c r="R786" s="301"/>
      <c r="S786" s="250"/>
      <c r="T786" s="301"/>
      <c r="U786" s="250"/>
      <c r="V786" s="301"/>
      <c r="W786" s="250"/>
      <c r="X786" s="254"/>
      <c r="Y786" s="301"/>
      <c r="Z786" s="258"/>
      <c r="AA786" s="250"/>
      <c r="AB786" s="301"/>
      <c r="AC786" s="305"/>
      <c r="AD786" s="262"/>
      <c r="AE786" s="262"/>
      <c r="AF786" s="283"/>
    </row>
    <row r="787" spans="2:32" hidden="1">
      <c r="B787" s="267"/>
      <c r="C787" s="219"/>
      <c r="D787" s="219"/>
      <c r="E787" s="219"/>
      <c r="F787" s="219"/>
      <c r="G787" s="222"/>
      <c r="H787" s="227"/>
      <c r="I787" s="227"/>
      <c r="J787" s="217"/>
      <c r="K787" s="217"/>
      <c r="L787" s="217"/>
      <c r="M787" s="231"/>
      <c r="N787" s="235"/>
      <c r="O787" s="239"/>
      <c r="P787" s="245"/>
      <c r="Q787" s="246"/>
      <c r="R787" s="302"/>
      <c r="S787" s="251"/>
      <c r="T787" s="302"/>
      <c r="U787" s="251"/>
      <c r="V787" s="302"/>
      <c r="W787" s="251"/>
      <c r="X787" s="255"/>
      <c r="Y787" s="302"/>
      <c r="Z787" s="259"/>
      <c r="AA787" s="251"/>
      <c r="AB787" s="302"/>
      <c r="AC787" s="306"/>
      <c r="AD787" s="261"/>
      <c r="AE787" s="261"/>
      <c r="AF787" s="282"/>
    </row>
    <row r="788" spans="2:32" hidden="1">
      <c r="B788" s="266"/>
      <c r="C788" s="220"/>
      <c r="D788" s="220"/>
      <c r="E788" s="220"/>
      <c r="F788" s="220"/>
      <c r="G788" s="223"/>
      <c r="H788" s="226"/>
      <c r="I788" s="226"/>
      <c r="J788" s="216"/>
      <c r="K788" s="216"/>
      <c r="L788" s="216"/>
      <c r="M788" s="230"/>
      <c r="N788" s="234"/>
      <c r="O788" s="238"/>
      <c r="P788" s="243"/>
      <c r="Q788" s="244"/>
      <c r="R788" s="301"/>
      <c r="S788" s="250"/>
      <c r="T788" s="301"/>
      <c r="U788" s="250"/>
      <c r="V788" s="301"/>
      <c r="W788" s="250"/>
      <c r="X788" s="254"/>
      <c r="Y788" s="301"/>
      <c r="Z788" s="258"/>
      <c r="AA788" s="250"/>
      <c r="AB788" s="301"/>
      <c r="AC788" s="305"/>
      <c r="AD788" s="262"/>
      <c r="AE788" s="262"/>
      <c r="AF788" s="283"/>
    </row>
    <row r="789" spans="2:32" hidden="1">
      <c r="B789" s="267"/>
      <c r="C789" s="219"/>
      <c r="D789" s="219"/>
      <c r="E789" s="219"/>
      <c r="F789" s="219"/>
      <c r="G789" s="222"/>
      <c r="H789" s="227"/>
      <c r="I789" s="227"/>
      <c r="J789" s="217"/>
      <c r="K789" s="217"/>
      <c r="L789" s="217"/>
      <c r="M789" s="231"/>
      <c r="N789" s="235"/>
      <c r="O789" s="239"/>
      <c r="P789" s="245"/>
      <c r="Q789" s="246"/>
      <c r="R789" s="302"/>
      <c r="S789" s="251"/>
      <c r="T789" s="302"/>
      <c r="U789" s="251"/>
      <c r="V789" s="302"/>
      <c r="W789" s="251"/>
      <c r="X789" s="255"/>
      <c r="Y789" s="302"/>
      <c r="Z789" s="259"/>
      <c r="AA789" s="251"/>
      <c r="AB789" s="302"/>
      <c r="AC789" s="306"/>
      <c r="AD789" s="261"/>
      <c r="AE789" s="261"/>
      <c r="AF789" s="282"/>
    </row>
    <row r="790" spans="2:32" hidden="1">
      <c r="B790" s="266"/>
      <c r="C790" s="220"/>
      <c r="D790" s="220"/>
      <c r="E790" s="220"/>
      <c r="F790" s="220"/>
      <c r="G790" s="223"/>
      <c r="H790" s="226"/>
      <c r="I790" s="226"/>
      <c r="J790" s="216"/>
      <c r="K790" s="216"/>
      <c r="L790" s="216"/>
      <c r="M790" s="230"/>
      <c r="N790" s="234"/>
      <c r="O790" s="238"/>
      <c r="P790" s="243"/>
      <c r="Q790" s="244"/>
      <c r="R790" s="301"/>
      <c r="S790" s="250"/>
      <c r="T790" s="301"/>
      <c r="U790" s="250"/>
      <c r="V790" s="301"/>
      <c r="W790" s="250"/>
      <c r="X790" s="254"/>
      <c r="Y790" s="301"/>
      <c r="Z790" s="258"/>
      <c r="AA790" s="250"/>
      <c r="AB790" s="301"/>
      <c r="AC790" s="305"/>
      <c r="AD790" s="262"/>
      <c r="AE790" s="262"/>
      <c r="AF790" s="283"/>
    </row>
    <row r="791" spans="2:32" hidden="1">
      <c r="B791" s="267"/>
      <c r="C791" s="219"/>
      <c r="D791" s="219"/>
      <c r="E791" s="219"/>
      <c r="F791" s="219"/>
      <c r="G791" s="222"/>
      <c r="H791" s="227"/>
      <c r="I791" s="227"/>
      <c r="J791" s="217"/>
      <c r="K791" s="217"/>
      <c r="L791" s="217"/>
      <c r="M791" s="231"/>
      <c r="N791" s="235"/>
      <c r="O791" s="239"/>
      <c r="P791" s="245"/>
      <c r="Q791" s="246"/>
      <c r="R791" s="302"/>
      <c r="S791" s="251"/>
      <c r="T791" s="302"/>
      <c r="U791" s="251"/>
      <c r="V791" s="302"/>
      <c r="W791" s="251"/>
      <c r="X791" s="255"/>
      <c r="Y791" s="302"/>
      <c r="Z791" s="259"/>
      <c r="AA791" s="251"/>
      <c r="AB791" s="302"/>
      <c r="AC791" s="306"/>
      <c r="AD791" s="261"/>
      <c r="AE791" s="261"/>
      <c r="AF791" s="282"/>
    </row>
    <row r="792" spans="2:32" hidden="1">
      <c r="B792" s="266"/>
      <c r="C792" s="220"/>
      <c r="D792" s="220"/>
      <c r="E792" s="220"/>
      <c r="F792" s="220"/>
      <c r="G792" s="223"/>
      <c r="H792" s="226"/>
      <c r="I792" s="226"/>
      <c r="J792" s="216"/>
      <c r="K792" s="216"/>
      <c r="L792" s="216"/>
      <c r="M792" s="230"/>
      <c r="N792" s="234"/>
      <c r="O792" s="238"/>
      <c r="P792" s="243"/>
      <c r="Q792" s="244"/>
      <c r="R792" s="301"/>
      <c r="S792" s="250"/>
      <c r="T792" s="301"/>
      <c r="U792" s="250"/>
      <c r="V792" s="301"/>
      <c r="W792" s="250"/>
      <c r="X792" s="254"/>
      <c r="Y792" s="301"/>
      <c r="Z792" s="258"/>
      <c r="AA792" s="250"/>
      <c r="AB792" s="301"/>
      <c r="AC792" s="305"/>
      <c r="AD792" s="262"/>
      <c r="AE792" s="262"/>
      <c r="AF792" s="283"/>
    </row>
    <row r="793" spans="2:32" hidden="1">
      <c r="B793" s="267"/>
      <c r="C793" s="219"/>
      <c r="D793" s="219"/>
      <c r="E793" s="219"/>
      <c r="F793" s="219"/>
      <c r="G793" s="222"/>
      <c r="H793" s="227"/>
      <c r="I793" s="227"/>
      <c r="J793" s="217"/>
      <c r="K793" s="217"/>
      <c r="L793" s="217"/>
      <c r="M793" s="231"/>
      <c r="N793" s="235"/>
      <c r="O793" s="239"/>
      <c r="P793" s="245"/>
      <c r="Q793" s="246"/>
      <c r="R793" s="302"/>
      <c r="S793" s="251"/>
      <c r="T793" s="302"/>
      <c r="U793" s="251"/>
      <c r="V793" s="302"/>
      <c r="W793" s="251"/>
      <c r="X793" s="255"/>
      <c r="Y793" s="302"/>
      <c r="Z793" s="259"/>
      <c r="AA793" s="251"/>
      <c r="AB793" s="302"/>
      <c r="AC793" s="306"/>
      <c r="AD793" s="261"/>
      <c r="AE793" s="261"/>
      <c r="AF793" s="282"/>
    </row>
    <row r="794" spans="2:32" hidden="1">
      <c r="B794" s="266"/>
      <c r="C794" s="220"/>
      <c r="D794" s="220"/>
      <c r="E794" s="220"/>
      <c r="F794" s="220"/>
      <c r="G794" s="223"/>
      <c r="H794" s="226"/>
      <c r="I794" s="226"/>
      <c r="J794" s="216"/>
      <c r="K794" s="216"/>
      <c r="L794" s="216"/>
      <c r="M794" s="230"/>
      <c r="N794" s="234"/>
      <c r="O794" s="238"/>
      <c r="P794" s="243"/>
      <c r="Q794" s="244"/>
      <c r="R794" s="301"/>
      <c r="S794" s="250"/>
      <c r="T794" s="301"/>
      <c r="U794" s="250"/>
      <c r="V794" s="301"/>
      <c r="W794" s="250"/>
      <c r="X794" s="254"/>
      <c r="Y794" s="301"/>
      <c r="Z794" s="258"/>
      <c r="AA794" s="250"/>
      <c r="AB794" s="301"/>
      <c r="AC794" s="305"/>
      <c r="AD794" s="262"/>
      <c r="AE794" s="262"/>
      <c r="AF794" s="283"/>
    </row>
    <row r="795" spans="2:32" hidden="1">
      <c r="B795" s="267"/>
      <c r="C795" s="219"/>
      <c r="D795" s="219"/>
      <c r="E795" s="219"/>
      <c r="F795" s="219"/>
      <c r="G795" s="222"/>
      <c r="H795" s="227"/>
      <c r="I795" s="227"/>
      <c r="J795" s="217"/>
      <c r="K795" s="217"/>
      <c r="L795" s="217"/>
      <c r="M795" s="231"/>
      <c r="N795" s="235"/>
      <c r="O795" s="239"/>
      <c r="P795" s="245"/>
      <c r="Q795" s="246"/>
      <c r="R795" s="302"/>
      <c r="S795" s="251"/>
      <c r="T795" s="302"/>
      <c r="U795" s="251"/>
      <c r="V795" s="302"/>
      <c r="W795" s="251"/>
      <c r="X795" s="255"/>
      <c r="Y795" s="302"/>
      <c r="Z795" s="259"/>
      <c r="AA795" s="251"/>
      <c r="AB795" s="302"/>
      <c r="AC795" s="306"/>
      <c r="AD795" s="261"/>
      <c r="AE795" s="261"/>
      <c r="AF795" s="282"/>
    </row>
    <row r="796" spans="2:32" hidden="1">
      <c r="B796" s="266"/>
      <c r="C796" s="220"/>
      <c r="D796" s="220"/>
      <c r="E796" s="220"/>
      <c r="F796" s="220"/>
      <c r="G796" s="223"/>
      <c r="H796" s="226"/>
      <c r="I796" s="226"/>
      <c r="J796" s="216"/>
      <c r="K796" s="216"/>
      <c r="L796" s="216"/>
      <c r="M796" s="230"/>
      <c r="N796" s="234"/>
      <c r="O796" s="238"/>
      <c r="P796" s="243"/>
      <c r="Q796" s="244"/>
      <c r="R796" s="301"/>
      <c r="S796" s="250"/>
      <c r="T796" s="301"/>
      <c r="U796" s="250"/>
      <c r="V796" s="301"/>
      <c r="W796" s="250"/>
      <c r="X796" s="254"/>
      <c r="Y796" s="301"/>
      <c r="Z796" s="258"/>
      <c r="AA796" s="250"/>
      <c r="AB796" s="301"/>
      <c r="AC796" s="305"/>
      <c r="AD796" s="262"/>
      <c r="AE796" s="262"/>
      <c r="AF796" s="283"/>
    </row>
    <row r="797" spans="2:32" hidden="1">
      <c r="B797" s="267"/>
      <c r="C797" s="219"/>
      <c r="D797" s="219"/>
      <c r="E797" s="219"/>
      <c r="F797" s="219"/>
      <c r="G797" s="222"/>
      <c r="H797" s="227"/>
      <c r="I797" s="227"/>
      <c r="J797" s="217"/>
      <c r="K797" s="217"/>
      <c r="L797" s="217"/>
      <c r="M797" s="231"/>
      <c r="N797" s="235"/>
      <c r="O797" s="239"/>
      <c r="P797" s="245"/>
      <c r="Q797" s="246"/>
      <c r="R797" s="302"/>
      <c r="S797" s="251"/>
      <c r="T797" s="302"/>
      <c r="U797" s="251"/>
      <c r="V797" s="302"/>
      <c r="W797" s="251"/>
      <c r="X797" s="255"/>
      <c r="Y797" s="302"/>
      <c r="Z797" s="259"/>
      <c r="AA797" s="251"/>
      <c r="AB797" s="302"/>
      <c r="AC797" s="306"/>
      <c r="AD797" s="261"/>
      <c r="AE797" s="261"/>
      <c r="AF797" s="282"/>
    </row>
    <row r="798" spans="2:32" hidden="1">
      <c r="B798" s="266"/>
      <c r="C798" s="220"/>
      <c r="D798" s="220"/>
      <c r="E798" s="220"/>
      <c r="F798" s="220"/>
      <c r="G798" s="223"/>
      <c r="H798" s="226"/>
      <c r="I798" s="226"/>
      <c r="J798" s="216"/>
      <c r="K798" s="216"/>
      <c r="L798" s="216"/>
      <c r="M798" s="230"/>
      <c r="N798" s="234"/>
      <c r="O798" s="238"/>
      <c r="P798" s="243"/>
      <c r="Q798" s="244"/>
      <c r="R798" s="301"/>
      <c r="S798" s="250"/>
      <c r="T798" s="301"/>
      <c r="U798" s="250"/>
      <c r="V798" s="301"/>
      <c r="W798" s="250"/>
      <c r="X798" s="254"/>
      <c r="Y798" s="301"/>
      <c r="Z798" s="258"/>
      <c r="AA798" s="250"/>
      <c r="AB798" s="301"/>
      <c r="AC798" s="305"/>
      <c r="AD798" s="262"/>
      <c r="AE798" s="262"/>
      <c r="AF798" s="283"/>
    </row>
    <row r="799" spans="2:32" hidden="1">
      <c r="B799" s="267"/>
      <c r="C799" s="219"/>
      <c r="D799" s="219"/>
      <c r="E799" s="219"/>
      <c r="F799" s="219"/>
      <c r="G799" s="222"/>
      <c r="H799" s="227"/>
      <c r="I799" s="227"/>
      <c r="J799" s="217"/>
      <c r="K799" s="217"/>
      <c r="L799" s="217"/>
      <c r="M799" s="231"/>
      <c r="N799" s="235"/>
      <c r="O799" s="239"/>
      <c r="P799" s="245"/>
      <c r="Q799" s="246"/>
      <c r="R799" s="302"/>
      <c r="S799" s="251"/>
      <c r="T799" s="302"/>
      <c r="U799" s="251"/>
      <c r="V799" s="302"/>
      <c r="W799" s="251"/>
      <c r="X799" s="255"/>
      <c r="Y799" s="302"/>
      <c r="Z799" s="259"/>
      <c r="AA799" s="251"/>
      <c r="AB799" s="302"/>
      <c r="AC799" s="306"/>
      <c r="AD799" s="261"/>
      <c r="AE799" s="261"/>
      <c r="AF799" s="282"/>
    </row>
    <row r="800" spans="2:32" hidden="1">
      <c r="B800" s="266"/>
      <c r="C800" s="220"/>
      <c r="D800" s="220"/>
      <c r="E800" s="220"/>
      <c r="F800" s="220"/>
      <c r="G800" s="223"/>
      <c r="H800" s="226"/>
      <c r="I800" s="226"/>
      <c r="J800" s="216"/>
      <c r="K800" s="216"/>
      <c r="L800" s="216"/>
      <c r="M800" s="230"/>
      <c r="N800" s="234"/>
      <c r="O800" s="238"/>
      <c r="P800" s="243"/>
      <c r="Q800" s="244"/>
      <c r="R800" s="301"/>
      <c r="S800" s="250"/>
      <c r="T800" s="301"/>
      <c r="U800" s="250"/>
      <c r="V800" s="301"/>
      <c r="W800" s="250"/>
      <c r="X800" s="254"/>
      <c r="Y800" s="301"/>
      <c r="Z800" s="258"/>
      <c r="AA800" s="250"/>
      <c r="AB800" s="301"/>
      <c r="AC800" s="305"/>
      <c r="AD800" s="262"/>
      <c r="AE800" s="262"/>
      <c r="AF800" s="283"/>
    </row>
    <row r="801" spans="2:32" hidden="1">
      <c r="B801" s="267"/>
      <c r="C801" s="219"/>
      <c r="D801" s="219"/>
      <c r="E801" s="219"/>
      <c r="F801" s="219"/>
      <c r="G801" s="222"/>
      <c r="H801" s="227"/>
      <c r="I801" s="227"/>
      <c r="J801" s="217"/>
      <c r="K801" s="217"/>
      <c r="L801" s="217"/>
      <c r="M801" s="231"/>
      <c r="N801" s="235"/>
      <c r="O801" s="239"/>
      <c r="P801" s="245"/>
      <c r="Q801" s="246"/>
      <c r="R801" s="302"/>
      <c r="S801" s="251"/>
      <c r="T801" s="302"/>
      <c r="U801" s="251"/>
      <c r="V801" s="302"/>
      <c r="W801" s="251"/>
      <c r="X801" s="255"/>
      <c r="Y801" s="302"/>
      <c r="Z801" s="259"/>
      <c r="AA801" s="251"/>
      <c r="AB801" s="302"/>
      <c r="AC801" s="306"/>
      <c r="AD801" s="261"/>
      <c r="AE801" s="261"/>
      <c r="AF801" s="282"/>
    </row>
    <row r="802" spans="2:32" hidden="1">
      <c r="B802" s="266"/>
      <c r="C802" s="220"/>
      <c r="D802" s="220"/>
      <c r="E802" s="220"/>
      <c r="F802" s="220"/>
      <c r="G802" s="223"/>
      <c r="H802" s="226"/>
      <c r="I802" s="226"/>
      <c r="J802" s="216"/>
      <c r="K802" s="216"/>
      <c r="L802" s="216"/>
      <c r="M802" s="230"/>
      <c r="N802" s="234"/>
      <c r="O802" s="238"/>
      <c r="P802" s="243"/>
      <c r="Q802" s="244"/>
      <c r="R802" s="301"/>
      <c r="S802" s="250"/>
      <c r="T802" s="301"/>
      <c r="U802" s="250"/>
      <c r="V802" s="301"/>
      <c r="W802" s="250"/>
      <c r="X802" s="254"/>
      <c r="Y802" s="301"/>
      <c r="Z802" s="258"/>
      <c r="AA802" s="250"/>
      <c r="AB802" s="301"/>
      <c r="AC802" s="305"/>
      <c r="AD802" s="262"/>
      <c r="AE802" s="262"/>
      <c r="AF802" s="283"/>
    </row>
    <row r="803" spans="2:32" hidden="1">
      <c r="B803" s="267"/>
      <c r="C803" s="219"/>
      <c r="D803" s="219"/>
      <c r="E803" s="219"/>
      <c r="F803" s="219"/>
      <c r="G803" s="222"/>
      <c r="H803" s="227"/>
      <c r="I803" s="227"/>
      <c r="J803" s="217"/>
      <c r="K803" s="217"/>
      <c r="L803" s="217"/>
      <c r="M803" s="231"/>
      <c r="N803" s="235"/>
      <c r="O803" s="239"/>
      <c r="P803" s="245"/>
      <c r="Q803" s="246"/>
      <c r="R803" s="302"/>
      <c r="S803" s="251"/>
      <c r="T803" s="302"/>
      <c r="U803" s="251"/>
      <c r="V803" s="302"/>
      <c r="W803" s="251"/>
      <c r="X803" s="255"/>
      <c r="Y803" s="302"/>
      <c r="Z803" s="259"/>
      <c r="AA803" s="251"/>
      <c r="AB803" s="302"/>
      <c r="AC803" s="306"/>
      <c r="AD803" s="261"/>
      <c r="AE803" s="261"/>
      <c r="AF803" s="282"/>
    </row>
    <row r="804" spans="2:32" hidden="1">
      <c r="B804" s="266"/>
      <c r="C804" s="220"/>
      <c r="D804" s="220"/>
      <c r="E804" s="220"/>
      <c r="F804" s="220"/>
      <c r="G804" s="223"/>
      <c r="H804" s="226"/>
      <c r="I804" s="226"/>
      <c r="J804" s="216"/>
      <c r="K804" s="216"/>
      <c r="L804" s="216"/>
      <c r="M804" s="230"/>
      <c r="N804" s="234"/>
      <c r="O804" s="238"/>
      <c r="P804" s="243"/>
      <c r="Q804" s="244"/>
      <c r="R804" s="301"/>
      <c r="S804" s="250"/>
      <c r="T804" s="301"/>
      <c r="U804" s="250"/>
      <c r="V804" s="301"/>
      <c r="W804" s="250"/>
      <c r="X804" s="254"/>
      <c r="Y804" s="301"/>
      <c r="Z804" s="258"/>
      <c r="AA804" s="250"/>
      <c r="AB804" s="301"/>
      <c r="AC804" s="305"/>
      <c r="AD804" s="262"/>
      <c r="AE804" s="262"/>
      <c r="AF804" s="283"/>
    </row>
    <row r="805" spans="2:32" hidden="1">
      <c r="B805" s="267"/>
      <c r="C805" s="219"/>
      <c r="D805" s="219"/>
      <c r="E805" s="219"/>
      <c r="F805" s="219"/>
      <c r="G805" s="222"/>
      <c r="H805" s="227"/>
      <c r="I805" s="227"/>
      <c r="J805" s="217"/>
      <c r="K805" s="217"/>
      <c r="L805" s="217"/>
      <c r="M805" s="231"/>
      <c r="N805" s="235"/>
      <c r="O805" s="239"/>
      <c r="P805" s="245"/>
      <c r="Q805" s="246"/>
      <c r="R805" s="302"/>
      <c r="S805" s="251"/>
      <c r="T805" s="302"/>
      <c r="U805" s="251"/>
      <c r="V805" s="302"/>
      <c r="W805" s="251"/>
      <c r="X805" s="255"/>
      <c r="Y805" s="302"/>
      <c r="Z805" s="259"/>
      <c r="AA805" s="251"/>
      <c r="AB805" s="302"/>
      <c r="AC805" s="306"/>
      <c r="AD805" s="261"/>
      <c r="AE805" s="261"/>
      <c r="AF805" s="282"/>
    </row>
    <row r="806" spans="2:32" hidden="1">
      <c r="B806" s="266"/>
      <c r="C806" s="220"/>
      <c r="D806" s="220"/>
      <c r="E806" s="220"/>
      <c r="F806" s="220"/>
      <c r="G806" s="223"/>
      <c r="H806" s="226"/>
      <c r="I806" s="226"/>
      <c r="J806" s="216"/>
      <c r="K806" s="216"/>
      <c r="L806" s="216"/>
      <c r="M806" s="230"/>
      <c r="N806" s="234"/>
      <c r="O806" s="238"/>
      <c r="P806" s="243"/>
      <c r="Q806" s="244"/>
      <c r="R806" s="301"/>
      <c r="S806" s="250"/>
      <c r="T806" s="301"/>
      <c r="U806" s="250"/>
      <c r="V806" s="301"/>
      <c r="W806" s="250"/>
      <c r="X806" s="254"/>
      <c r="Y806" s="301"/>
      <c r="Z806" s="258"/>
      <c r="AA806" s="250"/>
      <c r="AB806" s="301"/>
      <c r="AC806" s="305"/>
      <c r="AD806" s="262"/>
      <c r="AE806" s="262"/>
      <c r="AF806" s="283"/>
    </row>
    <row r="807" spans="2:32" hidden="1">
      <c r="B807" s="267"/>
      <c r="C807" s="219"/>
      <c r="D807" s="219"/>
      <c r="E807" s="219"/>
      <c r="F807" s="219"/>
      <c r="G807" s="222"/>
      <c r="H807" s="227"/>
      <c r="I807" s="227"/>
      <c r="J807" s="217"/>
      <c r="K807" s="217"/>
      <c r="L807" s="217"/>
      <c r="M807" s="231"/>
      <c r="N807" s="235"/>
      <c r="O807" s="239"/>
      <c r="P807" s="245"/>
      <c r="Q807" s="246"/>
      <c r="R807" s="302"/>
      <c r="S807" s="251"/>
      <c r="T807" s="302"/>
      <c r="U807" s="251"/>
      <c r="V807" s="302"/>
      <c r="W807" s="251"/>
      <c r="X807" s="255"/>
      <c r="Y807" s="302"/>
      <c r="Z807" s="259"/>
      <c r="AA807" s="251"/>
      <c r="AB807" s="302"/>
      <c r="AC807" s="306"/>
      <c r="AD807" s="261"/>
      <c r="AE807" s="261"/>
      <c r="AF807" s="282"/>
    </row>
    <row r="808" spans="2:32" hidden="1">
      <c r="B808" s="266"/>
      <c r="C808" s="220"/>
      <c r="D808" s="220"/>
      <c r="E808" s="220"/>
      <c r="F808" s="220"/>
      <c r="G808" s="223"/>
      <c r="H808" s="226"/>
      <c r="I808" s="226"/>
      <c r="J808" s="216"/>
      <c r="K808" s="216"/>
      <c r="L808" s="216"/>
      <c r="M808" s="230"/>
      <c r="N808" s="234"/>
      <c r="O808" s="238"/>
      <c r="P808" s="243"/>
      <c r="Q808" s="244"/>
      <c r="R808" s="301"/>
      <c r="S808" s="250"/>
      <c r="T808" s="301"/>
      <c r="U808" s="250"/>
      <c r="V808" s="301"/>
      <c r="W808" s="250"/>
      <c r="X808" s="254"/>
      <c r="Y808" s="301"/>
      <c r="Z808" s="258"/>
      <c r="AA808" s="250"/>
      <c r="AB808" s="301"/>
      <c r="AC808" s="305"/>
      <c r="AD808" s="262"/>
      <c r="AE808" s="262"/>
      <c r="AF808" s="283"/>
    </row>
    <row r="809" spans="2:32" hidden="1">
      <c r="B809" s="267"/>
      <c r="C809" s="219"/>
      <c r="D809" s="219"/>
      <c r="E809" s="219"/>
      <c r="F809" s="219"/>
      <c r="G809" s="222"/>
      <c r="H809" s="227"/>
      <c r="I809" s="227"/>
      <c r="J809" s="217"/>
      <c r="K809" s="217"/>
      <c r="L809" s="217"/>
      <c r="M809" s="231"/>
      <c r="N809" s="235"/>
      <c r="O809" s="239"/>
      <c r="P809" s="245"/>
      <c r="Q809" s="246"/>
      <c r="R809" s="302"/>
      <c r="S809" s="251"/>
      <c r="T809" s="302"/>
      <c r="U809" s="251"/>
      <c r="V809" s="302"/>
      <c r="W809" s="251"/>
      <c r="X809" s="255"/>
      <c r="Y809" s="302"/>
      <c r="Z809" s="259"/>
      <c r="AA809" s="251"/>
      <c r="AB809" s="302"/>
      <c r="AC809" s="306"/>
      <c r="AD809" s="261"/>
      <c r="AE809" s="261"/>
      <c r="AF809" s="282"/>
    </row>
    <row r="810" spans="2:32" hidden="1">
      <c r="B810" s="266"/>
      <c r="C810" s="220"/>
      <c r="D810" s="220"/>
      <c r="E810" s="220"/>
      <c r="F810" s="220"/>
      <c r="G810" s="223"/>
      <c r="H810" s="226"/>
      <c r="I810" s="226"/>
      <c r="J810" s="216"/>
      <c r="K810" s="216"/>
      <c r="L810" s="216"/>
      <c r="M810" s="230"/>
      <c r="N810" s="234"/>
      <c r="O810" s="238"/>
      <c r="P810" s="243"/>
      <c r="Q810" s="244"/>
      <c r="R810" s="301"/>
      <c r="S810" s="250"/>
      <c r="T810" s="301"/>
      <c r="U810" s="250"/>
      <c r="V810" s="301"/>
      <c r="W810" s="250"/>
      <c r="X810" s="254"/>
      <c r="Y810" s="301"/>
      <c r="Z810" s="258"/>
      <c r="AA810" s="250"/>
      <c r="AB810" s="301"/>
      <c r="AC810" s="305"/>
      <c r="AD810" s="262"/>
      <c r="AE810" s="262"/>
      <c r="AF810" s="283"/>
    </row>
    <row r="811" spans="2:32" hidden="1">
      <c r="B811" s="267"/>
      <c r="C811" s="219"/>
      <c r="D811" s="219"/>
      <c r="E811" s="219"/>
      <c r="F811" s="219"/>
      <c r="G811" s="222"/>
      <c r="H811" s="227"/>
      <c r="I811" s="227"/>
      <c r="J811" s="217"/>
      <c r="K811" s="217"/>
      <c r="L811" s="217"/>
      <c r="M811" s="231"/>
      <c r="N811" s="235"/>
      <c r="O811" s="239"/>
      <c r="P811" s="245"/>
      <c r="Q811" s="246"/>
      <c r="R811" s="302"/>
      <c r="S811" s="251"/>
      <c r="T811" s="302"/>
      <c r="U811" s="251"/>
      <c r="V811" s="302"/>
      <c r="W811" s="251"/>
      <c r="X811" s="255"/>
      <c r="Y811" s="302"/>
      <c r="Z811" s="259"/>
      <c r="AA811" s="251"/>
      <c r="AB811" s="302"/>
      <c r="AC811" s="306"/>
      <c r="AD811" s="261"/>
      <c r="AE811" s="261"/>
      <c r="AF811" s="282"/>
    </row>
    <row r="812" spans="2:32" hidden="1">
      <c r="B812" s="266"/>
      <c r="C812" s="220"/>
      <c r="D812" s="220"/>
      <c r="E812" s="220"/>
      <c r="F812" s="220"/>
      <c r="G812" s="223"/>
      <c r="H812" s="226"/>
      <c r="I812" s="226"/>
      <c r="J812" s="216"/>
      <c r="K812" s="216"/>
      <c r="L812" s="216"/>
      <c r="M812" s="230"/>
      <c r="N812" s="234"/>
      <c r="O812" s="238"/>
      <c r="P812" s="243"/>
      <c r="Q812" s="244"/>
      <c r="R812" s="301"/>
      <c r="S812" s="250"/>
      <c r="T812" s="301"/>
      <c r="U812" s="250"/>
      <c r="V812" s="301"/>
      <c r="W812" s="250"/>
      <c r="X812" s="254"/>
      <c r="Y812" s="301"/>
      <c r="Z812" s="258"/>
      <c r="AA812" s="250"/>
      <c r="AB812" s="301"/>
      <c r="AC812" s="305"/>
      <c r="AD812" s="262"/>
      <c r="AE812" s="262"/>
      <c r="AF812" s="283"/>
    </row>
    <row r="813" spans="2:32" hidden="1">
      <c r="B813" s="267"/>
      <c r="C813" s="219"/>
      <c r="D813" s="219"/>
      <c r="E813" s="219"/>
      <c r="F813" s="219"/>
      <c r="G813" s="222"/>
      <c r="H813" s="227"/>
      <c r="I813" s="227"/>
      <c r="J813" s="217"/>
      <c r="K813" s="217"/>
      <c r="L813" s="217"/>
      <c r="M813" s="231"/>
      <c r="N813" s="235"/>
      <c r="O813" s="239"/>
      <c r="P813" s="245"/>
      <c r="Q813" s="246"/>
      <c r="R813" s="302"/>
      <c r="S813" s="251"/>
      <c r="T813" s="302"/>
      <c r="U813" s="251"/>
      <c r="V813" s="302"/>
      <c r="W813" s="251"/>
      <c r="X813" s="255"/>
      <c r="Y813" s="302"/>
      <c r="Z813" s="259"/>
      <c r="AA813" s="251"/>
      <c r="AB813" s="302"/>
      <c r="AC813" s="306"/>
      <c r="AD813" s="261"/>
      <c r="AE813" s="261"/>
      <c r="AF813" s="282"/>
    </row>
    <row r="814" spans="2:32" hidden="1">
      <c r="B814" s="266"/>
      <c r="C814" s="220"/>
      <c r="D814" s="220"/>
      <c r="E814" s="220"/>
      <c r="F814" s="220"/>
      <c r="G814" s="223"/>
      <c r="H814" s="226"/>
      <c r="I814" s="226"/>
      <c r="J814" s="216"/>
      <c r="K814" s="216"/>
      <c r="L814" s="216"/>
      <c r="M814" s="230"/>
      <c r="N814" s="234"/>
      <c r="O814" s="238"/>
      <c r="P814" s="243"/>
      <c r="Q814" s="244"/>
      <c r="R814" s="301"/>
      <c r="S814" s="250"/>
      <c r="T814" s="301"/>
      <c r="U814" s="250"/>
      <c r="V814" s="301"/>
      <c r="W814" s="250"/>
      <c r="X814" s="254"/>
      <c r="Y814" s="301"/>
      <c r="Z814" s="258"/>
      <c r="AA814" s="250"/>
      <c r="AB814" s="301"/>
      <c r="AC814" s="305"/>
      <c r="AD814" s="262"/>
      <c r="AE814" s="262"/>
      <c r="AF814" s="283"/>
    </row>
    <row r="815" spans="2:32" hidden="1">
      <c r="B815" s="267"/>
      <c r="C815" s="219"/>
      <c r="D815" s="219"/>
      <c r="E815" s="219"/>
      <c r="F815" s="219"/>
      <c r="G815" s="222"/>
      <c r="H815" s="227"/>
      <c r="I815" s="227"/>
      <c r="J815" s="217"/>
      <c r="K815" s="217"/>
      <c r="L815" s="217"/>
      <c r="M815" s="231"/>
      <c r="N815" s="235"/>
      <c r="O815" s="239"/>
      <c r="P815" s="245"/>
      <c r="Q815" s="246"/>
      <c r="R815" s="302"/>
      <c r="S815" s="251"/>
      <c r="T815" s="302"/>
      <c r="U815" s="251"/>
      <c r="V815" s="302"/>
      <c r="W815" s="251"/>
      <c r="X815" s="255"/>
      <c r="Y815" s="302"/>
      <c r="Z815" s="259"/>
      <c r="AA815" s="251"/>
      <c r="AB815" s="302"/>
      <c r="AC815" s="306"/>
      <c r="AD815" s="261"/>
      <c r="AE815" s="261"/>
      <c r="AF815" s="282"/>
    </row>
    <row r="816" spans="2:32" hidden="1">
      <c r="B816" s="266"/>
      <c r="C816" s="220"/>
      <c r="D816" s="220"/>
      <c r="E816" s="220"/>
      <c r="F816" s="220"/>
      <c r="G816" s="223"/>
      <c r="H816" s="226"/>
      <c r="I816" s="226"/>
      <c r="J816" s="216"/>
      <c r="K816" s="216"/>
      <c r="L816" s="216"/>
      <c r="M816" s="230"/>
      <c r="N816" s="234"/>
      <c r="O816" s="238"/>
      <c r="P816" s="243"/>
      <c r="Q816" s="244"/>
      <c r="R816" s="301"/>
      <c r="S816" s="250"/>
      <c r="T816" s="301"/>
      <c r="U816" s="250"/>
      <c r="V816" s="301"/>
      <c r="W816" s="250"/>
      <c r="X816" s="254"/>
      <c r="Y816" s="301"/>
      <c r="Z816" s="258"/>
      <c r="AA816" s="250"/>
      <c r="AB816" s="301"/>
      <c r="AC816" s="305"/>
      <c r="AD816" s="262"/>
      <c r="AE816" s="262"/>
      <c r="AF816" s="283"/>
    </row>
    <row r="817" spans="2:32" hidden="1">
      <c r="B817" s="267"/>
      <c r="C817" s="219"/>
      <c r="D817" s="219"/>
      <c r="E817" s="219"/>
      <c r="F817" s="219"/>
      <c r="G817" s="222"/>
      <c r="H817" s="227"/>
      <c r="I817" s="227"/>
      <c r="J817" s="217"/>
      <c r="K817" s="217"/>
      <c r="L817" s="217"/>
      <c r="M817" s="231"/>
      <c r="N817" s="235"/>
      <c r="O817" s="239"/>
      <c r="P817" s="245"/>
      <c r="Q817" s="246"/>
      <c r="R817" s="302"/>
      <c r="S817" s="251"/>
      <c r="T817" s="302"/>
      <c r="U817" s="251"/>
      <c r="V817" s="302"/>
      <c r="W817" s="251"/>
      <c r="X817" s="255"/>
      <c r="Y817" s="302"/>
      <c r="Z817" s="259"/>
      <c r="AA817" s="251"/>
      <c r="AB817" s="302"/>
      <c r="AC817" s="306"/>
      <c r="AD817" s="261"/>
      <c r="AE817" s="261"/>
      <c r="AF817" s="282"/>
    </row>
    <row r="818" spans="2:32" hidden="1">
      <c r="B818" s="266"/>
      <c r="C818" s="220"/>
      <c r="D818" s="220"/>
      <c r="E818" s="220"/>
      <c r="F818" s="220"/>
      <c r="G818" s="223"/>
      <c r="H818" s="226"/>
      <c r="I818" s="226"/>
      <c r="J818" s="216"/>
      <c r="K818" s="216"/>
      <c r="L818" s="216"/>
      <c r="M818" s="230"/>
      <c r="N818" s="234"/>
      <c r="O818" s="238"/>
      <c r="P818" s="243"/>
      <c r="Q818" s="244"/>
      <c r="R818" s="301"/>
      <c r="S818" s="250"/>
      <c r="T818" s="301"/>
      <c r="U818" s="250"/>
      <c r="V818" s="301"/>
      <c r="W818" s="250"/>
      <c r="X818" s="254"/>
      <c r="Y818" s="301"/>
      <c r="Z818" s="258"/>
      <c r="AA818" s="250"/>
      <c r="AB818" s="301"/>
      <c r="AC818" s="305"/>
      <c r="AD818" s="262"/>
      <c r="AE818" s="262"/>
      <c r="AF818" s="283"/>
    </row>
    <row r="819" spans="2:32" hidden="1">
      <c r="B819" s="267"/>
      <c r="C819" s="219"/>
      <c r="D819" s="219"/>
      <c r="E819" s="219"/>
      <c r="F819" s="219"/>
      <c r="G819" s="222"/>
      <c r="H819" s="227"/>
      <c r="I819" s="227"/>
      <c r="J819" s="217"/>
      <c r="K819" s="217"/>
      <c r="L819" s="217"/>
      <c r="M819" s="231"/>
      <c r="N819" s="235"/>
      <c r="O819" s="239"/>
      <c r="P819" s="245"/>
      <c r="Q819" s="246"/>
      <c r="R819" s="302"/>
      <c r="S819" s="251"/>
      <c r="T819" s="302"/>
      <c r="U819" s="251"/>
      <c r="V819" s="302"/>
      <c r="W819" s="251"/>
      <c r="X819" s="255"/>
      <c r="Y819" s="302"/>
      <c r="Z819" s="259"/>
      <c r="AA819" s="251"/>
      <c r="AB819" s="302"/>
      <c r="AC819" s="306"/>
      <c r="AD819" s="261"/>
      <c r="AE819" s="261"/>
      <c r="AF819" s="282"/>
    </row>
    <row r="820" spans="2:32" hidden="1">
      <c r="B820" s="266"/>
      <c r="C820" s="220"/>
      <c r="D820" s="220"/>
      <c r="E820" s="220"/>
      <c r="F820" s="220"/>
      <c r="G820" s="223"/>
      <c r="H820" s="226"/>
      <c r="I820" s="226"/>
      <c r="J820" s="216"/>
      <c r="K820" s="216"/>
      <c r="L820" s="216"/>
      <c r="M820" s="230"/>
      <c r="N820" s="234"/>
      <c r="O820" s="238"/>
      <c r="P820" s="243"/>
      <c r="Q820" s="244"/>
      <c r="R820" s="301"/>
      <c r="S820" s="250"/>
      <c r="T820" s="301"/>
      <c r="U820" s="250"/>
      <c r="V820" s="301"/>
      <c r="W820" s="250"/>
      <c r="X820" s="254"/>
      <c r="Y820" s="301"/>
      <c r="Z820" s="258"/>
      <c r="AA820" s="250"/>
      <c r="AB820" s="301"/>
      <c r="AC820" s="305"/>
      <c r="AD820" s="262"/>
      <c r="AE820" s="262"/>
      <c r="AF820" s="283"/>
    </row>
    <row r="821" spans="2:32" hidden="1">
      <c r="B821" s="267"/>
      <c r="C821" s="219"/>
      <c r="D821" s="219"/>
      <c r="E821" s="219"/>
      <c r="F821" s="219"/>
      <c r="G821" s="222"/>
      <c r="H821" s="227"/>
      <c r="I821" s="227"/>
      <c r="J821" s="217"/>
      <c r="K821" s="217"/>
      <c r="L821" s="217"/>
      <c r="M821" s="231"/>
      <c r="N821" s="235"/>
      <c r="O821" s="239"/>
      <c r="P821" s="245"/>
      <c r="Q821" s="246"/>
      <c r="R821" s="302"/>
      <c r="S821" s="251"/>
      <c r="T821" s="302"/>
      <c r="U821" s="251"/>
      <c r="V821" s="302"/>
      <c r="W821" s="251"/>
      <c r="X821" s="255"/>
      <c r="Y821" s="302"/>
      <c r="Z821" s="259"/>
      <c r="AA821" s="251"/>
      <c r="AB821" s="302"/>
      <c r="AC821" s="306"/>
      <c r="AD821" s="261"/>
      <c r="AE821" s="261"/>
      <c r="AF821" s="282"/>
    </row>
    <row r="822" spans="2:32" hidden="1">
      <c r="B822" s="266"/>
      <c r="C822" s="220"/>
      <c r="D822" s="220"/>
      <c r="E822" s="220"/>
      <c r="F822" s="220"/>
      <c r="G822" s="223"/>
      <c r="H822" s="226"/>
      <c r="I822" s="226"/>
      <c r="J822" s="216"/>
      <c r="K822" s="216"/>
      <c r="L822" s="216"/>
      <c r="M822" s="230"/>
      <c r="N822" s="234"/>
      <c r="O822" s="238"/>
      <c r="P822" s="243"/>
      <c r="Q822" s="244"/>
      <c r="R822" s="301"/>
      <c r="S822" s="250"/>
      <c r="T822" s="301"/>
      <c r="U822" s="250"/>
      <c r="V822" s="301"/>
      <c r="W822" s="250"/>
      <c r="X822" s="254"/>
      <c r="Y822" s="301"/>
      <c r="Z822" s="258"/>
      <c r="AA822" s="250"/>
      <c r="AB822" s="301"/>
      <c r="AC822" s="305"/>
      <c r="AD822" s="262"/>
      <c r="AE822" s="262"/>
      <c r="AF822" s="283"/>
    </row>
    <row r="823" spans="2:32" hidden="1">
      <c r="B823" s="267"/>
      <c r="C823" s="219"/>
      <c r="D823" s="219"/>
      <c r="E823" s="219"/>
      <c r="F823" s="219"/>
      <c r="G823" s="222"/>
      <c r="H823" s="227"/>
      <c r="I823" s="227"/>
      <c r="J823" s="217"/>
      <c r="K823" s="217"/>
      <c r="L823" s="217"/>
      <c r="M823" s="231"/>
      <c r="N823" s="235"/>
      <c r="O823" s="239"/>
      <c r="P823" s="245"/>
      <c r="Q823" s="246"/>
      <c r="R823" s="302"/>
      <c r="S823" s="251"/>
      <c r="T823" s="302"/>
      <c r="U823" s="251"/>
      <c r="V823" s="302"/>
      <c r="W823" s="251"/>
      <c r="X823" s="255"/>
      <c r="Y823" s="302"/>
      <c r="Z823" s="259"/>
      <c r="AA823" s="251"/>
      <c r="AB823" s="302"/>
      <c r="AC823" s="306"/>
      <c r="AD823" s="261"/>
      <c r="AE823" s="261"/>
      <c r="AF823" s="282"/>
    </row>
    <row r="824" spans="2:32" hidden="1">
      <c r="B824" s="266"/>
      <c r="C824" s="220"/>
      <c r="D824" s="220"/>
      <c r="E824" s="220"/>
      <c r="F824" s="220"/>
      <c r="G824" s="223"/>
      <c r="H824" s="226"/>
      <c r="I824" s="226"/>
      <c r="J824" s="216"/>
      <c r="K824" s="216"/>
      <c r="L824" s="216"/>
      <c r="M824" s="230"/>
      <c r="N824" s="234"/>
      <c r="O824" s="238"/>
      <c r="P824" s="243"/>
      <c r="Q824" s="244"/>
      <c r="R824" s="301"/>
      <c r="S824" s="250"/>
      <c r="T824" s="301"/>
      <c r="U824" s="250"/>
      <c r="V824" s="301"/>
      <c r="W824" s="250"/>
      <c r="X824" s="254"/>
      <c r="Y824" s="301"/>
      <c r="Z824" s="258"/>
      <c r="AA824" s="250"/>
      <c r="AB824" s="301"/>
      <c r="AC824" s="305"/>
      <c r="AD824" s="262"/>
      <c r="AE824" s="262"/>
      <c r="AF824" s="283"/>
    </row>
    <row r="825" spans="2:32" hidden="1">
      <c r="B825" s="267"/>
      <c r="C825" s="219"/>
      <c r="D825" s="219"/>
      <c r="E825" s="219"/>
      <c r="F825" s="219"/>
      <c r="G825" s="222"/>
      <c r="H825" s="227"/>
      <c r="I825" s="227"/>
      <c r="J825" s="217"/>
      <c r="K825" s="217"/>
      <c r="L825" s="217"/>
      <c r="M825" s="231"/>
      <c r="N825" s="235"/>
      <c r="O825" s="239"/>
      <c r="P825" s="245"/>
      <c r="Q825" s="246"/>
      <c r="R825" s="302"/>
      <c r="S825" s="251"/>
      <c r="T825" s="302"/>
      <c r="U825" s="251"/>
      <c r="V825" s="302"/>
      <c r="W825" s="251"/>
      <c r="X825" s="255"/>
      <c r="Y825" s="302"/>
      <c r="Z825" s="259"/>
      <c r="AA825" s="251"/>
      <c r="AB825" s="302"/>
      <c r="AC825" s="306"/>
      <c r="AD825" s="261"/>
      <c r="AE825" s="261"/>
      <c r="AF825" s="282"/>
    </row>
    <row r="826" spans="2:32" hidden="1">
      <c r="B826" s="266"/>
      <c r="C826" s="220"/>
      <c r="D826" s="220"/>
      <c r="E826" s="220"/>
      <c r="F826" s="220"/>
      <c r="G826" s="223"/>
      <c r="H826" s="226"/>
      <c r="I826" s="226"/>
      <c r="J826" s="216"/>
      <c r="K826" s="216"/>
      <c r="L826" s="216"/>
      <c r="M826" s="230"/>
      <c r="N826" s="234"/>
      <c r="O826" s="238"/>
      <c r="P826" s="243"/>
      <c r="Q826" s="244"/>
      <c r="R826" s="301"/>
      <c r="S826" s="250"/>
      <c r="T826" s="301"/>
      <c r="U826" s="250"/>
      <c r="V826" s="301"/>
      <c r="W826" s="250"/>
      <c r="X826" s="254"/>
      <c r="Y826" s="301"/>
      <c r="Z826" s="258"/>
      <c r="AA826" s="250"/>
      <c r="AB826" s="301"/>
      <c r="AC826" s="305"/>
      <c r="AD826" s="262"/>
      <c r="AE826" s="262"/>
      <c r="AF826" s="283"/>
    </row>
    <row r="827" spans="2:32" hidden="1">
      <c r="B827" s="267"/>
      <c r="C827" s="219"/>
      <c r="D827" s="219"/>
      <c r="E827" s="219"/>
      <c r="F827" s="219"/>
      <c r="G827" s="222"/>
      <c r="H827" s="227"/>
      <c r="I827" s="227"/>
      <c r="J827" s="217"/>
      <c r="K827" s="217"/>
      <c r="L827" s="217"/>
      <c r="M827" s="231"/>
      <c r="N827" s="235"/>
      <c r="O827" s="239"/>
      <c r="P827" s="245"/>
      <c r="Q827" s="246"/>
      <c r="R827" s="302"/>
      <c r="S827" s="251"/>
      <c r="T827" s="302"/>
      <c r="U827" s="251"/>
      <c r="V827" s="302"/>
      <c r="W827" s="251"/>
      <c r="X827" s="255"/>
      <c r="Y827" s="302"/>
      <c r="Z827" s="259"/>
      <c r="AA827" s="251"/>
      <c r="AB827" s="302"/>
      <c r="AC827" s="306"/>
      <c r="AD827" s="261"/>
      <c r="AE827" s="261"/>
      <c r="AF827" s="282"/>
    </row>
    <row r="828" spans="2:32" hidden="1">
      <c r="B828" s="266"/>
      <c r="C828" s="220"/>
      <c r="D828" s="220"/>
      <c r="E828" s="220"/>
      <c r="F828" s="220"/>
      <c r="G828" s="223"/>
      <c r="H828" s="226"/>
      <c r="I828" s="226"/>
      <c r="J828" s="216"/>
      <c r="K828" s="216"/>
      <c r="L828" s="216"/>
      <c r="M828" s="230"/>
      <c r="N828" s="234"/>
      <c r="O828" s="238"/>
      <c r="P828" s="243"/>
      <c r="Q828" s="244"/>
      <c r="R828" s="301"/>
      <c r="S828" s="250"/>
      <c r="T828" s="301"/>
      <c r="U828" s="250"/>
      <c r="V828" s="301"/>
      <c r="W828" s="250"/>
      <c r="X828" s="254"/>
      <c r="Y828" s="301"/>
      <c r="Z828" s="258"/>
      <c r="AA828" s="250"/>
      <c r="AB828" s="301"/>
      <c r="AC828" s="305"/>
      <c r="AD828" s="262"/>
      <c r="AE828" s="262"/>
      <c r="AF828" s="283"/>
    </row>
    <row r="829" spans="2:32" hidden="1">
      <c r="B829" s="267"/>
      <c r="C829" s="219"/>
      <c r="D829" s="219"/>
      <c r="E829" s="219"/>
      <c r="F829" s="219"/>
      <c r="G829" s="222"/>
      <c r="H829" s="227"/>
      <c r="I829" s="227"/>
      <c r="J829" s="217"/>
      <c r="K829" s="217"/>
      <c r="L829" s="217"/>
      <c r="M829" s="231"/>
      <c r="N829" s="235"/>
      <c r="O829" s="239"/>
      <c r="P829" s="245"/>
      <c r="Q829" s="246"/>
      <c r="R829" s="302"/>
      <c r="S829" s="251"/>
      <c r="T829" s="302"/>
      <c r="U829" s="251"/>
      <c r="V829" s="302"/>
      <c r="W829" s="251"/>
      <c r="X829" s="255"/>
      <c r="Y829" s="302"/>
      <c r="Z829" s="259"/>
      <c r="AA829" s="251"/>
      <c r="AB829" s="302"/>
      <c r="AC829" s="306"/>
      <c r="AD829" s="261"/>
      <c r="AE829" s="261"/>
      <c r="AF829" s="282"/>
    </row>
    <row r="830" spans="2:32" hidden="1">
      <c r="B830" s="266"/>
      <c r="C830" s="220"/>
      <c r="D830" s="220"/>
      <c r="E830" s="220"/>
      <c r="F830" s="220"/>
      <c r="G830" s="223"/>
      <c r="H830" s="226"/>
      <c r="I830" s="226"/>
      <c r="J830" s="216"/>
      <c r="K830" s="216"/>
      <c r="L830" s="216"/>
      <c r="M830" s="230"/>
      <c r="N830" s="234"/>
      <c r="O830" s="238"/>
      <c r="P830" s="243"/>
      <c r="Q830" s="244"/>
      <c r="R830" s="301"/>
      <c r="S830" s="250"/>
      <c r="T830" s="301"/>
      <c r="U830" s="250"/>
      <c r="V830" s="301"/>
      <c r="W830" s="250"/>
      <c r="X830" s="254"/>
      <c r="Y830" s="301"/>
      <c r="Z830" s="258"/>
      <c r="AA830" s="250"/>
      <c r="AB830" s="301"/>
      <c r="AC830" s="305"/>
      <c r="AD830" s="262"/>
      <c r="AE830" s="262"/>
      <c r="AF830" s="283"/>
    </row>
    <row r="831" spans="2:32" hidden="1">
      <c r="B831" s="267"/>
      <c r="C831" s="219"/>
      <c r="D831" s="219"/>
      <c r="E831" s="219"/>
      <c r="F831" s="219"/>
      <c r="G831" s="222"/>
      <c r="H831" s="227"/>
      <c r="I831" s="227"/>
      <c r="J831" s="217"/>
      <c r="K831" s="217"/>
      <c r="L831" s="217"/>
      <c r="M831" s="231"/>
      <c r="N831" s="235"/>
      <c r="O831" s="239"/>
      <c r="P831" s="245"/>
      <c r="Q831" s="246"/>
      <c r="R831" s="302"/>
      <c r="S831" s="251"/>
      <c r="T831" s="302"/>
      <c r="U831" s="251"/>
      <c r="V831" s="302"/>
      <c r="W831" s="251"/>
      <c r="X831" s="255"/>
      <c r="Y831" s="302"/>
      <c r="Z831" s="259"/>
      <c r="AA831" s="251"/>
      <c r="AB831" s="302"/>
      <c r="AC831" s="306"/>
      <c r="AD831" s="261"/>
      <c r="AE831" s="261"/>
      <c r="AF831" s="282"/>
    </row>
    <row r="832" spans="2:32" hidden="1">
      <c r="B832" s="266"/>
      <c r="C832" s="220"/>
      <c r="D832" s="220"/>
      <c r="E832" s="220"/>
      <c r="F832" s="220"/>
      <c r="G832" s="223"/>
      <c r="H832" s="226"/>
      <c r="I832" s="226"/>
      <c r="J832" s="216"/>
      <c r="K832" s="216"/>
      <c r="L832" s="216"/>
      <c r="M832" s="230"/>
      <c r="N832" s="234"/>
      <c r="O832" s="238"/>
      <c r="P832" s="243"/>
      <c r="Q832" s="244"/>
      <c r="R832" s="301"/>
      <c r="S832" s="250"/>
      <c r="T832" s="301"/>
      <c r="U832" s="250"/>
      <c r="V832" s="301"/>
      <c r="W832" s="250"/>
      <c r="X832" s="254"/>
      <c r="Y832" s="301"/>
      <c r="Z832" s="258"/>
      <c r="AA832" s="250"/>
      <c r="AB832" s="301"/>
      <c r="AC832" s="305"/>
      <c r="AD832" s="262"/>
      <c r="AE832" s="262"/>
      <c r="AF832" s="283"/>
    </row>
    <row r="833" spans="2:32" hidden="1">
      <c r="B833" s="267"/>
      <c r="C833" s="219"/>
      <c r="D833" s="219"/>
      <c r="E833" s="219"/>
      <c r="F833" s="219"/>
      <c r="G833" s="222"/>
      <c r="H833" s="227"/>
      <c r="I833" s="227"/>
      <c r="J833" s="217"/>
      <c r="K833" s="217"/>
      <c r="L833" s="217"/>
      <c r="M833" s="231"/>
      <c r="N833" s="235"/>
      <c r="O833" s="239"/>
      <c r="P833" s="245"/>
      <c r="Q833" s="246"/>
      <c r="R833" s="302"/>
      <c r="S833" s="251"/>
      <c r="T833" s="302"/>
      <c r="U833" s="251"/>
      <c r="V833" s="302"/>
      <c r="W833" s="251"/>
      <c r="X833" s="255"/>
      <c r="Y833" s="302"/>
      <c r="Z833" s="259"/>
      <c r="AA833" s="251"/>
      <c r="AB833" s="302"/>
      <c r="AC833" s="306"/>
      <c r="AD833" s="261"/>
      <c r="AE833" s="261"/>
      <c r="AF833" s="282"/>
    </row>
    <row r="834" spans="2:32" hidden="1">
      <c r="B834" s="266"/>
      <c r="C834" s="220"/>
      <c r="D834" s="220"/>
      <c r="E834" s="220"/>
      <c r="F834" s="220"/>
      <c r="G834" s="223"/>
      <c r="H834" s="226"/>
      <c r="I834" s="226"/>
      <c r="J834" s="216"/>
      <c r="K834" s="216"/>
      <c r="L834" s="216"/>
      <c r="M834" s="230"/>
      <c r="N834" s="234"/>
      <c r="O834" s="238"/>
      <c r="P834" s="243"/>
      <c r="Q834" s="244"/>
      <c r="R834" s="301"/>
      <c r="S834" s="250"/>
      <c r="T834" s="301"/>
      <c r="U834" s="250"/>
      <c r="V834" s="301"/>
      <c r="W834" s="250"/>
      <c r="X834" s="254"/>
      <c r="Y834" s="301"/>
      <c r="Z834" s="258"/>
      <c r="AA834" s="250"/>
      <c r="AB834" s="301"/>
      <c r="AC834" s="305"/>
      <c r="AD834" s="262"/>
      <c r="AE834" s="262"/>
      <c r="AF834" s="283"/>
    </row>
    <row r="835" spans="2:32" hidden="1">
      <c r="B835" s="267"/>
      <c r="C835" s="219"/>
      <c r="D835" s="219"/>
      <c r="E835" s="219"/>
      <c r="F835" s="219"/>
      <c r="G835" s="222"/>
      <c r="H835" s="227"/>
      <c r="I835" s="227"/>
      <c r="J835" s="217"/>
      <c r="K835" s="217"/>
      <c r="L835" s="217"/>
      <c r="M835" s="231"/>
      <c r="N835" s="235"/>
      <c r="O835" s="239"/>
      <c r="P835" s="245"/>
      <c r="Q835" s="246"/>
      <c r="R835" s="302"/>
      <c r="S835" s="251"/>
      <c r="T835" s="302"/>
      <c r="U835" s="251"/>
      <c r="V835" s="302"/>
      <c r="W835" s="251"/>
      <c r="X835" s="255"/>
      <c r="Y835" s="302"/>
      <c r="Z835" s="259"/>
      <c r="AA835" s="251"/>
      <c r="AB835" s="302"/>
      <c r="AC835" s="306"/>
      <c r="AD835" s="261"/>
      <c r="AE835" s="261"/>
      <c r="AF835" s="282"/>
    </row>
    <row r="836" spans="2:32" hidden="1">
      <c r="B836" s="266"/>
      <c r="C836" s="220"/>
      <c r="D836" s="220"/>
      <c r="E836" s="220"/>
      <c r="F836" s="220"/>
      <c r="G836" s="223"/>
      <c r="H836" s="226"/>
      <c r="I836" s="226"/>
      <c r="J836" s="216"/>
      <c r="K836" s="216"/>
      <c r="L836" s="216"/>
      <c r="M836" s="230"/>
      <c r="N836" s="234"/>
      <c r="O836" s="238"/>
      <c r="P836" s="243"/>
      <c r="Q836" s="244"/>
      <c r="R836" s="301"/>
      <c r="S836" s="250"/>
      <c r="T836" s="301"/>
      <c r="U836" s="250"/>
      <c r="V836" s="301"/>
      <c r="W836" s="250"/>
      <c r="X836" s="254"/>
      <c r="Y836" s="301"/>
      <c r="Z836" s="258"/>
      <c r="AA836" s="250"/>
      <c r="AB836" s="301"/>
      <c r="AC836" s="305"/>
      <c r="AD836" s="262"/>
      <c r="AE836" s="262"/>
      <c r="AF836" s="283"/>
    </row>
    <row r="837" spans="2:32" hidden="1">
      <c r="B837" s="267"/>
      <c r="C837" s="219"/>
      <c r="D837" s="219"/>
      <c r="E837" s="219"/>
      <c r="F837" s="219"/>
      <c r="G837" s="222"/>
      <c r="H837" s="227"/>
      <c r="I837" s="227"/>
      <c r="J837" s="217"/>
      <c r="K837" s="217"/>
      <c r="L837" s="217"/>
      <c r="M837" s="231"/>
      <c r="N837" s="235"/>
      <c r="O837" s="239"/>
      <c r="P837" s="245"/>
      <c r="Q837" s="246"/>
      <c r="R837" s="302"/>
      <c r="S837" s="251"/>
      <c r="T837" s="302"/>
      <c r="U837" s="251"/>
      <c r="V837" s="302"/>
      <c r="W837" s="251"/>
      <c r="X837" s="255"/>
      <c r="Y837" s="302"/>
      <c r="Z837" s="259"/>
      <c r="AA837" s="251"/>
      <c r="AB837" s="302"/>
      <c r="AC837" s="306"/>
      <c r="AD837" s="261"/>
      <c r="AE837" s="261"/>
      <c r="AF837" s="282"/>
    </row>
    <row r="838" spans="2:32" hidden="1">
      <c r="B838" s="266"/>
      <c r="C838" s="220"/>
      <c r="D838" s="220"/>
      <c r="E838" s="220"/>
      <c r="F838" s="220"/>
      <c r="G838" s="223"/>
      <c r="H838" s="226"/>
      <c r="I838" s="226"/>
      <c r="J838" s="216"/>
      <c r="K838" s="216"/>
      <c r="L838" s="216"/>
      <c r="M838" s="230"/>
      <c r="N838" s="234"/>
      <c r="O838" s="238"/>
      <c r="P838" s="243"/>
      <c r="Q838" s="244"/>
      <c r="R838" s="301"/>
      <c r="S838" s="250"/>
      <c r="T838" s="301"/>
      <c r="U838" s="250"/>
      <c r="V838" s="301"/>
      <c r="W838" s="250"/>
      <c r="X838" s="254"/>
      <c r="Y838" s="301"/>
      <c r="Z838" s="258"/>
      <c r="AA838" s="250"/>
      <c r="AB838" s="301"/>
      <c r="AC838" s="305"/>
      <c r="AD838" s="262"/>
      <c r="AE838" s="262"/>
      <c r="AF838" s="283"/>
    </row>
    <row r="839" spans="2:32" hidden="1">
      <c r="B839" s="267"/>
      <c r="C839" s="219"/>
      <c r="D839" s="219"/>
      <c r="E839" s="219"/>
      <c r="F839" s="219"/>
      <c r="G839" s="222"/>
      <c r="H839" s="227"/>
      <c r="I839" s="227"/>
      <c r="J839" s="217"/>
      <c r="K839" s="217"/>
      <c r="L839" s="217"/>
      <c r="M839" s="231"/>
      <c r="N839" s="235"/>
      <c r="O839" s="239"/>
      <c r="P839" s="245"/>
      <c r="Q839" s="246"/>
      <c r="R839" s="302"/>
      <c r="S839" s="251"/>
      <c r="T839" s="302"/>
      <c r="U839" s="251"/>
      <c r="V839" s="302"/>
      <c r="W839" s="251"/>
      <c r="X839" s="255"/>
      <c r="Y839" s="302"/>
      <c r="Z839" s="259"/>
      <c r="AA839" s="251"/>
      <c r="AB839" s="302"/>
      <c r="AC839" s="306"/>
      <c r="AD839" s="261"/>
      <c r="AE839" s="261"/>
      <c r="AF839" s="282"/>
    </row>
    <row r="840" spans="2:32" hidden="1">
      <c r="B840" s="266"/>
      <c r="C840" s="220"/>
      <c r="D840" s="220"/>
      <c r="E840" s="220"/>
      <c r="F840" s="220"/>
      <c r="G840" s="223"/>
      <c r="H840" s="226"/>
      <c r="I840" s="226"/>
      <c r="J840" s="216"/>
      <c r="K840" s="216"/>
      <c r="L840" s="216"/>
      <c r="M840" s="230"/>
      <c r="N840" s="234"/>
      <c r="O840" s="238"/>
      <c r="P840" s="243"/>
      <c r="Q840" s="244"/>
      <c r="R840" s="301"/>
      <c r="S840" s="250"/>
      <c r="T840" s="301"/>
      <c r="U840" s="250"/>
      <c r="V840" s="301"/>
      <c r="W840" s="250"/>
      <c r="X840" s="254"/>
      <c r="Y840" s="301"/>
      <c r="Z840" s="258"/>
      <c r="AA840" s="250"/>
      <c r="AB840" s="301"/>
      <c r="AC840" s="305"/>
      <c r="AD840" s="262"/>
      <c r="AE840" s="262"/>
      <c r="AF840" s="283"/>
    </row>
    <row r="841" spans="2:32" hidden="1">
      <c r="B841" s="267"/>
      <c r="C841" s="219"/>
      <c r="D841" s="219"/>
      <c r="E841" s="219"/>
      <c r="F841" s="219"/>
      <c r="G841" s="222"/>
      <c r="H841" s="227"/>
      <c r="I841" s="227"/>
      <c r="J841" s="217"/>
      <c r="K841" s="217"/>
      <c r="L841" s="217"/>
      <c r="M841" s="231"/>
      <c r="N841" s="235"/>
      <c r="O841" s="239"/>
      <c r="P841" s="245"/>
      <c r="Q841" s="246"/>
      <c r="R841" s="302"/>
      <c r="S841" s="251"/>
      <c r="T841" s="302"/>
      <c r="U841" s="251"/>
      <c r="V841" s="302"/>
      <c r="W841" s="251"/>
      <c r="X841" s="255"/>
      <c r="Y841" s="302"/>
      <c r="Z841" s="259"/>
      <c r="AA841" s="251"/>
      <c r="AB841" s="302"/>
      <c r="AC841" s="306"/>
      <c r="AD841" s="261"/>
      <c r="AE841" s="261"/>
      <c r="AF841" s="282"/>
    </row>
    <row r="842" spans="2:32" hidden="1">
      <c r="B842" s="266"/>
      <c r="C842" s="220"/>
      <c r="D842" s="220"/>
      <c r="E842" s="220"/>
      <c r="F842" s="220"/>
      <c r="G842" s="223"/>
      <c r="H842" s="226"/>
      <c r="I842" s="226"/>
      <c r="J842" s="216"/>
      <c r="K842" s="216"/>
      <c r="L842" s="216"/>
      <c r="M842" s="230"/>
      <c r="N842" s="234"/>
      <c r="O842" s="238"/>
      <c r="P842" s="243"/>
      <c r="Q842" s="244"/>
      <c r="R842" s="301"/>
      <c r="S842" s="250"/>
      <c r="T842" s="301"/>
      <c r="U842" s="250"/>
      <c r="V842" s="301"/>
      <c r="W842" s="250"/>
      <c r="X842" s="254"/>
      <c r="Y842" s="301"/>
      <c r="Z842" s="258"/>
      <c r="AA842" s="250"/>
      <c r="AB842" s="301"/>
      <c r="AC842" s="305"/>
      <c r="AD842" s="262"/>
      <c r="AE842" s="262"/>
      <c r="AF842" s="283"/>
    </row>
    <row r="843" spans="2:32" hidden="1">
      <c r="B843" s="267"/>
      <c r="C843" s="219"/>
      <c r="D843" s="219"/>
      <c r="E843" s="219"/>
      <c r="F843" s="219"/>
      <c r="G843" s="222"/>
      <c r="H843" s="227"/>
      <c r="I843" s="227"/>
      <c r="J843" s="217"/>
      <c r="K843" s="217"/>
      <c r="L843" s="217"/>
      <c r="M843" s="231"/>
      <c r="N843" s="235"/>
      <c r="O843" s="239"/>
      <c r="P843" s="245"/>
      <c r="Q843" s="246"/>
      <c r="R843" s="302"/>
      <c r="S843" s="251"/>
      <c r="T843" s="302"/>
      <c r="U843" s="251"/>
      <c r="V843" s="302"/>
      <c r="W843" s="251"/>
      <c r="X843" s="255"/>
      <c r="Y843" s="302"/>
      <c r="Z843" s="259"/>
      <c r="AA843" s="251"/>
      <c r="AB843" s="302"/>
      <c r="AC843" s="306"/>
      <c r="AD843" s="261"/>
      <c r="AE843" s="261"/>
      <c r="AF843" s="282"/>
    </row>
    <row r="844" spans="2:32" hidden="1">
      <c r="B844" s="266"/>
      <c r="C844" s="220"/>
      <c r="D844" s="220"/>
      <c r="E844" s="220"/>
      <c r="F844" s="220"/>
      <c r="G844" s="223"/>
      <c r="H844" s="226"/>
      <c r="I844" s="226"/>
      <c r="J844" s="216"/>
      <c r="K844" s="216"/>
      <c r="L844" s="216"/>
      <c r="M844" s="230"/>
      <c r="N844" s="234"/>
      <c r="O844" s="238"/>
      <c r="P844" s="243"/>
      <c r="Q844" s="244"/>
      <c r="R844" s="301"/>
      <c r="S844" s="250"/>
      <c r="T844" s="301"/>
      <c r="U844" s="250"/>
      <c r="V844" s="301"/>
      <c r="W844" s="250"/>
      <c r="X844" s="254"/>
      <c r="Y844" s="301"/>
      <c r="Z844" s="258"/>
      <c r="AA844" s="250"/>
      <c r="AB844" s="301"/>
      <c r="AC844" s="305"/>
      <c r="AD844" s="262"/>
      <c r="AE844" s="262"/>
      <c r="AF844" s="283"/>
    </row>
    <row r="845" spans="2:32" hidden="1">
      <c r="B845" s="267"/>
      <c r="C845" s="219"/>
      <c r="D845" s="219"/>
      <c r="E845" s="219"/>
      <c r="F845" s="219"/>
      <c r="G845" s="222"/>
      <c r="H845" s="227"/>
      <c r="I845" s="227"/>
      <c r="J845" s="217"/>
      <c r="K845" s="217"/>
      <c r="L845" s="217"/>
      <c r="M845" s="231"/>
      <c r="N845" s="235"/>
      <c r="O845" s="239"/>
      <c r="P845" s="245"/>
      <c r="Q845" s="246"/>
      <c r="R845" s="302"/>
      <c r="S845" s="251"/>
      <c r="T845" s="302"/>
      <c r="U845" s="251"/>
      <c r="V845" s="302"/>
      <c r="W845" s="251"/>
      <c r="X845" s="255"/>
      <c r="Y845" s="302"/>
      <c r="Z845" s="259"/>
      <c r="AA845" s="251"/>
      <c r="AB845" s="302"/>
      <c r="AC845" s="306"/>
      <c r="AD845" s="261"/>
      <c r="AE845" s="261"/>
      <c r="AF845" s="282"/>
    </row>
    <row r="846" spans="2:32" hidden="1">
      <c r="B846" s="266"/>
      <c r="C846" s="220"/>
      <c r="D846" s="220"/>
      <c r="E846" s="220"/>
      <c r="F846" s="220"/>
      <c r="G846" s="223"/>
      <c r="H846" s="226"/>
      <c r="I846" s="226"/>
      <c r="J846" s="216"/>
      <c r="K846" s="216"/>
      <c r="L846" s="216"/>
      <c r="M846" s="230"/>
      <c r="N846" s="234"/>
      <c r="O846" s="238"/>
      <c r="P846" s="243"/>
      <c r="Q846" s="244"/>
      <c r="R846" s="301"/>
      <c r="S846" s="250"/>
      <c r="T846" s="301"/>
      <c r="U846" s="250"/>
      <c r="V846" s="301"/>
      <c r="W846" s="250"/>
      <c r="X846" s="254"/>
      <c r="Y846" s="301"/>
      <c r="Z846" s="258"/>
      <c r="AA846" s="250"/>
      <c r="AB846" s="301"/>
      <c r="AC846" s="305"/>
      <c r="AD846" s="262"/>
      <c r="AE846" s="262"/>
      <c r="AF846" s="283"/>
    </row>
    <row r="847" spans="2:32" hidden="1">
      <c r="B847" s="267"/>
      <c r="C847" s="219"/>
      <c r="D847" s="219"/>
      <c r="E847" s="219"/>
      <c r="F847" s="219"/>
      <c r="G847" s="222"/>
      <c r="H847" s="227"/>
      <c r="I847" s="227"/>
      <c r="J847" s="217"/>
      <c r="K847" s="217"/>
      <c r="L847" s="217"/>
      <c r="M847" s="231"/>
      <c r="N847" s="235"/>
      <c r="O847" s="239"/>
      <c r="P847" s="245"/>
      <c r="Q847" s="246"/>
      <c r="R847" s="302"/>
      <c r="S847" s="251"/>
      <c r="T847" s="302"/>
      <c r="U847" s="251"/>
      <c r="V847" s="302"/>
      <c r="W847" s="251"/>
      <c r="X847" s="255"/>
      <c r="Y847" s="302"/>
      <c r="Z847" s="259"/>
      <c r="AA847" s="251"/>
      <c r="AB847" s="302"/>
      <c r="AC847" s="306"/>
      <c r="AD847" s="261"/>
      <c r="AE847" s="261"/>
      <c r="AF847" s="282"/>
    </row>
    <row r="848" spans="2:32" hidden="1">
      <c r="B848" s="266"/>
      <c r="C848" s="220"/>
      <c r="D848" s="220"/>
      <c r="E848" s="220"/>
      <c r="F848" s="220"/>
      <c r="G848" s="223"/>
      <c r="H848" s="226"/>
      <c r="I848" s="226"/>
      <c r="J848" s="216"/>
      <c r="K848" s="216"/>
      <c r="L848" s="216"/>
      <c r="M848" s="230"/>
      <c r="N848" s="234"/>
      <c r="O848" s="238"/>
      <c r="P848" s="243"/>
      <c r="Q848" s="244"/>
      <c r="R848" s="301"/>
      <c r="S848" s="250"/>
      <c r="T848" s="301"/>
      <c r="U848" s="250"/>
      <c r="V848" s="301"/>
      <c r="W848" s="250"/>
      <c r="X848" s="254"/>
      <c r="Y848" s="301"/>
      <c r="Z848" s="258"/>
      <c r="AA848" s="250"/>
      <c r="AB848" s="301"/>
      <c r="AC848" s="305"/>
      <c r="AD848" s="262"/>
      <c r="AE848" s="262"/>
      <c r="AF848" s="283"/>
    </row>
    <row r="849" spans="2:32" hidden="1">
      <c r="B849" s="267"/>
      <c r="C849" s="219"/>
      <c r="D849" s="219"/>
      <c r="E849" s="219"/>
      <c r="F849" s="219"/>
      <c r="G849" s="222"/>
      <c r="H849" s="227"/>
      <c r="I849" s="227"/>
      <c r="J849" s="217"/>
      <c r="K849" s="217"/>
      <c r="L849" s="217"/>
      <c r="M849" s="231"/>
      <c r="N849" s="235"/>
      <c r="O849" s="239"/>
      <c r="P849" s="245"/>
      <c r="Q849" s="246"/>
      <c r="R849" s="302"/>
      <c r="S849" s="251"/>
      <c r="T849" s="302"/>
      <c r="U849" s="251"/>
      <c r="V849" s="302"/>
      <c r="W849" s="251"/>
      <c r="X849" s="255"/>
      <c r="Y849" s="302"/>
      <c r="Z849" s="259"/>
      <c r="AA849" s="251"/>
      <c r="AB849" s="302"/>
      <c r="AC849" s="306"/>
      <c r="AD849" s="261"/>
      <c r="AE849" s="261"/>
      <c r="AF849" s="282"/>
    </row>
    <row r="850" spans="2:32" hidden="1">
      <c r="B850" s="266"/>
      <c r="C850" s="220"/>
      <c r="D850" s="220"/>
      <c r="E850" s="220"/>
      <c r="F850" s="220"/>
      <c r="G850" s="223"/>
      <c r="H850" s="226"/>
      <c r="I850" s="226"/>
      <c r="J850" s="216"/>
      <c r="K850" s="216"/>
      <c r="L850" s="216"/>
      <c r="M850" s="230"/>
      <c r="N850" s="234"/>
      <c r="O850" s="238"/>
      <c r="P850" s="243"/>
      <c r="Q850" s="244"/>
      <c r="R850" s="301"/>
      <c r="S850" s="250"/>
      <c r="T850" s="301"/>
      <c r="U850" s="250"/>
      <c r="V850" s="301"/>
      <c r="W850" s="250"/>
      <c r="X850" s="254"/>
      <c r="Y850" s="301"/>
      <c r="Z850" s="258"/>
      <c r="AA850" s="250"/>
      <c r="AB850" s="301"/>
      <c r="AC850" s="305"/>
      <c r="AD850" s="262"/>
      <c r="AE850" s="262"/>
      <c r="AF850" s="283"/>
    </row>
    <row r="851" spans="2:32" hidden="1">
      <c r="B851" s="267"/>
      <c r="C851" s="219"/>
      <c r="D851" s="219"/>
      <c r="E851" s="219"/>
      <c r="F851" s="219"/>
      <c r="G851" s="222"/>
      <c r="H851" s="227"/>
      <c r="I851" s="227"/>
      <c r="J851" s="217"/>
      <c r="K851" s="217"/>
      <c r="L851" s="217"/>
      <c r="M851" s="231"/>
      <c r="N851" s="235"/>
      <c r="O851" s="239"/>
      <c r="P851" s="245"/>
      <c r="Q851" s="246"/>
      <c r="R851" s="302"/>
      <c r="S851" s="251"/>
      <c r="T851" s="302"/>
      <c r="U851" s="251"/>
      <c r="V851" s="302"/>
      <c r="W851" s="251"/>
      <c r="X851" s="255"/>
      <c r="Y851" s="302"/>
      <c r="Z851" s="259"/>
      <c r="AA851" s="251"/>
      <c r="AB851" s="302"/>
      <c r="AC851" s="306"/>
      <c r="AD851" s="261"/>
      <c r="AE851" s="261"/>
      <c r="AF851" s="282"/>
    </row>
    <row r="852" spans="2:32" hidden="1">
      <c r="B852" s="266"/>
      <c r="C852" s="220"/>
      <c r="D852" s="220"/>
      <c r="E852" s="220"/>
      <c r="F852" s="220"/>
      <c r="G852" s="223"/>
      <c r="H852" s="226"/>
      <c r="I852" s="226"/>
      <c r="J852" s="216"/>
      <c r="K852" s="216"/>
      <c r="L852" s="216"/>
      <c r="M852" s="230"/>
      <c r="N852" s="234"/>
      <c r="O852" s="238"/>
      <c r="P852" s="243"/>
      <c r="Q852" s="244"/>
      <c r="R852" s="301"/>
      <c r="S852" s="250"/>
      <c r="T852" s="301"/>
      <c r="U852" s="250"/>
      <c r="V852" s="301"/>
      <c r="W852" s="250"/>
      <c r="X852" s="254"/>
      <c r="Y852" s="301"/>
      <c r="Z852" s="258"/>
      <c r="AA852" s="250"/>
      <c r="AB852" s="301"/>
      <c r="AC852" s="305"/>
      <c r="AD852" s="262"/>
      <c r="AE852" s="262"/>
      <c r="AF852" s="283"/>
    </row>
    <row r="853" spans="2:32" hidden="1">
      <c r="B853" s="267"/>
      <c r="C853" s="219"/>
      <c r="D853" s="219"/>
      <c r="E853" s="219"/>
      <c r="F853" s="219"/>
      <c r="G853" s="222"/>
      <c r="H853" s="227"/>
      <c r="I853" s="227"/>
      <c r="J853" s="217"/>
      <c r="K853" s="217"/>
      <c r="L853" s="217"/>
      <c r="M853" s="231"/>
      <c r="N853" s="235"/>
      <c r="O853" s="239"/>
      <c r="P853" s="245"/>
      <c r="Q853" s="246"/>
      <c r="R853" s="302"/>
      <c r="S853" s="251"/>
      <c r="T853" s="302"/>
      <c r="U853" s="251"/>
      <c r="V853" s="302"/>
      <c r="W853" s="251"/>
      <c r="X853" s="255"/>
      <c r="Y853" s="302"/>
      <c r="Z853" s="259"/>
      <c r="AA853" s="251"/>
      <c r="AB853" s="302"/>
      <c r="AC853" s="306"/>
      <c r="AD853" s="261"/>
      <c r="AE853" s="261"/>
      <c r="AF853" s="282"/>
    </row>
    <row r="854" spans="2:32" hidden="1">
      <c r="B854" s="266"/>
      <c r="C854" s="220"/>
      <c r="D854" s="220"/>
      <c r="E854" s="220"/>
      <c r="F854" s="220"/>
      <c r="G854" s="223"/>
      <c r="H854" s="226"/>
      <c r="I854" s="226"/>
      <c r="J854" s="216"/>
      <c r="K854" s="216"/>
      <c r="L854" s="216"/>
      <c r="M854" s="230"/>
      <c r="N854" s="234"/>
      <c r="O854" s="238"/>
      <c r="P854" s="243"/>
      <c r="Q854" s="244"/>
      <c r="R854" s="301"/>
      <c r="S854" s="250"/>
      <c r="T854" s="301"/>
      <c r="U854" s="250"/>
      <c r="V854" s="301"/>
      <c r="W854" s="250"/>
      <c r="X854" s="254"/>
      <c r="Y854" s="301"/>
      <c r="Z854" s="258"/>
      <c r="AA854" s="250"/>
      <c r="AB854" s="301"/>
      <c r="AC854" s="305"/>
      <c r="AD854" s="262"/>
      <c r="AE854" s="262"/>
      <c r="AF854" s="283"/>
    </row>
    <row r="855" spans="2:32" hidden="1">
      <c r="B855" s="267"/>
      <c r="C855" s="219"/>
      <c r="D855" s="219"/>
      <c r="E855" s="219"/>
      <c r="F855" s="219"/>
      <c r="G855" s="222"/>
      <c r="H855" s="227"/>
      <c r="I855" s="227"/>
      <c r="J855" s="217"/>
      <c r="K855" s="217"/>
      <c r="L855" s="217"/>
      <c r="M855" s="231"/>
      <c r="N855" s="235"/>
      <c r="O855" s="239"/>
      <c r="P855" s="245"/>
      <c r="Q855" s="246"/>
      <c r="R855" s="302"/>
      <c r="S855" s="251"/>
      <c r="T855" s="302"/>
      <c r="U855" s="251"/>
      <c r="V855" s="302"/>
      <c r="W855" s="251"/>
      <c r="X855" s="255"/>
      <c r="Y855" s="302"/>
      <c r="Z855" s="259"/>
      <c r="AA855" s="251"/>
      <c r="AB855" s="302"/>
      <c r="AC855" s="306"/>
      <c r="AD855" s="261"/>
      <c r="AE855" s="261"/>
      <c r="AF855" s="282"/>
    </row>
    <row r="856" spans="2:32" hidden="1">
      <c r="B856" s="266"/>
      <c r="C856" s="220"/>
      <c r="D856" s="220"/>
      <c r="E856" s="220"/>
      <c r="F856" s="220"/>
      <c r="G856" s="223"/>
      <c r="H856" s="226"/>
      <c r="I856" s="226"/>
      <c r="J856" s="216"/>
      <c r="K856" s="216"/>
      <c r="L856" s="216"/>
      <c r="M856" s="230"/>
      <c r="N856" s="234"/>
      <c r="O856" s="238"/>
      <c r="P856" s="243"/>
      <c r="Q856" s="244"/>
      <c r="R856" s="301"/>
      <c r="S856" s="250"/>
      <c r="T856" s="301"/>
      <c r="U856" s="250"/>
      <c r="V856" s="301"/>
      <c r="W856" s="250"/>
      <c r="X856" s="254"/>
      <c r="Y856" s="301"/>
      <c r="Z856" s="258"/>
      <c r="AA856" s="250"/>
      <c r="AB856" s="301"/>
      <c r="AC856" s="305"/>
      <c r="AD856" s="262"/>
      <c r="AE856" s="262"/>
      <c r="AF856" s="283"/>
    </row>
    <row r="857" spans="2:32" hidden="1">
      <c r="B857" s="267"/>
      <c r="C857" s="219"/>
      <c r="D857" s="219"/>
      <c r="E857" s="219"/>
      <c r="F857" s="219"/>
      <c r="G857" s="222"/>
      <c r="H857" s="227"/>
      <c r="I857" s="227"/>
      <c r="J857" s="217"/>
      <c r="K857" s="217"/>
      <c r="L857" s="217"/>
      <c r="M857" s="231"/>
      <c r="N857" s="235"/>
      <c r="O857" s="239"/>
      <c r="P857" s="245"/>
      <c r="Q857" s="246"/>
      <c r="R857" s="302"/>
      <c r="S857" s="251"/>
      <c r="T857" s="302"/>
      <c r="U857" s="251"/>
      <c r="V857" s="302"/>
      <c r="W857" s="251"/>
      <c r="X857" s="255"/>
      <c r="Y857" s="302"/>
      <c r="Z857" s="259"/>
      <c r="AA857" s="251"/>
      <c r="AB857" s="302"/>
      <c r="AC857" s="306"/>
      <c r="AD857" s="261"/>
      <c r="AE857" s="261"/>
      <c r="AF857" s="282"/>
    </row>
    <row r="858" spans="2:32" hidden="1">
      <c r="B858" s="266"/>
      <c r="C858" s="220"/>
      <c r="D858" s="220"/>
      <c r="E858" s="220"/>
      <c r="F858" s="220"/>
      <c r="G858" s="223"/>
      <c r="H858" s="226"/>
      <c r="I858" s="226"/>
      <c r="J858" s="216"/>
      <c r="K858" s="216"/>
      <c r="L858" s="216"/>
      <c r="M858" s="230"/>
      <c r="N858" s="234"/>
      <c r="O858" s="238"/>
      <c r="P858" s="243"/>
      <c r="Q858" s="244"/>
      <c r="R858" s="301"/>
      <c r="S858" s="250"/>
      <c r="T858" s="301"/>
      <c r="U858" s="250"/>
      <c r="V858" s="301"/>
      <c r="W858" s="250"/>
      <c r="X858" s="254"/>
      <c r="Y858" s="301"/>
      <c r="Z858" s="258"/>
      <c r="AA858" s="250"/>
      <c r="AB858" s="301"/>
      <c r="AC858" s="305"/>
      <c r="AD858" s="262"/>
      <c r="AE858" s="262"/>
      <c r="AF858" s="283"/>
    </row>
    <row r="859" spans="2:32" hidden="1">
      <c r="B859" s="267"/>
      <c r="C859" s="219"/>
      <c r="D859" s="219"/>
      <c r="E859" s="219"/>
      <c r="F859" s="219"/>
      <c r="G859" s="222"/>
      <c r="H859" s="227"/>
      <c r="I859" s="227"/>
      <c r="J859" s="217"/>
      <c r="K859" s="217"/>
      <c r="L859" s="217"/>
      <c r="M859" s="231"/>
      <c r="N859" s="235"/>
      <c r="O859" s="239"/>
      <c r="P859" s="245"/>
      <c r="Q859" s="246"/>
      <c r="R859" s="302"/>
      <c r="S859" s="251"/>
      <c r="T859" s="302"/>
      <c r="U859" s="251"/>
      <c r="V859" s="302"/>
      <c r="W859" s="251"/>
      <c r="X859" s="255"/>
      <c r="Y859" s="302"/>
      <c r="Z859" s="259"/>
      <c r="AA859" s="251"/>
      <c r="AB859" s="302"/>
      <c r="AC859" s="306"/>
      <c r="AD859" s="261"/>
      <c r="AE859" s="261"/>
      <c r="AF859" s="282"/>
    </row>
    <row r="860" spans="2:32" hidden="1">
      <c r="B860" s="266"/>
      <c r="C860" s="220"/>
      <c r="D860" s="220"/>
      <c r="E860" s="220"/>
      <c r="F860" s="220"/>
      <c r="G860" s="223"/>
      <c r="H860" s="226"/>
      <c r="I860" s="226"/>
      <c r="J860" s="216"/>
      <c r="K860" s="216"/>
      <c r="L860" s="216"/>
      <c r="M860" s="230"/>
      <c r="N860" s="234"/>
      <c r="O860" s="238"/>
      <c r="P860" s="243"/>
      <c r="Q860" s="244"/>
      <c r="R860" s="301"/>
      <c r="S860" s="250"/>
      <c r="T860" s="301"/>
      <c r="U860" s="250"/>
      <c r="V860" s="301"/>
      <c r="W860" s="250"/>
      <c r="X860" s="254"/>
      <c r="Y860" s="301"/>
      <c r="Z860" s="258"/>
      <c r="AA860" s="250"/>
      <c r="AB860" s="301"/>
      <c r="AC860" s="305"/>
      <c r="AD860" s="262"/>
      <c r="AE860" s="262"/>
      <c r="AF860" s="283"/>
    </row>
    <row r="861" spans="2:32" hidden="1">
      <c r="B861" s="267"/>
      <c r="C861" s="219"/>
      <c r="D861" s="219"/>
      <c r="E861" s="219"/>
      <c r="F861" s="219"/>
      <c r="G861" s="222"/>
      <c r="H861" s="227"/>
      <c r="I861" s="227"/>
      <c r="J861" s="217"/>
      <c r="K861" s="217"/>
      <c r="L861" s="217"/>
      <c r="M861" s="231"/>
      <c r="N861" s="235"/>
      <c r="O861" s="239"/>
      <c r="P861" s="245"/>
      <c r="Q861" s="246"/>
      <c r="R861" s="302"/>
      <c r="S861" s="251"/>
      <c r="T861" s="302"/>
      <c r="U861" s="251"/>
      <c r="V861" s="302"/>
      <c r="W861" s="251"/>
      <c r="X861" s="255"/>
      <c r="Y861" s="302"/>
      <c r="Z861" s="259"/>
      <c r="AA861" s="251"/>
      <c r="AB861" s="302"/>
      <c r="AC861" s="306"/>
      <c r="AD861" s="261"/>
      <c r="AE861" s="261"/>
      <c r="AF861" s="282"/>
    </row>
    <row r="862" spans="2:32" hidden="1">
      <c r="B862" s="266"/>
      <c r="C862" s="220"/>
      <c r="D862" s="220"/>
      <c r="E862" s="220"/>
      <c r="F862" s="220"/>
      <c r="G862" s="223"/>
      <c r="H862" s="226"/>
      <c r="I862" s="226"/>
      <c r="J862" s="216"/>
      <c r="K862" s="216"/>
      <c r="L862" s="216"/>
      <c r="M862" s="230"/>
      <c r="N862" s="234"/>
      <c r="O862" s="238"/>
      <c r="P862" s="243"/>
      <c r="Q862" s="244"/>
      <c r="R862" s="301"/>
      <c r="S862" s="250"/>
      <c r="T862" s="301"/>
      <c r="U862" s="250"/>
      <c r="V862" s="301"/>
      <c r="W862" s="250"/>
      <c r="X862" s="254"/>
      <c r="Y862" s="301"/>
      <c r="Z862" s="258"/>
      <c r="AA862" s="250"/>
      <c r="AB862" s="301"/>
      <c r="AC862" s="305"/>
      <c r="AD862" s="262"/>
      <c r="AE862" s="262"/>
      <c r="AF862" s="283"/>
    </row>
    <row r="863" spans="2:32" hidden="1">
      <c r="B863" s="267"/>
      <c r="C863" s="219"/>
      <c r="D863" s="219"/>
      <c r="E863" s="219"/>
      <c r="F863" s="219"/>
      <c r="G863" s="222"/>
      <c r="H863" s="227"/>
      <c r="I863" s="227"/>
      <c r="J863" s="217"/>
      <c r="K863" s="217"/>
      <c r="L863" s="217"/>
      <c r="M863" s="231"/>
      <c r="N863" s="235"/>
      <c r="O863" s="239"/>
      <c r="P863" s="245"/>
      <c r="Q863" s="246"/>
      <c r="R863" s="302"/>
      <c r="S863" s="251"/>
      <c r="T863" s="302"/>
      <c r="U863" s="251"/>
      <c r="V863" s="302"/>
      <c r="W863" s="251"/>
      <c r="X863" s="255"/>
      <c r="Y863" s="302"/>
      <c r="Z863" s="259"/>
      <c r="AA863" s="251"/>
      <c r="AB863" s="302"/>
      <c r="AC863" s="306"/>
      <c r="AD863" s="261"/>
      <c r="AE863" s="261"/>
      <c r="AF863" s="282"/>
    </row>
    <row r="864" spans="2:32" hidden="1">
      <c r="B864" s="266"/>
      <c r="C864" s="220"/>
      <c r="D864" s="220"/>
      <c r="E864" s="220"/>
      <c r="F864" s="220"/>
      <c r="G864" s="223"/>
      <c r="H864" s="226"/>
      <c r="I864" s="226"/>
      <c r="J864" s="216"/>
      <c r="K864" s="216"/>
      <c r="L864" s="216"/>
      <c r="M864" s="230"/>
      <c r="N864" s="234"/>
      <c r="O864" s="238"/>
      <c r="P864" s="243"/>
      <c r="Q864" s="244"/>
      <c r="R864" s="301"/>
      <c r="S864" s="250"/>
      <c r="T864" s="301"/>
      <c r="U864" s="250"/>
      <c r="V864" s="301"/>
      <c r="W864" s="250"/>
      <c r="X864" s="254"/>
      <c r="Y864" s="301"/>
      <c r="Z864" s="258"/>
      <c r="AA864" s="250"/>
      <c r="AB864" s="301"/>
      <c r="AC864" s="305"/>
      <c r="AD864" s="262"/>
      <c r="AE864" s="262"/>
      <c r="AF864" s="283"/>
    </row>
    <row r="865" spans="2:32" hidden="1">
      <c r="B865" s="267"/>
      <c r="C865" s="219"/>
      <c r="D865" s="219"/>
      <c r="E865" s="219"/>
      <c r="F865" s="219"/>
      <c r="G865" s="222"/>
      <c r="H865" s="227"/>
      <c r="I865" s="227"/>
      <c r="J865" s="217"/>
      <c r="K865" s="217"/>
      <c r="L865" s="217"/>
      <c r="M865" s="231"/>
      <c r="N865" s="235"/>
      <c r="O865" s="239"/>
      <c r="P865" s="245"/>
      <c r="Q865" s="246"/>
      <c r="R865" s="302"/>
      <c r="S865" s="251"/>
      <c r="T865" s="302"/>
      <c r="U865" s="251"/>
      <c r="V865" s="302"/>
      <c r="W865" s="251"/>
      <c r="X865" s="255"/>
      <c r="Y865" s="302"/>
      <c r="Z865" s="259"/>
      <c r="AA865" s="251"/>
      <c r="AB865" s="302"/>
      <c r="AC865" s="306"/>
      <c r="AD865" s="261"/>
      <c r="AE865" s="261"/>
      <c r="AF865" s="282"/>
    </row>
    <row r="866" spans="2:32" hidden="1">
      <c r="B866" s="266"/>
      <c r="C866" s="220"/>
      <c r="D866" s="220"/>
      <c r="E866" s="220"/>
      <c r="F866" s="220"/>
      <c r="G866" s="223"/>
      <c r="H866" s="226"/>
      <c r="I866" s="226"/>
      <c r="J866" s="216"/>
      <c r="K866" s="216"/>
      <c r="L866" s="216"/>
      <c r="M866" s="230"/>
      <c r="N866" s="234"/>
      <c r="O866" s="238"/>
      <c r="P866" s="243"/>
      <c r="Q866" s="244"/>
      <c r="R866" s="301"/>
      <c r="S866" s="250"/>
      <c r="T866" s="301"/>
      <c r="U866" s="250"/>
      <c r="V866" s="301"/>
      <c r="W866" s="250"/>
      <c r="X866" s="254"/>
      <c r="Y866" s="301"/>
      <c r="Z866" s="258"/>
      <c r="AA866" s="250"/>
      <c r="AB866" s="301"/>
      <c r="AC866" s="305"/>
      <c r="AD866" s="262"/>
      <c r="AE866" s="262"/>
      <c r="AF866" s="283"/>
    </row>
    <row r="867" spans="2:32" hidden="1">
      <c r="B867" s="267"/>
      <c r="C867" s="219"/>
      <c r="D867" s="219"/>
      <c r="E867" s="219"/>
      <c r="F867" s="219"/>
      <c r="G867" s="222"/>
      <c r="H867" s="227"/>
      <c r="I867" s="227"/>
      <c r="J867" s="217"/>
      <c r="K867" s="217"/>
      <c r="L867" s="217"/>
      <c r="M867" s="231"/>
      <c r="N867" s="235"/>
      <c r="O867" s="239"/>
      <c r="P867" s="245"/>
      <c r="Q867" s="246"/>
      <c r="R867" s="302"/>
      <c r="S867" s="251"/>
      <c r="T867" s="302"/>
      <c r="U867" s="251"/>
      <c r="V867" s="302"/>
      <c r="W867" s="251"/>
      <c r="X867" s="255"/>
      <c r="Y867" s="302"/>
      <c r="Z867" s="259"/>
      <c r="AA867" s="251"/>
      <c r="AB867" s="302"/>
      <c r="AC867" s="306"/>
      <c r="AD867" s="261"/>
      <c r="AE867" s="261"/>
      <c r="AF867" s="282"/>
    </row>
    <row r="868" spans="2:32" hidden="1">
      <c r="B868" s="266"/>
      <c r="C868" s="220"/>
      <c r="D868" s="220"/>
      <c r="E868" s="220"/>
      <c r="F868" s="220"/>
      <c r="G868" s="223"/>
      <c r="H868" s="226"/>
      <c r="I868" s="226"/>
      <c r="J868" s="216"/>
      <c r="K868" s="216"/>
      <c r="L868" s="216"/>
      <c r="M868" s="230"/>
      <c r="N868" s="234"/>
      <c r="O868" s="238"/>
      <c r="P868" s="243"/>
      <c r="Q868" s="244"/>
      <c r="R868" s="301"/>
      <c r="S868" s="250"/>
      <c r="T868" s="301"/>
      <c r="U868" s="250"/>
      <c r="V868" s="301"/>
      <c r="W868" s="250"/>
      <c r="X868" s="254"/>
      <c r="Y868" s="301"/>
      <c r="Z868" s="258"/>
      <c r="AA868" s="250"/>
      <c r="AB868" s="301"/>
      <c r="AC868" s="305"/>
      <c r="AD868" s="262"/>
      <c r="AE868" s="262"/>
      <c r="AF868" s="283"/>
    </row>
    <row r="869" spans="2:32" hidden="1">
      <c r="B869" s="267"/>
      <c r="C869" s="219"/>
      <c r="D869" s="219"/>
      <c r="E869" s="219"/>
      <c r="F869" s="219"/>
      <c r="G869" s="222"/>
      <c r="H869" s="227"/>
      <c r="I869" s="227"/>
      <c r="J869" s="217"/>
      <c r="K869" s="217"/>
      <c r="L869" s="217"/>
      <c r="M869" s="231"/>
      <c r="N869" s="235"/>
      <c r="O869" s="239"/>
      <c r="P869" s="245"/>
      <c r="Q869" s="246"/>
      <c r="R869" s="302"/>
      <c r="S869" s="251"/>
      <c r="T869" s="302"/>
      <c r="U869" s="251"/>
      <c r="V869" s="302"/>
      <c r="W869" s="251"/>
      <c r="X869" s="255"/>
      <c r="Y869" s="302"/>
      <c r="Z869" s="259"/>
      <c r="AA869" s="251"/>
      <c r="AB869" s="302"/>
      <c r="AC869" s="306"/>
      <c r="AD869" s="261"/>
      <c r="AE869" s="261"/>
      <c r="AF869" s="282"/>
    </row>
    <row r="870" spans="2:32" hidden="1">
      <c r="B870" s="266"/>
      <c r="C870" s="220"/>
      <c r="D870" s="220"/>
      <c r="E870" s="220"/>
      <c r="F870" s="220"/>
      <c r="G870" s="223"/>
      <c r="H870" s="226"/>
      <c r="I870" s="226"/>
      <c r="J870" s="216"/>
      <c r="K870" s="216"/>
      <c r="L870" s="216"/>
      <c r="M870" s="230"/>
      <c r="N870" s="234"/>
      <c r="O870" s="238"/>
      <c r="P870" s="243"/>
      <c r="Q870" s="244"/>
      <c r="R870" s="301"/>
      <c r="S870" s="250"/>
      <c r="T870" s="301"/>
      <c r="U870" s="250"/>
      <c r="V870" s="301"/>
      <c r="W870" s="250"/>
      <c r="X870" s="254"/>
      <c r="Y870" s="301"/>
      <c r="Z870" s="258"/>
      <c r="AA870" s="250"/>
      <c r="AB870" s="301"/>
      <c r="AC870" s="305"/>
      <c r="AD870" s="262"/>
      <c r="AE870" s="262"/>
      <c r="AF870" s="283"/>
    </row>
    <row r="871" spans="2:32" hidden="1">
      <c r="B871" s="267"/>
      <c r="C871" s="219"/>
      <c r="D871" s="219"/>
      <c r="E871" s="219"/>
      <c r="F871" s="219"/>
      <c r="G871" s="222"/>
      <c r="H871" s="227"/>
      <c r="I871" s="227"/>
      <c r="J871" s="217"/>
      <c r="K871" s="217"/>
      <c r="L871" s="217"/>
      <c r="M871" s="231"/>
      <c r="N871" s="235"/>
      <c r="O871" s="239"/>
      <c r="P871" s="245"/>
      <c r="Q871" s="246"/>
      <c r="R871" s="302"/>
      <c r="S871" s="251"/>
      <c r="T871" s="302"/>
      <c r="U871" s="251"/>
      <c r="V871" s="302"/>
      <c r="W871" s="251"/>
      <c r="X871" s="255"/>
      <c r="Y871" s="302"/>
      <c r="Z871" s="259"/>
      <c r="AA871" s="251"/>
      <c r="AB871" s="302"/>
      <c r="AC871" s="306"/>
      <c r="AD871" s="261"/>
      <c r="AE871" s="261"/>
      <c r="AF871" s="282"/>
    </row>
    <row r="872" spans="2:32" hidden="1">
      <c r="B872" s="266"/>
      <c r="C872" s="220"/>
      <c r="D872" s="220"/>
      <c r="E872" s="220"/>
      <c r="F872" s="220"/>
      <c r="G872" s="223"/>
      <c r="H872" s="226"/>
      <c r="I872" s="226"/>
      <c r="J872" s="216"/>
      <c r="K872" s="216"/>
      <c r="L872" s="216"/>
      <c r="M872" s="230"/>
      <c r="N872" s="234"/>
      <c r="O872" s="238"/>
      <c r="P872" s="243"/>
      <c r="Q872" s="244"/>
      <c r="R872" s="301"/>
      <c r="S872" s="250"/>
      <c r="T872" s="301"/>
      <c r="U872" s="250"/>
      <c r="V872" s="301"/>
      <c r="W872" s="250"/>
      <c r="X872" s="254"/>
      <c r="Y872" s="301"/>
      <c r="Z872" s="258"/>
      <c r="AA872" s="250"/>
      <c r="AB872" s="301"/>
      <c r="AC872" s="305"/>
      <c r="AD872" s="262"/>
      <c r="AE872" s="262"/>
      <c r="AF872" s="283"/>
    </row>
    <row r="873" spans="2:32" hidden="1">
      <c r="B873" s="267"/>
      <c r="C873" s="219"/>
      <c r="D873" s="219"/>
      <c r="E873" s="219"/>
      <c r="F873" s="219"/>
      <c r="G873" s="222"/>
      <c r="H873" s="227"/>
      <c r="I873" s="227"/>
      <c r="J873" s="217"/>
      <c r="K873" s="217"/>
      <c r="L873" s="217"/>
      <c r="M873" s="231"/>
      <c r="N873" s="235"/>
      <c r="O873" s="239"/>
      <c r="P873" s="245"/>
      <c r="Q873" s="246"/>
      <c r="R873" s="302"/>
      <c r="S873" s="251"/>
      <c r="T873" s="302"/>
      <c r="U873" s="251"/>
      <c r="V873" s="302"/>
      <c r="W873" s="251"/>
      <c r="X873" s="255"/>
      <c r="Y873" s="302"/>
      <c r="Z873" s="259"/>
      <c r="AA873" s="251"/>
      <c r="AB873" s="302"/>
      <c r="AC873" s="306"/>
      <c r="AD873" s="261"/>
      <c r="AE873" s="261"/>
      <c r="AF873" s="282"/>
    </row>
    <row r="874" spans="2:32" hidden="1">
      <c r="B874" s="266"/>
      <c r="C874" s="220"/>
      <c r="D874" s="220"/>
      <c r="E874" s="220"/>
      <c r="F874" s="220"/>
      <c r="G874" s="223"/>
      <c r="H874" s="226"/>
      <c r="I874" s="226"/>
      <c r="J874" s="216"/>
      <c r="K874" s="216"/>
      <c r="L874" s="216"/>
      <c r="M874" s="230"/>
      <c r="N874" s="234"/>
      <c r="O874" s="238"/>
      <c r="P874" s="243"/>
      <c r="Q874" s="244"/>
      <c r="R874" s="301"/>
      <c r="S874" s="250"/>
      <c r="T874" s="301"/>
      <c r="U874" s="250"/>
      <c r="V874" s="301"/>
      <c r="W874" s="250"/>
      <c r="X874" s="254"/>
      <c r="Y874" s="301"/>
      <c r="Z874" s="258"/>
      <c r="AA874" s="250"/>
      <c r="AB874" s="301"/>
      <c r="AC874" s="305"/>
      <c r="AD874" s="262"/>
      <c r="AE874" s="262"/>
      <c r="AF874" s="283"/>
    </row>
    <row r="875" spans="2:32" hidden="1">
      <c r="B875" s="267"/>
      <c r="C875" s="219"/>
      <c r="D875" s="219"/>
      <c r="E875" s="219"/>
      <c r="F875" s="219"/>
      <c r="G875" s="222"/>
      <c r="H875" s="227"/>
      <c r="I875" s="227"/>
      <c r="J875" s="217"/>
      <c r="K875" s="217"/>
      <c r="L875" s="217"/>
      <c r="M875" s="231"/>
      <c r="N875" s="235"/>
      <c r="O875" s="239"/>
      <c r="P875" s="245"/>
      <c r="Q875" s="246"/>
      <c r="R875" s="302"/>
      <c r="S875" s="251"/>
      <c r="T875" s="302"/>
      <c r="U875" s="251"/>
      <c r="V875" s="302"/>
      <c r="W875" s="251"/>
      <c r="X875" s="255"/>
      <c r="Y875" s="302"/>
      <c r="Z875" s="259"/>
      <c r="AA875" s="251"/>
      <c r="AB875" s="302"/>
      <c r="AC875" s="306"/>
      <c r="AD875" s="261"/>
      <c r="AE875" s="261"/>
      <c r="AF875" s="282"/>
    </row>
    <row r="876" spans="2:32" hidden="1">
      <c r="B876" s="266"/>
      <c r="C876" s="220"/>
      <c r="D876" s="220"/>
      <c r="E876" s="220"/>
      <c r="F876" s="220"/>
      <c r="G876" s="223"/>
      <c r="H876" s="226"/>
      <c r="I876" s="226"/>
      <c r="J876" s="216"/>
      <c r="K876" s="216"/>
      <c r="L876" s="216"/>
      <c r="M876" s="230"/>
      <c r="N876" s="234"/>
      <c r="O876" s="238"/>
      <c r="P876" s="243"/>
      <c r="Q876" s="244"/>
      <c r="R876" s="301"/>
      <c r="S876" s="250"/>
      <c r="T876" s="301"/>
      <c r="U876" s="250"/>
      <c r="V876" s="301"/>
      <c r="W876" s="250"/>
      <c r="X876" s="254"/>
      <c r="Y876" s="301"/>
      <c r="Z876" s="258"/>
      <c r="AA876" s="250"/>
      <c r="AB876" s="301"/>
      <c r="AC876" s="305"/>
      <c r="AD876" s="262"/>
      <c r="AE876" s="262"/>
      <c r="AF876" s="283"/>
    </row>
    <row r="877" spans="2:32" hidden="1">
      <c r="B877" s="267"/>
      <c r="C877" s="219"/>
      <c r="D877" s="219"/>
      <c r="E877" s="219"/>
      <c r="F877" s="219"/>
      <c r="G877" s="222"/>
      <c r="H877" s="227"/>
      <c r="I877" s="227"/>
      <c r="J877" s="217"/>
      <c r="K877" s="217"/>
      <c r="L877" s="217"/>
      <c r="M877" s="231"/>
      <c r="N877" s="235"/>
      <c r="O877" s="239"/>
      <c r="P877" s="245"/>
      <c r="Q877" s="246"/>
      <c r="R877" s="302"/>
      <c r="S877" s="251"/>
      <c r="T877" s="302"/>
      <c r="U877" s="251"/>
      <c r="V877" s="302"/>
      <c r="W877" s="251"/>
      <c r="X877" s="255"/>
      <c r="Y877" s="302"/>
      <c r="Z877" s="259"/>
      <c r="AA877" s="251"/>
      <c r="AB877" s="302"/>
      <c r="AC877" s="306"/>
      <c r="AD877" s="261"/>
      <c r="AE877" s="261"/>
      <c r="AF877" s="282"/>
    </row>
    <row r="878" spans="2:32" hidden="1">
      <c r="B878" s="266"/>
      <c r="C878" s="220"/>
      <c r="D878" s="220"/>
      <c r="E878" s="220"/>
      <c r="F878" s="220"/>
      <c r="G878" s="223"/>
      <c r="H878" s="226"/>
      <c r="I878" s="226"/>
      <c r="J878" s="216"/>
      <c r="K878" s="216"/>
      <c r="L878" s="216"/>
      <c r="M878" s="230"/>
      <c r="N878" s="234"/>
      <c r="O878" s="238"/>
      <c r="P878" s="243"/>
      <c r="Q878" s="244"/>
      <c r="R878" s="301"/>
      <c r="S878" s="250"/>
      <c r="T878" s="301"/>
      <c r="U878" s="250"/>
      <c r="V878" s="301"/>
      <c r="W878" s="250"/>
      <c r="X878" s="254"/>
      <c r="Y878" s="301"/>
      <c r="Z878" s="258"/>
      <c r="AA878" s="250"/>
      <c r="AB878" s="301"/>
      <c r="AC878" s="305"/>
      <c r="AD878" s="262"/>
      <c r="AE878" s="262"/>
      <c r="AF878" s="283"/>
    </row>
    <row r="879" spans="2:32" hidden="1">
      <c r="B879" s="267"/>
      <c r="C879" s="219"/>
      <c r="D879" s="219"/>
      <c r="E879" s="219"/>
      <c r="F879" s="219"/>
      <c r="G879" s="222"/>
      <c r="H879" s="227"/>
      <c r="I879" s="227"/>
      <c r="J879" s="217"/>
      <c r="K879" s="217"/>
      <c r="L879" s="217"/>
      <c r="M879" s="231"/>
      <c r="N879" s="235"/>
      <c r="O879" s="239"/>
      <c r="P879" s="245"/>
      <c r="Q879" s="246"/>
      <c r="R879" s="302"/>
      <c r="S879" s="251"/>
      <c r="T879" s="302"/>
      <c r="U879" s="251"/>
      <c r="V879" s="302"/>
      <c r="W879" s="251"/>
      <c r="X879" s="255"/>
      <c r="Y879" s="302"/>
      <c r="Z879" s="259"/>
      <c r="AA879" s="251"/>
      <c r="AB879" s="302"/>
      <c r="AC879" s="306"/>
      <c r="AD879" s="261"/>
      <c r="AE879" s="261"/>
      <c r="AF879" s="282"/>
    </row>
    <row r="880" spans="2:32" hidden="1">
      <c r="B880" s="266"/>
      <c r="C880" s="220"/>
      <c r="D880" s="220"/>
      <c r="E880" s="220"/>
      <c r="F880" s="220"/>
      <c r="G880" s="223"/>
      <c r="H880" s="226"/>
      <c r="I880" s="226"/>
      <c r="J880" s="216"/>
      <c r="K880" s="216"/>
      <c r="L880" s="216"/>
      <c r="M880" s="230"/>
      <c r="N880" s="234"/>
      <c r="O880" s="238"/>
      <c r="P880" s="243"/>
      <c r="Q880" s="244"/>
      <c r="R880" s="301"/>
      <c r="S880" s="250"/>
      <c r="T880" s="301"/>
      <c r="U880" s="250"/>
      <c r="V880" s="301"/>
      <c r="W880" s="250"/>
      <c r="X880" s="254"/>
      <c r="Y880" s="301"/>
      <c r="Z880" s="258"/>
      <c r="AA880" s="250"/>
      <c r="AB880" s="301"/>
      <c r="AC880" s="305"/>
      <c r="AD880" s="262"/>
      <c r="AE880" s="262"/>
      <c r="AF880" s="283"/>
    </row>
    <row r="881" spans="2:32" hidden="1">
      <c r="B881" s="267"/>
      <c r="C881" s="219"/>
      <c r="D881" s="219"/>
      <c r="E881" s="219"/>
      <c r="F881" s="219"/>
      <c r="G881" s="222"/>
      <c r="H881" s="227"/>
      <c r="I881" s="227"/>
      <c r="J881" s="217"/>
      <c r="K881" s="217"/>
      <c r="L881" s="217"/>
      <c r="M881" s="231"/>
      <c r="N881" s="235"/>
      <c r="O881" s="239"/>
      <c r="P881" s="245"/>
      <c r="Q881" s="246"/>
      <c r="R881" s="302"/>
      <c r="S881" s="251"/>
      <c r="T881" s="302"/>
      <c r="U881" s="251"/>
      <c r="V881" s="302"/>
      <c r="W881" s="251"/>
      <c r="X881" s="255"/>
      <c r="Y881" s="302"/>
      <c r="Z881" s="259"/>
      <c r="AA881" s="251"/>
      <c r="AB881" s="302"/>
      <c r="AC881" s="306"/>
      <c r="AD881" s="261"/>
      <c r="AE881" s="261"/>
      <c r="AF881" s="282"/>
    </row>
    <row r="882" spans="2:32" hidden="1">
      <c r="B882" s="266"/>
      <c r="C882" s="220"/>
      <c r="D882" s="220"/>
      <c r="E882" s="220"/>
      <c r="F882" s="220"/>
      <c r="G882" s="223"/>
      <c r="H882" s="226"/>
      <c r="I882" s="226"/>
      <c r="J882" s="216"/>
      <c r="K882" s="216"/>
      <c r="L882" s="216"/>
      <c r="M882" s="230"/>
      <c r="N882" s="234"/>
      <c r="O882" s="238"/>
      <c r="P882" s="243"/>
      <c r="Q882" s="244"/>
      <c r="R882" s="301"/>
      <c r="S882" s="250"/>
      <c r="T882" s="301"/>
      <c r="U882" s="250"/>
      <c r="V882" s="301"/>
      <c r="W882" s="250"/>
      <c r="X882" s="254"/>
      <c r="Y882" s="301"/>
      <c r="Z882" s="258"/>
      <c r="AA882" s="250"/>
      <c r="AB882" s="301"/>
      <c r="AC882" s="305"/>
      <c r="AD882" s="262"/>
      <c r="AE882" s="262"/>
      <c r="AF882" s="283"/>
    </row>
    <row r="883" spans="2:32" hidden="1">
      <c r="B883" s="267"/>
      <c r="C883" s="219"/>
      <c r="D883" s="219"/>
      <c r="E883" s="219"/>
      <c r="F883" s="219"/>
      <c r="G883" s="222"/>
      <c r="H883" s="227"/>
      <c r="I883" s="227"/>
      <c r="J883" s="217"/>
      <c r="K883" s="217"/>
      <c r="L883" s="217"/>
      <c r="M883" s="231"/>
      <c r="N883" s="235"/>
      <c r="O883" s="239"/>
      <c r="P883" s="245"/>
      <c r="Q883" s="246"/>
      <c r="R883" s="302"/>
      <c r="S883" s="251"/>
      <c r="T883" s="302"/>
      <c r="U883" s="251"/>
      <c r="V883" s="302"/>
      <c r="W883" s="251"/>
      <c r="X883" s="255"/>
      <c r="Y883" s="302"/>
      <c r="Z883" s="259"/>
      <c r="AA883" s="251"/>
      <c r="AB883" s="302"/>
      <c r="AC883" s="306"/>
      <c r="AD883" s="261"/>
      <c r="AE883" s="261"/>
      <c r="AF883" s="282"/>
    </row>
    <row r="884" spans="2:32" hidden="1">
      <c r="B884" s="266"/>
      <c r="C884" s="220"/>
      <c r="D884" s="220"/>
      <c r="E884" s="220"/>
      <c r="F884" s="220"/>
      <c r="G884" s="223"/>
      <c r="H884" s="226"/>
      <c r="I884" s="226"/>
      <c r="J884" s="216"/>
      <c r="K884" s="216"/>
      <c r="L884" s="216"/>
      <c r="M884" s="230"/>
      <c r="N884" s="234"/>
      <c r="O884" s="238"/>
      <c r="P884" s="243"/>
      <c r="Q884" s="244"/>
      <c r="R884" s="301"/>
      <c r="S884" s="250"/>
      <c r="T884" s="301"/>
      <c r="U884" s="250"/>
      <c r="V884" s="301"/>
      <c r="W884" s="250"/>
      <c r="X884" s="254"/>
      <c r="Y884" s="301"/>
      <c r="Z884" s="258"/>
      <c r="AA884" s="250"/>
      <c r="AB884" s="301"/>
      <c r="AC884" s="305"/>
      <c r="AD884" s="262"/>
      <c r="AE884" s="262"/>
      <c r="AF884" s="283"/>
    </row>
    <row r="885" spans="2:32" hidden="1">
      <c r="B885" s="267"/>
      <c r="C885" s="219"/>
      <c r="D885" s="219"/>
      <c r="E885" s="219"/>
      <c r="F885" s="219"/>
      <c r="G885" s="222"/>
      <c r="H885" s="227"/>
      <c r="I885" s="227"/>
      <c r="J885" s="217"/>
      <c r="K885" s="217"/>
      <c r="L885" s="217"/>
      <c r="M885" s="231"/>
      <c r="N885" s="235"/>
      <c r="O885" s="239"/>
      <c r="P885" s="245"/>
      <c r="Q885" s="246"/>
      <c r="R885" s="302"/>
      <c r="S885" s="251"/>
      <c r="T885" s="302"/>
      <c r="U885" s="251"/>
      <c r="V885" s="302"/>
      <c r="W885" s="251"/>
      <c r="X885" s="255"/>
      <c r="Y885" s="302"/>
      <c r="Z885" s="259"/>
      <c r="AA885" s="251"/>
      <c r="AB885" s="302"/>
      <c r="AC885" s="306"/>
      <c r="AD885" s="261"/>
      <c r="AE885" s="261"/>
      <c r="AF885" s="282"/>
    </row>
    <row r="886" spans="2:32" hidden="1">
      <c r="B886" s="266"/>
      <c r="C886" s="220"/>
      <c r="D886" s="220"/>
      <c r="E886" s="220"/>
      <c r="F886" s="220"/>
      <c r="G886" s="223"/>
      <c r="H886" s="226"/>
      <c r="I886" s="226"/>
      <c r="J886" s="216"/>
      <c r="K886" s="216"/>
      <c r="L886" s="216"/>
      <c r="M886" s="230"/>
      <c r="N886" s="234"/>
      <c r="O886" s="238"/>
      <c r="P886" s="243"/>
      <c r="Q886" s="244"/>
      <c r="R886" s="301"/>
      <c r="S886" s="250"/>
      <c r="T886" s="301"/>
      <c r="U886" s="250"/>
      <c r="V886" s="301"/>
      <c r="W886" s="250"/>
      <c r="X886" s="254"/>
      <c r="Y886" s="301"/>
      <c r="Z886" s="258"/>
      <c r="AA886" s="250"/>
      <c r="AB886" s="301"/>
      <c r="AC886" s="305"/>
      <c r="AD886" s="262"/>
      <c r="AE886" s="262"/>
      <c r="AF886" s="283"/>
    </row>
    <row r="887" spans="2:32" hidden="1">
      <c r="B887" s="267"/>
      <c r="C887" s="219"/>
      <c r="D887" s="219"/>
      <c r="E887" s="219"/>
      <c r="F887" s="219"/>
      <c r="G887" s="222"/>
      <c r="H887" s="227"/>
      <c r="I887" s="227"/>
      <c r="J887" s="217"/>
      <c r="K887" s="217"/>
      <c r="L887" s="217"/>
      <c r="M887" s="231"/>
      <c r="N887" s="235"/>
      <c r="O887" s="239"/>
      <c r="P887" s="245"/>
      <c r="Q887" s="246"/>
      <c r="R887" s="302"/>
      <c r="S887" s="251"/>
      <c r="T887" s="302"/>
      <c r="U887" s="251"/>
      <c r="V887" s="302"/>
      <c r="W887" s="251"/>
      <c r="X887" s="255"/>
      <c r="Y887" s="302"/>
      <c r="Z887" s="259"/>
      <c r="AA887" s="251"/>
      <c r="AB887" s="302"/>
      <c r="AC887" s="306"/>
      <c r="AD887" s="261"/>
      <c r="AE887" s="261"/>
      <c r="AF887" s="282"/>
    </row>
    <row r="888" spans="2:32" hidden="1">
      <c r="B888" s="266"/>
      <c r="C888" s="220"/>
      <c r="D888" s="220"/>
      <c r="E888" s="220"/>
      <c r="F888" s="220"/>
      <c r="G888" s="223"/>
      <c r="H888" s="226"/>
      <c r="I888" s="226"/>
      <c r="J888" s="216"/>
      <c r="K888" s="216"/>
      <c r="L888" s="216"/>
      <c r="M888" s="230"/>
      <c r="N888" s="234"/>
      <c r="O888" s="238"/>
      <c r="P888" s="243"/>
      <c r="Q888" s="244"/>
      <c r="R888" s="301"/>
      <c r="S888" s="250"/>
      <c r="T888" s="301"/>
      <c r="U888" s="250"/>
      <c r="V888" s="301"/>
      <c r="W888" s="250"/>
      <c r="X888" s="254"/>
      <c r="Y888" s="301"/>
      <c r="Z888" s="258"/>
      <c r="AA888" s="250"/>
      <c r="AB888" s="301"/>
      <c r="AC888" s="305"/>
      <c r="AD888" s="262"/>
      <c r="AE888" s="262"/>
      <c r="AF888" s="283"/>
    </row>
    <row r="889" spans="2:32" hidden="1">
      <c r="B889" s="267"/>
      <c r="C889" s="219"/>
      <c r="D889" s="219"/>
      <c r="E889" s="219"/>
      <c r="F889" s="219"/>
      <c r="G889" s="222"/>
      <c r="H889" s="227"/>
      <c r="I889" s="227"/>
      <c r="J889" s="217"/>
      <c r="K889" s="217"/>
      <c r="L889" s="217"/>
      <c r="M889" s="231"/>
      <c r="N889" s="235"/>
      <c r="O889" s="239"/>
      <c r="P889" s="245"/>
      <c r="Q889" s="246"/>
      <c r="R889" s="302"/>
      <c r="S889" s="251"/>
      <c r="T889" s="302"/>
      <c r="U889" s="251"/>
      <c r="V889" s="302"/>
      <c r="W889" s="251"/>
      <c r="X889" s="255"/>
      <c r="Y889" s="302"/>
      <c r="Z889" s="259"/>
      <c r="AA889" s="251"/>
      <c r="AB889" s="302"/>
      <c r="AC889" s="306"/>
      <c r="AD889" s="261"/>
      <c r="AE889" s="261"/>
      <c r="AF889" s="282"/>
    </row>
    <row r="890" spans="2:32" hidden="1">
      <c r="B890" s="266"/>
      <c r="C890" s="220"/>
      <c r="D890" s="220"/>
      <c r="E890" s="220"/>
      <c r="F890" s="220"/>
      <c r="G890" s="223"/>
      <c r="H890" s="226"/>
      <c r="I890" s="226"/>
      <c r="J890" s="216"/>
      <c r="K890" s="216"/>
      <c r="L890" s="216"/>
      <c r="M890" s="230"/>
      <c r="N890" s="234"/>
      <c r="O890" s="238"/>
      <c r="P890" s="243"/>
      <c r="Q890" s="244"/>
      <c r="R890" s="301"/>
      <c r="S890" s="250"/>
      <c r="T890" s="301"/>
      <c r="U890" s="250"/>
      <c r="V890" s="301"/>
      <c r="W890" s="250"/>
      <c r="X890" s="254"/>
      <c r="Y890" s="301"/>
      <c r="Z890" s="258"/>
      <c r="AA890" s="250"/>
      <c r="AB890" s="301"/>
      <c r="AC890" s="305"/>
      <c r="AD890" s="262"/>
      <c r="AE890" s="262"/>
      <c r="AF890" s="283"/>
    </row>
    <row r="891" spans="2:32" hidden="1">
      <c r="B891" s="267"/>
      <c r="C891" s="219"/>
      <c r="D891" s="219"/>
      <c r="E891" s="219"/>
      <c r="F891" s="219"/>
      <c r="G891" s="222"/>
      <c r="H891" s="227"/>
      <c r="I891" s="227"/>
      <c r="J891" s="217"/>
      <c r="K891" s="217"/>
      <c r="L891" s="217"/>
      <c r="M891" s="231"/>
      <c r="N891" s="235"/>
      <c r="O891" s="239"/>
      <c r="P891" s="245"/>
      <c r="Q891" s="246"/>
      <c r="R891" s="302"/>
      <c r="S891" s="251"/>
      <c r="T891" s="302"/>
      <c r="U891" s="251"/>
      <c r="V891" s="302"/>
      <c r="W891" s="251"/>
      <c r="X891" s="255"/>
      <c r="Y891" s="302"/>
      <c r="Z891" s="259"/>
      <c r="AA891" s="251"/>
      <c r="AB891" s="302"/>
      <c r="AC891" s="306"/>
      <c r="AD891" s="261"/>
      <c r="AE891" s="261"/>
      <c r="AF891" s="282"/>
    </row>
    <row r="892" spans="2:32" hidden="1">
      <c r="B892" s="266"/>
      <c r="C892" s="220"/>
      <c r="D892" s="220"/>
      <c r="E892" s="220"/>
      <c r="F892" s="220"/>
      <c r="G892" s="223"/>
      <c r="H892" s="226"/>
      <c r="I892" s="226"/>
      <c r="J892" s="216"/>
      <c r="K892" s="216"/>
      <c r="L892" s="216"/>
      <c r="M892" s="230"/>
      <c r="N892" s="234"/>
      <c r="O892" s="238"/>
      <c r="P892" s="243"/>
      <c r="Q892" s="244"/>
      <c r="R892" s="301"/>
      <c r="S892" s="250"/>
      <c r="T892" s="301"/>
      <c r="U892" s="250"/>
      <c r="V892" s="301"/>
      <c r="W892" s="250"/>
      <c r="X892" s="254"/>
      <c r="Y892" s="301"/>
      <c r="Z892" s="258"/>
      <c r="AA892" s="250"/>
      <c r="AB892" s="301"/>
      <c r="AC892" s="305"/>
      <c r="AD892" s="262"/>
      <c r="AE892" s="262"/>
      <c r="AF892" s="283"/>
    </row>
    <row r="893" spans="2:32" hidden="1">
      <c r="B893" s="267"/>
      <c r="C893" s="219"/>
      <c r="D893" s="219"/>
      <c r="E893" s="219"/>
      <c r="F893" s="219"/>
      <c r="G893" s="222"/>
      <c r="H893" s="227"/>
      <c r="I893" s="227"/>
      <c r="J893" s="217"/>
      <c r="K893" s="217"/>
      <c r="L893" s="217"/>
      <c r="M893" s="231"/>
      <c r="N893" s="235"/>
      <c r="O893" s="239"/>
      <c r="P893" s="245"/>
      <c r="Q893" s="246"/>
      <c r="R893" s="302"/>
      <c r="S893" s="251"/>
      <c r="T893" s="302"/>
      <c r="U893" s="251"/>
      <c r="V893" s="302"/>
      <c r="W893" s="251"/>
      <c r="X893" s="255"/>
      <c r="Y893" s="302"/>
      <c r="Z893" s="259"/>
      <c r="AA893" s="251"/>
      <c r="AB893" s="302"/>
      <c r="AC893" s="306"/>
      <c r="AD893" s="261"/>
      <c r="AE893" s="261"/>
      <c r="AF893" s="282"/>
    </row>
    <row r="894" spans="2:32" hidden="1">
      <c r="B894" s="266"/>
      <c r="C894" s="220"/>
      <c r="D894" s="220"/>
      <c r="E894" s="220"/>
      <c r="F894" s="220"/>
      <c r="G894" s="223"/>
      <c r="H894" s="226"/>
      <c r="I894" s="226"/>
      <c r="J894" s="216"/>
      <c r="K894" s="216"/>
      <c r="L894" s="216"/>
      <c r="M894" s="230"/>
      <c r="N894" s="234"/>
      <c r="O894" s="238"/>
      <c r="P894" s="243"/>
      <c r="Q894" s="244"/>
      <c r="R894" s="301"/>
      <c r="S894" s="250"/>
      <c r="T894" s="301"/>
      <c r="U894" s="250"/>
      <c r="V894" s="301"/>
      <c r="W894" s="250"/>
      <c r="X894" s="254"/>
      <c r="Y894" s="301"/>
      <c r="Z894" s="258"/>
      <c r="AA894" s="250"/>
      <c r="AB894" s="301"/>
      <c r="AC894" s="305"/>
      <c r="AD894" s="262"/>
      <c r="AE894" s="262"/>
      <c r="AF894" s="283"/>
    </row>
    <row r="895" spans="2:32" hidden="1">
      <c r="B895" s="267"/>
      <c r="C895" s="219"/>
      <c r="D895" s="219"/>
      <c r="E895" s="219"/>
      <c r="F895" s="219"/>
      <c r="G895" s="222"/>
      <c r="H895" s="227"/>
      <c r="I895" s="227"/>
      <c r="J895" s="217"/>
      <c r="K895" s="217"/>
      <c r="L895" s="217"/>
      <c r="M895" s="231"/>
      <c r="N895" s="235"/>
      <c r="O895" s="239"/>
      <c r="P895" s="245"/>
      <c r="Q895" s="246"/>
      <c r="R895" s="302"/>
      <c r="S895" s="251"/>
      <c r="T895" s="302"/>
      <c r="U895" s="251"/>
      <c r="V895" s="302"/>
      <c r="W895" s="251"/>
      <c r="X895" s="255"/>
      <c r="Y895" s="302"/>
      <c r="Z895" s="259"/>
      <c r="AA895" s="251"/>
      <c r="AB895" s="302"/>
      <c r="AC895" s="306"/>
      <c r="AD895" s="261"/>
      <c r="AE895" s="261"/>
      <c r="AF895" s="282"/>
    </row>
    <row r="896" spans="2:32" hidden="1">
      <c r="B896" s="266"/>
      <c r="C896" s="220"/>
      <c r="D896" s="220"/>
      <c r="E896" s="220"/>
      <c r="F896" s="220"/>
      <c r="G896" s="223"/>
      <c r="H896" s="226"/>
      <c r="I896" s="226"/>
      <c r="J896" s="216"/>
      <c r="K896" s="216"/>
      <c r="L896" s="216"/>
      <c r="M896" s="230"/>
      <c r="N896" s="234"/>
      <c r="O896" s="238"/>
      <c r="P896" s="243"/>
      <c r="Q896" s="244"/>
      <c r="R896" s="301"/>
      <c r="S896" s="250"/>
      <c r="T896" s="301"/>
      <c r="U896" s="250"/>
      <c r="V896" s="301"/>
      <c r="W896" s="250"/>
      <c r="X896" s="254"/>
      <c r="Y896" s="301"/>
      <c r="Z896" s="258"/>
      <c r="AA896" s="250"/>
      <c r="AB896" s="301"/>
      <c r="AC896" s="305"/>
      <c r="AD896" s="262"/>
      <c r="AE896" s="262"/>
      <c r="AF896" s="283"/>
    </row>
    <row r="897" spans="2:32" hidden="1">
      <c r="B897" s="267"/>
      <c r="C897" s="219"/>
      <c r="D897" s="219"/>
      <c r="E897" s="219"/>
      <c r="F897" s="219"/>
      <c r="G897" s="222"/>
      <c r="H897" s="227"/>
      <c r="I897" s="227"/>
      <c r="J897" s="217"/>
      <c r="K897" s="217"/>
      <c r="L897" s="217"/>
      <c r="M897" s="231"/>
      <c r="N897" s="235"/>
      <c r="O897" s="239"/>
      <c r="P897" s="245"/>
      <c r="Q897" s="246"/>
      <c r="R897" s="302"/>
      <c r="S897" s="251"/>
      <c r="T897" s="302"/>
      <c r="U897" s="251"/>
      <c r="V897" s="302"/>
      <c r="W897" s="251"/>
      <c r="X897" s="255"/>
      <c r="Y897" s="302"/>
      <c r="Z897" s="259"/>
      <c r="AA897" s="251"/>
      <c r="AB897" s="302"/>
      <c r="AC897" s="306"/>
      <c r="AD897" s="261"/>
      <c r="AE897" s="261"/>
      <c r="AF897" s="282"/>
    </row>
    <row r="898" spans="2:32" hidden="1">
      <c r="B898" s="266"/>
      <c r="C898" s="220"/>
      <c r="D898" s="220"/>
      <c r="E898" s="220"/>
      <c r="F898" s="220"/>
      <c r="G898" s="223"/>
      <c r="H898" s="226"/>
      <c r="I898" s="226"/>
      <c r="J898" s="216"/>
      <c r="K898" s="216"/>
      <c r="L898" s="216"/>
      <c r="M898" s="230"/>
      <c r="N898" s="234"/>
      <c r="O898" s="238"/>
      <c r="P898" s="243"/>
      <c r="Q898" s="244"/>
      <c r="R898" s="301"/>
      <c r="S898" s="250"/>
      <c r="T898" s="301"/>
      <c r="U898" s="250"/>
      <c r="V898" s="301"/>
      <c r="W898" s="250"/>
      <c r="X898" s="254"/>
      <c r="Y898" s="301"/>
      <c r="Z898" s="258"/>
      <c r="AA898" s="250"/>
      <c r="AB898" s="301"/>
      <c r="AC898" s="305"/>
      <c r="AD898" s="262"/>
      <c r="AE898" s="262"/>
      <c r="AF898" s="283"/>
    </row>
    <row r="899" spans="2:32" hidden="1">
      <c r="B899" s="267"/>
      <c r="C899" s="219"/>
      <c r="D899" s="219"/>
      <c r="E899" s="219"/>
      <c r="F899" s="219"/>
      <c r="G899" s="222"/>
      <c r="H899" s="227"/>
      <c r="I899" s="227"/>
      <c r="J899" s="217"/>
      <c r="K899" s="217"/>
      <c r="L899" s="217"/>
      <c r="M899" s="231"/>
      <c r="N899" s="235"/>
      <c r="O899" s="239"/>
      <c r="P899" s="245"/>
      <c r="Q899" s="246"/>
      <c r="R899" s="302"/>
      <c r="S899" s="251"/>
      <c r="T899" s="302"/>
      <c r="U899" s="251"/>
      <c r="V899" s="302"/>
      <c r="W899" s="251"/>
      <c r="X899" s="255"/>
      <c r="Y899" s="302"/>
      <c r="Z899" s="259"/>
      <c r="AA899" s="251"/>
      <c r="AB899" s="302"/>
      <c r="AC899" s="306"/>
      <c r="AD899" s="261"/>
      <c r="AE899" s="261"/>
      <c r="AF899" s="282"/>
    </row>
    <row r="900" spans="2:32" hidden="1">
      <c r="B900" s="266"/>
      <c r="C900" s="220"/>
      <c r="D900" s="220"/>
      <c r="E900" s="220"/>
      <c r="F900" s="220"/>
      <c r="G900" s="223"/>
      <c r="H900" s="226"/>
      <c r="I900" s="226"/>
      <c r="J900" s="216"/>
      <c r="K900" s="216"/>
      <c r="L900" s="216"/>
      <c r="M900" s="230"/>
      <c r="N900" s="234"/>
      <c r="O900" s="238"/>
      <c r="P900" s="243"/>
      <c r="Q900" s="244"/>
      <c r="R900" s="301"/>
      <c r="S900" s="250"/>
      <c r="T900" s="301"/>
      <c r="U900" s="250"/>
      <c r="V900" s="301"/>
      <c r="W900" s="250"/>
      <c r="X900" s="254"/>
      <c r="Y900" s="301"/>
      <c r="Z900" s="258"/>
      <c r="AA900" s="250"/>
      <c r="AB900" s="301"/>
      <c r="AC900" s="305"/>
      <c r="AD900" s="262"/>
      <c r="AE900" s="262"/>
      <c r="AF900" s="283"/>
    </row>
    <row r="901" spans="2:32" hidden="1">
      <c r="B901" s="267"/>
      <c r="C901" s="219"/>
      <c r="D901" s="219"/>
      <c r="E901" s="219"/>
      <c r="F901" s="219"/>
      <c r="G901" s="222"/>
      <c r="H901" s="227"/>
      <c r="I901" s="227"/>
      <c r="J901" s="217"/>
      <c r="K901" s="217"/>
      <c r="L901" s="217"/>
      <c r="M901" s="231"/>
      <c r="N901" s="235"/>
      <c r="O901" s="239"/>
      <c r="P901" s="245"/>
      <c r="Q901" s="246"/>
      <c r="R901" s="302"/>
      <c r="S901" s="251"/>
      <c r="T901" s="302"/>
      <c r="U901" s="251"/>
      <c r="V901" s="302"/>
      <c r="W901" s="251"/>
      <c r="X901" s="255"/>
      <c r="Y901" s="302"/>
      <c r="Z901" s="259"/>
      <c r="AA901" s="251"/>
      <c r="AB901" s="302"/>
      <c r="AC901" s="306"/>
      <c r="AD901" s="261"/>
      <c r="AE901" s="261"/>
      <c r="AF901" s="282"/>
    </row>
    <row r="902" spans="2:32" hidden="1">
      <c r="B902" s="266"/>
      <c r="C902" s="220"/>
      <c r="D902" s="220"/>
      <c r="E902" s="220"/>
      <c r="F902" s="220"/>
      <c r="G902" s="223"/>
      <c r="H902" s="226"/>
      <c r="I902" s="226"/>
      <c r="J902" s="216"/>
      <c r="K902" s="216"/>
      <c r="L902" s="216"/>
      <c r="M902" s="230"/>
      <c r="N902" s="234"/>
      <c r="O902" s="238"/>
      <c r="P902" s="243"/>
      <c r="Q902" s="244"/>
      <c r="R902" s="301"/>
      <c r="S902" s="250"/>
      <c r="T902" s="301"/>
      <c r="U902" s="250"/>
      <c r="V902" s="301"/>
      <c r="W902" s="250"/>
      <c r="X902" s="254"/>
      <c r="Y902" s="301"/>
      <c r="Z902" s="258"/>
      <c r="AA902" s="250"/>
      <c r="AB902" s="301"/>
      <c r="AC902" s="305"/>
      <c r="AD902" s="262"/>
      <c r="AE902" s="262"/>
      <c r="AF902" s="283"/>
    </row>
    <row r="903" spans="2:32" hidden="1">
      <c r="B903" s="267"/>
      <c r="C903" s="219"/>
      <c r="D903" s="219"/>
      <c r="E903" s="219"/>
      <c r="F903" s="219"/>
      <c r="G903" s="222"/>
      <c r="H903" s="227"/>
      <c r="I903" s="227"/>
      <c r="J903" s="217"/>
      <c r="K903" s="217"/>
      <c r="L903" s="217"/>
      <c r="M903" s="231"/>
      <c r="N903" s="235"/>
      <c r="O903" s="239"/>
      <c r="P903" s="245"/>
      <c r="Q903" s="246"/>
      <c r="R903" s="302"/>
      <c r="S903" s="251"/>
      <c r="T903" s="302"/>
      <c r="U903" s="251"/>
      <c r="V903" s="302"/>
      <c r="W903" s="251"/>
      <c r="X903" s="255"/>
      <c r="Y903" s="302"/>
      <c r="Z903" s="259"/>
      <c r="AA903" s="251"/>
      <c r="AB903" s="302"/>
      <c r="AC903" s="306"/>
      <c r="AD903" s="261"/>
      <c r="AE903" s="261"/>
      <c r="AF903" s="282"/>
    </row>
    <row r="904" spans="2:32" hidden="1">
      <c r="B904" s="266"/>
      <c r="C904" s="220"/>
      <c r="D904" s="220"/>
      <c r="E904" s="220"/>
      <c r="F904" s="220"/>
      <c r="G904" s="223"/>
      <c r="H904" s="226"/>
      <c r="I904" s="226"/>
      <c r="J904" s="216"/>
      <c r="K904" s="216"/>
      <c r="L904" s="216"/>
      <c r="M904" s="230"/>
      <c r="N904" s="234"/>
      <c r="O904" s="238"/>
      <c r="P904" s="243"/>
      <c r="Q904" s="244"/>
      <c r="R904" s="301"/>
      <c r="S904" s="250"/>
      <c r="T904" s="301"/>
      <c r="U904" s="250"/>
      <c r="V904" s="301"/>
      <c r="W904" s="250"/>
      <c r="X904" s="254"/>
      <c r="Y904" s="301"/>
      <c r="Z904" s="258"/>
      <c r="AA904" s="250"/>
      <c r="AB904" s="301"/>
      <c r="AC904" s="305"/>
      <c r="AD904" s="262"/>
      <c r="AE904" s="262"/>
      <c r="AF904" s="283"/>
    </row>
    <row r="905" spans="2:32" hidden="1">
      <c r="B905" s="267"/>
      <c r="C905" s="219"/>
      <c r="D905" s="219"/>
      <c r="E905" s="219"/>
      <c r="F905" s="219"/>
      <c r="G905" s="222"/>
      <c r="H905" s="227"/>
      <c r="I905" s="227"/>
      <c r="J905" s="217"/>
      <c r="K905" s="217"/>
      <c r="L905" s="217"/>
      <c r="M905" s="231"/>
      <c r="N905" s="235"/>
      <c r="O905" s="239"/>
      <c r="P905" s="245"/>
      <c r="Q905" s="246"/>
      <c r="R905" s="302"/>
      <c r="S905" s="251"/>
      <c r="T905" s="302"/>
      <c r="U905" s="251"/>
      <c r="V905" s="302"/>
      <c r="W905" s="251"/>
      <c r="X905" s="255"/>
      <c r="Y905" s="302"/>
      <c r="Z905" s="259"/>
      <c r="AA905" s="251"/>
      <c r="AB905" s="302"/>
      <c r="AC905" s="306"/>
      <c r="AD905" s="261"/>
      <c r="AE905" s="261"/>
      <c r="AF905" s="282"/>
    </row>
    <row r="906" spans="2:32" hidden="1">
      <c r="B906" s="266"/>
      <c r="C906" s="220"/>
      <c r="D906" s="220"/>
      <c r="E906" s="220"/>
      <c r="F906" s="220"/>
      <c r="G906" s="223"/>
      <c r="H906" s="226"/>
      <c r="I906" s="226"/>
      <c r="J906" s="216"/>
      <c r="K906" s="216"/>
      <c r="L906" s="216"/>
      <c r="M906" s="230"/>
      <c r="N906" s="234"/>
      <c r="O906" s="238"/>
      <c r="P906" s="243"/>
      <c r="Q906" s="244"/>
      <c r="R906" s="301"/>
      <c r="S906" s="250"/>
      <c r="T906" s="301"/>
      <c r="U906" s="250"/>
      <c r="V906" s="301"/>
      <c r="W906" s="250"/>
      <c r="X906" s="254"/>
      <c r="Y906" s="301"/>
      <c r="Z906" s="258"/>
      <c r="AA906" s="250"/>
      <c r="AB906" s="301"/>
      <c r="AC906" s="305"/>
      <c r="AD906" s="262"/>
      <c r="AE906" s="262"/>
      <c r="AF906" s="283"/>
    </row>
    <row r="907" spans="2:32" hidden="1">
      <c r="B907" s="267"/>
      <c r="C907" s="219"/>
      <c r="D907" s="219"/>
      <c r="E907" s="219"/>
      <c r="F907" s="219"/>
      <c r="G907" s="222"/>
      <c r="H907" s="227"/>
      <c r="I907" s="227"/>
      <c r="J907" s="217"/>
      <c r="K907" s="217"/>
      <c r="L907" s="217"/>
      <c r="M907" s="231"/>
      <c r="N907" s="235"/>
      <c r="O907" s="239"/>
      <c r="P907" s="245"/>
      <c r="Q907" s="246"/>
      <c r="R907" s="302"/>
      <c r="S907" s="251"/>
      <c r="T907" s="302"/>
      <c r="U907" s="251"/>
      <c r="V907" s="302"/>
      <c r="W907" s="251"/>
      <c r="X907" s="255"/>
      <c r="Y907" s="302"/>
      <c r="Z907" s="259"/>
      <c r="AA907" s="251"/>
      <c r="AB907" s="302"/>
      <c r="AC907" s="306"/>
      <c r="AD907" s="261"/>
      <c r="AE907" s="261"/>
      <c r="AF907" s="282"/>
    </row>
    <row r="908" spans="2:32" hidden="1">
      <c r="B908" s="266"/>
      <c r="C908" s="220"/>
      <c r="D908" s="220"/>
      <c r="E908" s="220"/>
      <c r="F908" s="220"/>
      <c r="G908" s="223"/>
      <c r="H908" s="226"/>
      <c r="I908" s="226"/>
      <c r="J908" s="216"/>
      <c r="K908" s="216"/>
      <c r="L908" s="216"/>
      <c r="M908" s="230"/>
      <c r="N908" s="234"/>
      <c r="O908" s="238"/>
      <c r="P908" s="243"/>
      <c r="Q908" s="244"/>
      <c r="R908" s="301"/>
      <c r="S908" s="250"/>
      <c r="T908" s="301"/>
      <c r="U908" s="250"/>
      <c r="V908" s="301"/>
      <c r="W908" s="250"/>
      <c r="X908" s="254"/>
      <c r="Y908" s="301"/>
      <c r="Z908" s="258"/>
      <c r="AA908" s="250"/>
      <c r="AB908" s="301"/>
      <c r="AC908" s="305"/>
      <c r="AD908" s="262"/>
      <c r="AE908" s="262"/>
      <c r="AF908" s="283"/>
    </row>
    <row r="909" spans="2:32" hidden="1">
      <c r="B909" s="267"/>
      <c r="C909" s="219"/>
      <c r="D909" s="219"/>
      <c r="E909" s="219"/>
      <c r="F909" s="219"/>
      <c r="G909" s="222"/>
      <c r="H909" s="227"/>
      <c r="I909" s="227"/>
      <c r="J909" s="217"/>
      <c r="K909" s="217"/>
      <c r="L909" s="217"/>
      <c r="M909" s="231"/>
      <c r="N909" s="235"/>
      <c r="O909" s="239"/>
      <c r="P909" s="245"/>
      <c r="Q909" s="246"/>
      <c r="R909" s="302"/>
      <c r="S909" s="251"/>
      <c r="T909" s="302"/>
      <c r="U909" s="251"/>
      <c r="V909" s="302"/>
      <c r="W909" s="251"/>
      <c r="X909" s="255"/>
      <c r="Y909" s="302"/>
      <c r="Z909" s="259"/>
      <c r="AA909" s="251"/>
      <c r="AB909" s="302"/>
      <c r="AC909" s="306"/>
      <c r="AD909" s="261"/>
      <c r="AE909" s="261"/>
      <c r="AF909" s="282"/>
    </row>
    <row r="910" spans="2:32" hidden="1">
      <c r="B910" s="266"/>
      <c r="C910" s="220"/>
      <c r="D910" s="220"/>
      <c r="E910" s="220"/>
      <c r="F910" s="220"/>
      <c r="G910" s="223"/>
      <c r="H910" s="226"/>
      <c r="I910" s="226"/>
      <c r="J910" s="216"/>
      <c r="K910" s="216"/>
      <c r="L910" s="216"/>
      <c r="M910" s="230"/>
      <c r="N910" s="234"/>
      <c r="O910" s="238"/>
      <c r="P910" s="243"/>
      <c r="Q910" s="244"/>
      <c r="R910" s="301"/>
      <c r="S910" s="250"/>
      <c r="T910" s="301"/>
      <c r="U910" s="250"/>
      <c r="V910" s="301"/>
      <c r="W910" s="250"/>
      <c r="X910" s="254"/>
      <c r="Y910" s="301"/>
      <c r="Z910" s="258"/>
      <c r="AA910" s="250"/>
      <c r="AB910" s="301"/>
      <c r="AC910" s="305"/>
      <c r="AD910" s="262"/>
      <c r="AE910" s="262"/>
      <c r="AF910" s="283"/>
    </row>
    <row r="911" spans="2:32" hidden="1">
      <c r="B911" s="267"/>
      <c r="C911" s="219"/>
      <c r="D911" s="219"/>
      <c r="E911" s="219"/>
      <c r="F911" s="219"/>
      <c r="G911" s="222"/>
      <c r="H911" s="227"/>
      <c r="I911" s="227"/>
      <c r="J911" s="217"/>
      <c r="K911" s="217"/>
      <c r="L911" s="217"/>
      <c r="M911" s="231"/>
      <c r="N911" s="235"/>
      <c r="O911" s="239"/>
      <c r="P911" s="245"/>
      <c r="Q911" s="246"/>
      <c r="R911" s="302"/>
      <c r="S911" s="251"/>
      <c r="T911" s="302"/>
      <c r="U911" s="251"/>
      <c r="V911" s="302"/>
      <c r="W911" s="251"/>
      <c r="X911" s="255"/>
      <c r="Y911" s="302"/>
      <c r="Z911" s="259"/>
      <c r="AA911" s="251"/>
      <c r="AB911" s="302"/>
      <c r="AC911" s="306"/>
      <c r="AD911" s="261"/>
      <c r="AE911" s="261"/>
      <c r="AF911" s="282"/>
    </row>
    <row r="912" spans="2:32" hidden="1">
      <c r="B912" s="266"/>
      <c r="C912" s="220"/>
      <c r="D912" s="220"/>
      <c r="E912" s="220"/>
      <c r="F912" s="220"/>
      <c r="G912" s="223"/>
      <c r="H912" s="226"/>
      <c r="I912" s="226"/>
      <c r="J912" s="216"/>
      <c r="K912" s="216"/>
      <c r="L912" s="216"/>
      <c r="M912" s="230"/>
      <c r="N912" s="234"/>
      <c r="O912" s="238"/>
      <c r="P912" s="243"/>
      <c r="Q912" s="244"/>
      <c r="R912" s="301"/>
      <c r="S912" s="250"/>
      <c r="T912" s="301"/>
      <c r="U912" s="250"/>
      <c r="V912" s="301"/>
      <c r="W912" s="250"/>
      <c r="X912" s="254"/>
      <c r="Y912" s="301"/>
      <c r="Z912" s="258"/>
      <c r="AA912" s="250"/>
      <c r="AB912" s="301"/>
      <c r="AC912" s="305"/>
      <c r="AD912" s="262"/>
      <c r="AE912" s="262"/>
      <c r="AF912" s="283"/>
    </row>
    <row r="913" spans="2:32" hidden="1">
      <c r="B913" s="267"/>
      <c r="C913" s="219"/>
      <c r="D913" s="219"/>
      <c r="E913" s="219"/>
      <c r="F913" s="219"/>
      <c r="G913" s="222"/>
      <c r="H913" s="227"/>
      <c r="I913" s="227"/>
      <c r="J913" s="217"/>
      <c r="K913" s="217"/>
      <c r="L913" s="217"/>
      <c r="M913" s="231"/>
      <c r="N913" s="235"/>
      <c r="O913" s="239"/>
      <c r="P913" s="245"/>
      <c r="Q913" s="246"/>
      <c r="R913" s="302"/>
      <c r="S913" s="251"/>
      <c r="T913" s="302"/>
      <c r="U913" s="251"/>
      <c r="V913" s="302"/>
      <c r="W913" s="251"/>
      <c r="X913" s="255"/>
      <c r="Y913" s="302"/>
      <c r="Z913" s="259"/>
      <c r="AA913" s="251"/>
      <c r="AB913" s="302"/>
      <c r="AC913" s="306"/>
      <c r="AD913" s="261"/>
      <c r="AE913" s="261"/>
      <c r="AF913" s="282"/>
    </row>
    <row r="914" spans="2:32" hidden="1">
      <c r="B914" s="266"/>
      <c r="C914" s="220"/>
      <c r="D914" s="220"/>
      <c r="E914" s="220"/>
      <c r="F914" s="220"/>
      <c r="G914" s="223"/>
      <c r="H914" s="226"/>
      <c r="I914" s="226"/>
      <c r="J914" s="216"/>
      <c r="K914" s="216"/>
      <c r="L914" s="216"/>
      <c r="M914" s="230"/>
      <c r="N914" s="234"/>
      <c r="O914" s="238"/>
      <c r="P914" s="243"/>
      <c r="Q914" s="244"/>
      <c r="R914" s="301"/>
      <c r="S914" s="250"/>
      <c r="T914" s="301"/>
      <c r="U914" s="250"/>
      <c r="V914" s="301"/>
      <c r="W914" s="250"/>
      <c r="X914" s="254"/>
      <c r="Y914" s="301"/>
      <c r="Z914" s="258"/>
      <c r="AA914" s="250"/>
      <c r="AB914" s="301"/>
      <c r="AC914" s="305"/>
      <c r="AD914" s="262"/>
      <c r="AE914" s="262"/>
      <c r="AF914" s="283"/>
    </row>
    <row r="915" spans="2:32" hidden="1">
      <c r="B915" s="267"/>
      <c r="C915" s="219"/>
      <c r="D915" s="219"/>
      <c r="E915" s="219"/>
      <c r="F915" s="219"/>
      <c r="G915" s="222"/>
      <c r="H915" s="227"/>
      <c r="I915" s="227"/>
      <c r="J915" s="217"/>
      <c r="K915" s="217"/>
      <c r="L915" s="217"/>
      <c r="M915" s="231"/>
      <c r="N915" s="235"/>
      <c r="O915" s="239"/>
      <c r="P915" s="245"/>
      <c r="Q915" s="246"/>
      <c r="R915" s="302"/>
      <c r="S915" s="251"/>
      <c r="T915" s="302"/>
      <c r="U915" s="251"/>
      <c r="V915" s="302"/>
      <c r="W915" s="251"/>
      <c r="X915" s="255"/>
      <c r="Y915" s="302"/>
      <c r="Z915" s="259"/>
      <c r="AA915" s="251"/>
      <c r="AB915" s="302"/>
      <c r="AC915" s="306"/>
      <c r="AD915" s="261"/>
      <c r="AE915" s="261"/>
      <c r="AF915" s="282"/>
    </row>
    <row r="916" spans="2:32" hidden="1">
      <c r="B916" s="266"/>
      <c r="C916" s="220"/>
      <c r="D916" s="220"/>
      <c r="E916" s="220"/>
      <c r="F916" s="220"/>
      <c r="G916" s="223"/>
      <c r="H916" s="226"/>
      <c r="I916" s="226"/>
      <c r="J916" s="216"/>
      <c r="K916" s="216"/>
      <c r="L916" s="216"/>
      <c r="M916" s="230"/>
      <c r="N916" s="234"/>
      <c r="O916" s="238"/>
      <c r="P916" s="243"/>
      <c r="Q916" s="244"/>
      <c r="R916" s="301"/>
      <c r="S916" s="250"/>
      <c r="T916" s="301"/>
      <c r="U916" s="250"/>
      <c r="V916" s="301"/>
      <c r="W916" s="250"/>
      <c r="X916" s="254"/>
      <c r="Y916" s="301"/>
      <c r="Z916" s="258"/>
      <c r="AA916" s="250"/>
      <c r="AB916" s="301"/>
      <c r="AC916" s="305"/>
      <c r="AD916" s="262"/>
      <c r="AE916" s="262"/>
      <c r="AF916" s="283"/>
    </row>
    <row r="917" spans="2:32" hidden="1">
      <c r="B917" s="267"/>
      <c r="C917" s="219"/>
      <c r="D917" s="219"/>
      <c r="E917" s="219"/>
      <c r="F917" s="219"/>
      <c r="G917" s="222"/>
      <c r="H917" s="227"/>
      <c r="I917" s="227"/>
      <c r="J917" s="217"/>
      <c r="K917" s="217"/>
      <c r="L917" s="217"/>
      <c r="M917" s="231"/>
      <c r="N917" s="235"/>
      <c r="O917" s="239"/>
      <c r="P917" s="245"/>
      <c r="Q917" s="246"/>
      <c r="R917" s="302"/>
      <c r="S917" s="251"/>
      <c r="T917" s="302"/>
      <c r="U917" s="251"/>
      <c r="V917" s="302"/>
      <c r="W917" s="251"/>
      <c r="X917" s="255"/>
      <c r="Y917" s="302"/>
      <c r="Z917" s="259"/>
      <c r="AA917" s="251"/>
      <c r="AB917" s="302"/>
      <c r="AC917" s="306"/>
      <c r="AD917" s="261"/>
      <c r="AE917" s="261"/>
      <c r="AF917" s="282"/>
    </row>
    <row r="918" spans="2:32" hidden="1">
      <c r="B918" s="266"/>
      <c r="C918" s="220"/>
      <c r="D918" s="220"/>
      <c r="E918" s="220"/>
      <c r="F918" s="220"/>
      <c r="G918" s="223"/>
      <c r="H918" s="226"/>
      <c r="I918" s="226"/>
      <c r="J918" s="216"/>
      <c r="K918" s="216"/>
      <c r="L918" s="216"/>
      <c r="M918" s="230"/>
      <c r="N918" s="234"/>
      <c r="O918" s="238"/>
      <c r="P918" s="243"/>
      <c r="Q918" s="244"/>
      <c r="R918" s="301"/>
      <c r="S918" s="250"/>
      <c r="T918" s="301"/>
      <c r="U918" s="250"/>
      <c r="V918" s="301"/>
      <c r="W918" s="250"/>
      <c r="X918" s="254"/>
      <c r="Y918" s="301"/>
      <c r="Z918" s="258"/>
      <c r="AA918" s="250"/>
      <c r="AB918" s="301"/>
      <c r="AC918" s="305"/>
      <c r="AD918" s="262"/>
      <c r="AE918" s="262"/>
      <c r="AF918" s="283"/>
    </row>
    <row r="919" spans="2:32" hidden="1">
      <c r="B919" s="267"/>
      <c r="C919" s="219"/>
      <c r="D919" s="219"/>
      <c r="E919" s="219"/>
      <c r="F919" s="219"/>
      <c r="G919" s="222"/>
      <c r="H919" s="227"/>
      <c r="I919" s="227"/>
      <c r="J919" s="217"/>
      <c r="K919" s="217"/>
      <c r="L919" s="217"/>
      <c r="M919" s="231"/>
      <c r="N919" s="235"/>
      <c r="O919" s="239"/>
      <c r="P919" s="245"/>
      <c r="Q919" s="246"/>
      <c r="R919" s="302"/>
      <c r="S919" s="251"/>
      <c r="T919" s="302"/>
      <c r="U919" s="251"/>
      <c r="V919" s="302"/>
      <c r="W919" s="251"/>
      <c r="X919" s="255"/>
      <c r="Y919" s="302"/>
      <c r="Z919" s="259"/>
      <c r="AA919" s="251"/>
      <c r="AB919" s="302"/>
      <c r="AC919" s="306"/>
      <c r="AD919" s="261"/>
      <c r="AE919" s="261"/>
      <c r="AF919" s="282"/>
    </row>
    <row r="920" spans="2:32" hidden="1">
      <c r="B920" s="266"/>
      <c r="C920" s="220"/>
      <c r="D920" s="220"/>
      <c r="E920" s="220"/>
      <c r="F920" s="220"/>
      <c r="G920" s="223"/>
      <c r="H920" s="226"/>
      <c r="I920" s="226"/>
      <c r="J920" s="216"/>
      <c r="K920" s="216"/>
      <c r="L920" s="216"/>
      <c r="M920" s="230"/>
      <c r="N920" s="234"/>
      <c r="O920" s="238"/>
      <c r="P920" s="243"/>
      <c r="Q920" s="244"/>
      <c r="R920" s="301"/>
      <c r="S920" s="250"/>
      <c r="T920" s="301"/>
      <c r="U920" s="250"/>
      <c r="V920" s="301"/>
      <c r="W920" s="250"/>
      <c r="X920" s="254"/>
      <c r="Y920" s="301"/>
      <c r="Z920" s="258"/>
      <c r="AA920" s="250"/>
      <c r="AB920" s="301"/>
      <c r="AC920" s="305"/>
      <c r="AD920" s="262"/>
      <c r="AE920" s="262"/>
      <c r="AF920" s="283"/>
    </row>
    <row r="921" spans="2:32" hidden="1">
      <c r="B921" s="267"/>
      <c r="C921" s="219"/>
      <c r="D921" s="219"/>
      <c r="E921" s="219"/>
      <c r="F921" s="219"/>
      <c r="G921" s="222"/>
      <c r="H921" s="227"/>
      <c r="I921" s="227"/>
      <c r="J921" s="217"/>
      <c r="K921" s="217"/>
      <c r="L921" s="217"/>
      <c r="M921" s="231"/>
      <c r="N921" s="235"/>
      <c r="O921" s="239"/>
      <c r="P921" s="245"/>
      <c r="Q921" s="246"/>
      <c r="R921" s="302"/>
      <c r="S921" s="251"/>
      <c r="T921" s="302"/>
      <c r="U921" s="251"/>
      <c r="V921" s="302"/>
      <c r="W921" s="251"/>
      <c r="X921" s="255"/>
      <c r="Y921" s="302"/>
      <c r="Z921" s="259"/>
      <c r="AA921" s="251"/>
      <c r="AB921" s="302"/>
      <c r="AC921" s="306"/>
      <c r="AD921" s="261"/>
      <c r="AE921" s="261"/>
      <c r="AF921" s="282"/>
    </row>
    <row r="922" spans="2:32" hidden="1">
      <c r="B922" s="266"/>
      <c r="C922" s="220"/>
      <c r="D922" s="220"/>
      <c r="E922" s="220"/>
      <c r="F922" s="220"/>
      <c r="G922" s="223"/>
      <c r="H922" s="226"/>
      <c r="I922" s="226"/>
      <c r="J922" s="216"/>
      <c r="K922" s="216"/>
      <c r="L922" s="216"/>
      <c r="M922" s="230"/>
      <c r="N922" s="234"/>
      <c r="O922" s="238"/>
      <c r="P922" s="243"/>
      <c r="Q922" s="244"/>
      <c r="R922" s="301"/>
      <c r="S922" s="250"/>
      <c r="T922" s="301"/>
      <c r="U922" s="250"/>
      <c r="V922" s="301"/>
      <c r="W922" s="250"/>
      <c r="X922" s="254"/>
      <c r="Y922" s="301"/>
      <c r="Z922" s="258"/>
      <c r="AA922" s="250"/>
      <c r="AB922" s="301"/>
      <c r="AC922" s="305"/>
      <c r="AD922" s="262"/>
      <c r="AE922" s="262"/>
      <c r="AF922" s="283"/>
    </row>
    <row r="923" spans="2:32" hidden="1">
      <c r="B923" s="267"/>
      <c r="C923" s="219"/>
      <c r="D923" s="219"/>
      <c r="E923" s="219"/>
      <c r="F923" s="219"/>
      <c r="G923" s="222"/>
      <c r="H923" s="227"/>
      <c r="I923" s="227"/>
      <c r="J923" s="217"/>
      <c r="K923" s="217"/>
      <c r="L923" s="217"/>
      <c r="M923" s="231"/>
      <c r="N923" s="235"/>
      <c r="O923" s="239"/>
      <c r="P923" s="245"/>
      <c r="Q923" s="246"/>
      <c r="R923" s="302"/>
      <c r="S923" s="251"/>
      <c r="T923" s="302"/>
      <c r="U923" s="251"/>
      <c r="V923" s="302"/>
      <c r="W923" s="251"/>
      <c r="X923" s="255"/>
      <c r="Y923" s="302"/>
      <c r="Z923" s="259"/>
      <c r="AA923" s="251"/>
      <c r="AB923" s="302"/>
      <c r="AC923" s="306"/>
      <c r="AD923" s="261"/>
      <c r="AE923" s="261"/>
      <c r="AF923" s="282"/>
    </row>
    <row r="924" spans="2:32" hidden="1">
      <c r="B924" s="266"/>
      <c r="C924" s="220"/>
      <c r="D924" s="220"/>
      <c r="E924" s="220"/>
      <c r="F924" s="220"/>
      <c r="G924" s="223"/>
      <c r="H924" s="226"/>
      <c r="I924" s="226"/>
      <c r="J924" s="216"/>
      <c r="K924" s="216"/>
      <c r="L924" s="216"/>
      <c r="M924" s="230"/>
      <c r="N924" s="234"/>
      <c r="O924" s="238"/>
      <c r="P924" s="243"/>
      <c r="Q924" s="244"/>
      <c r="R924" s="301"/>
      <c r="S924" s="250"/>
      <c r="T924" s="301"/>
      <c r="U924" s="250"/>
      <c r="V924" s="301"/>
      <c r="W924" s="250"/>
      <c r="X924" s="254"/>
      <c r="Y924" s="301"/>
      <c r="Z924" s="258"/>
      <c r="AA924" s="250"/>
      <c r="AB924" s="301"/>
      <c r="AC924" s="305"/>
      <c r="AD924" s="262"/>
      <c r="AE924" s="262"/>
      <c r="AF924" s="283"/>
    </row>
    <row r="925" spans="2:32" hidden="1">
      <c r="B925" s="267"/>
      <c r="C925" s="219"/>
      <c r="D925" s="219"/>
      <c r="E925" s="219"/>
      <c r="F925" s="219"/>
      <c r="G925" s="222"/>
      <c r="H925" s="227"/>
      <c r="I925" s="227"/>
      <c r="J925" s="217"/>
      <c r="K925" s="217"/>
      <c r="L925" s="217"/>
      <c r="M925" s="231"/>
      <c r="N925" s="235"/>
      <c r="O925" s="239"/>
      <c r="P925" s="245"/>
      <c r="Q925" s="246"/>
      <c r="R925" s="302"/>
      <c r="S925" s="251"/>
      <c r="T925" s="302"/>
      <c r="U925" s="251"/>
      <c r="V925" s="302"/>
      <c r="W925" s="251"/>
      <c r="X925" s="255"/>
      <c r="Y925" s="302"/>
      <c r="Z925" s="259"/>
      <c r="AA925" s="251"/>
      <c r="AB925" s="302"/>
      <c r="AC925" s="306"/>
      <c r="AD925" s="261"/>
      <c r="AE925" s="261"/>
      <c r="AF925" s="282"/>
    </row>
    <row r="926" spans="2:32" hidden="1">
      <c r="B926" s="266"/>
      <c r="C926" s="220"/>
      <c r="D926" s="220"/>
      <c r="E926" s="220"/>
      <c r="F926" s="220"/>
      <c r="G926" s="223"/>
      <c r="H926" s="226"/>
      <c r="I926" s="226"/>
      <c r="J926" s="216"/>
      <c r="K926" s="216"/>
      <c r="L926" s="216"/>
      <c r="M926" s="230"/>
      <c r="N926" s="234"/>
      <c r="O926" s="238"/>
      <c r="P926" s="243"/>
      <c r="Q926" s="244"/>
      <c r="R926" s="301"/>
      <c r="S926" s="250"/>
      <c r="T926" s="301"/>
      <c r="U926" s="250"/>
      <c r="V926" s="301"/>
      <c r="W926" s="250"/>
      <c r="X926" s="254"/>
      <c r="Y926" s="301"/>
      <c r="Z926" s="258"/>
      <c r="AA926" s="250"/>
      <c r="AB926" s="301"/>
      <c r="AC926" s="305"/>
      <c r="AD926" s="262"/>
      <c r="AE926" s="262"/>
      <c r="AF926" s="283"/>
    </row>
    <row r="927" spans="2:32" hidden="1">
      <c r="B927" s="267"/>
      <c r="C927" s="219"/>
      <c r="D927" s="219"/>
      <c r="E927" s="219"/>
      <c r="F927" s="219"/>
      <c r="G927" s="222"/>
      <c r="H927" s="227"/>
      <c r="I927" s="227"/>
      <c r="J927" s="217"/>
      <c r="K927" s="217"/>
      <c r="L927" s="217"/>
      <c r="M927" s="231"/>
      <c r="N927" s="235"/>
      <c r="O927" s="239"/>
      <c r="P927" s="245"/>
      <c r="Q927" s="246"/>
      <c r="R927" s="302"/>
      <c r="S927" s="251"/>
      <c r="T927" s="302"/>
      <c r="U927" s="251"/>
      <c r="V927" s="302"/>
      <c r="W927" s="251"/>
      <c r="X927" s="255"/>
      <c r="Y927" s="302"/>
      <c r="Z927" s="259"/>
      <c r="AA927" s="251"/>
      <c r="AB927" s="302"/>
      <c r="AC927" s="306"/>
      <c r="AD927" s="261"/>
      <c r="AE927" s="261"/>
      <c r="AF927" s="282"/>
    </row>
    <row r="928" spans="2:32" hidden="1">
      <c r="B928" s="266"/>
      <c r="C928" s="220"/>
      <c r="D928" s="220"/>
      <c r="E928" s="220"/>
      <c r="F928" s="220"/>
      <c r="G928" s="223"/>
      <c r="H928" s="226"/>
      <c r="I928" s="226"/>
      <c r="J928" s="216"/>
      <c r="K928" s="216"/>
      <c r="L928" s="216"/>
      <c r="M928" s="230"/>
      <c r="N928" s="234"/>
      <c r="O928" s="238"/>
      <c r="P928" s="243"/>
      <c r="Q928" s="244"/>
      <c r="R928" s="301"/>
      <c r="S928" s="250"/>
      <c r="T928" s="301"/>
      <c r="U928" s="250"/>
      <c r="V928" s="301"/>
      <c r="W928" s="250"/>
      <c r="X928" s="254"/>
      <c r="Y928" s="301"/>
      <c r="Z928" s="258"/>
      <c r="AA928" s="250"/>
      <c r="AB928" s="301"/>
      <c r="AC928" s="305"/>
      <c r="AD928" s="262"/>
      <c r="AE928" s="262"/>
      <c r="AF928" s="283"/>
    </row>
    <row r="929" spans="2:32" hidden="1">
      <c r="B929" s="267"/>
      <c r="C929" s="219"/>
      <c r="D929" s="219"/>
      <c r="E929" s="219"/>
      <c r="F929" s="219"/>
      <c r="G929" s="222"/>
      <c r="H929" s="227"/>
      <c r="I929" s="227"/>
      <c r="J929" s="217"/>
      <c r="K929" s="217"/>
      <c r="L929" s="217"/>
      <c r="M929" s="231"/>
      <c r="N929" s="235"/>
      <c r="O929" s="239"/>
      <c r="P929" s="245"/>
      <c r="Q929" s="246"/>
      <c r="R929" s="302"/>
      <c r="S929" s="251"/>
      <c r="T929" s="302"/>
      <c r="U929" s="251"/>
      <c r="V929" s="302"/>
      <c r="W929" s="251"/>
      <c r="X929" s="255"/>
      <c r="Y929" s="302"/>
      <c r="Z929" s="259"/>
      <c r="AA929" s="251"/>
      <c r="AB929" s="302"/>
      <c r="AC929" s="306"/>
      <c r="AD929" s="261"/>
      <c r="AE929" s="261"/>
      <c r="AF929" s="282"/>
    </row>
    <row r="930" spans="2:32" hidden="1">
      <c r="B930" s="266"/>
      <c r="C930" s="220"/>
      <c r="D930" s="220"/>
      <c r="E930" s="220"/>
      <c r="F930" s="220"/>
      <c r="G930" s="223"/>
      <c r="H930" s="226"/>
      <c r="I930" s="226"/>
      <c r="J930" s="216"/>
      <c r="K930" s="216"/>
      <c r="L930" s="216"/>
      <c r="M930" s="230"/>
      <c r="N930" s="234"/>
      <c r="O930" s="238"/>
      <c r="P930" s="243"/>
      <c r="Q930" s="244"/>
      <c r="R930" s="301"/>
      <c r="S930" s="250"/>
      <c r="T930" s="301"/>
      <c r="U930" s="250"/>
      <c r="V930" s="301"/>
      <c r="W930" s="250"/>
      <c r="X930" s="254"/>
      <c r="Y930" s="301"/>
      <c r="Z930" s="258"/>
      <c r="AA930" s="250"/>
      <c r="AB930" s="301"/>
      <c r="AC930" s="305"/>
      <c r="AD930" s="262"/>
      <c r="AE930" s="262"/>
      <c r="AF930" s="283"/>
    </row>
    <row r="931" spans="2:32" hidden="1">
      <c r="B931" s="267"/>
      <c r="C931" s="219"/>
      <c r="D931" s="219"/>
      <c r="E931" s="219"/>
      <c r="F931" s="219"/>
      <c r="G931" s="222"/>
      <c r="H931" s="227"/>
      <c r="I931" s="227"/>
      <c r="J931" s="217"/>
      <c r="K931" s="217"/>
      <c r="L931" s="217"/>
      <c r="M931" s="231"/>
      <c r="N931" s="235"/>
      <c r="O931" s="239"/>
      <c r="P931" s="245"/>
      <c r="Q931" s="246"/>
      <c r="R931" s="302"/>
      <c r="S931" s="251"/>
      <c r="T931" s="302"/>
      <c r="U931" s="251"/>
      <c r="V931" s="302"/>
      <c r="W931" s="251"/>
      <c r="X931" s="255"/>
      <c r="Y931" s="302"/>
      <c r="Z931" s="259"/>
      <c r="AA931" s="251"/>
      <c r="AB931" s="302"/>
      <c r="AC931" s="306"/>
      <c r="AD931" s="261"/>
      <c r="AE931" s="261"/>
      <c r="AF931" s="282"/>
    </row>
    <row r="932" spans="2:32" hidden="1">
      <c r="B932" s="266"/>
      <c r="C932" s="220"/>
      <c r="D932" s="220"/>
      <c r="E932" s="220"/>
      <c r="F932" s="220"/>
      <c r="G932" s="223"/>
      <c r="H932" s="226"/>
      <c r="I932" s="226"/>
      <c r="J932" s="216"/>
      <c r="K932" s="216"/>
      <c r="L932" s="216"/>
      <c r="M932" s="230"/>
      <c r="N932" s="234"/>
      <c r="O932" s="238"/>
      <c r="P932" s="243"/>
      <c r="Q932" s="244"/>
      <c r="R932" s="301"/>
      <c r="S932" s="250"/>
      <c r="T932" s="301"/>
      <c r="U932" s="250"/>
      <c r="V932" s="301"/>
      <c r="W932" s="250"/>
      <c r="X932" s="254"/>
      <c r="Y932" s="301"/>
      <c r="Z932" s="258"/>
      <c r="AA932" s="250"/>
      <c r="AB932" s="301"/>
      <c r="AC932" s="305"/>
      <c r="AD932" s="262"/>
      <c r="AE932" s="262"/>
      <c r="AF932" s="283"/>
    </row>
    <row r="933" spans="2:32" hidden="1">
      <c r="B933" s="267"/>
      <c r="C933" s="219"/>
      <c r="D933" s="219"/>
      <c r="E933" s="219"/>
      <c r="F933" s="219"/>
      <c r="G933" s="222"/>
      <c r="H933" s="227"/>
      <c r="I933" s="227"/>
      <c r="J933" s="217"/>
      <c r="K933" s="217"/>
      <c r="L933" s="217"/>
      <c r="M933" s="231"/>
      <c r="N933" s="235"/>
      <c r="O933" s="239"/>
      <c r="P933" s="245"/>
      <c r="Q933" s="246"/>
      <c r="R933" s="302"/>
      <c r="S933" s="251"/>
      <c r="T933" s="302"/>
      <c r="U933" s="251"/>
      <c r="V933" s="302"/>
      <c r="W933" s="251"/>
      <c r="X933" s="255"/>
      <c r="Y933" s="302"/>
      <c r="Z933" s="259"/>
      <c r="AA933" s="251"/>
      <c r="AB933" s="302"/>
      <c r="AC933" s="306"/>
      <c r="AD933" s="261"/>
      <c r="AE933" s="261"/>
      <c r="AF933" s="282"/>
    </row>
    <row r="934" spans="2:32" hidden="1">
      <c r="B934" s="266"/>
      <c r="C934" s="220"/>
      <c r="D934" s="220"/>
      <c r="E934" s="220"/>
      <c r="F934" s="220"/>
      <c r="G934" s="223"/>
      <c r="H934" s="226"/>
      <c r="I934" s="226"/>
      <c r="J934" s="216"/>
      <c r="K934" s="216"/>
      <c r="L934" s="216"/>
      <c r="M934" s="230"/>
      <c r="N934" s="234"/>
      <c r="O934" s="238"/>
      <c r="P934" s="243"/>
      <c r="Q934" s="244"/>
      <c r="R934" s="301"/>
      <c r="S934" s="250"/>
      <c r="T934" s="301"/>
      <c r="U934" s="250"/>
      <c r="V934" s="301"/>
      <c r="W934" s="250"/>
      <c r="X934" s="254"/>
      <c r="Y934" s="301"/>
      <c r="Z934" s="258"/>
      <c r="AA934" s="250"/>
      <c r="AB934" s="301"/>
      <c r="AC934" s="305"/>
      <c r="AD934" s="262"/>
      <c r="AE934" s="262"/>
      <c r="AF934" s="283"/>
    </row>
    <row r="935" spans="2:32" hidden="1">
      <c r="B935" s="267"/>
      <c r="C935" s="219"/>
      <c r="D935" s="219"/>
      <c r="E935" s="219"/>
      <c r="F935" s="219"/>
      <c r="G935" s="222"/>
      <c r="H935" s="227"/>
      <c r="I935" s="227"/>
      <c r="J935" s="217"/>
      <c r="K935" s="217"/>
      <c r="L935" s="217"/>
      <c r="M935" s="231"/>
      <c r="N935" s="235"/>
      <c r="O935" s="239"/>
      <c r="P935" s="245"/>
      <c r="Q935" s="246"/>
      <c r="R935" s="302"/>
      <c r="S935" s="251"/>
      <c r="T935" s="302"/>
      <c r="U935" s="251"/>
      <c r="V935" s="302"/>
      <c r="W935" s="251"/>
      <c r="X935" s="255"/>
      <c r="Y935" s="302"/>
      <c r="Z935" s="259"/>
      <c r="AA935" s="251"/>
      <c r="AB935" s="302"/>
      <c r="AC935" s="306"/>
      <c r="AD935" s="261"/>
      <c r="AE935" s="261"/>
      <c r="AF935" s="282"/>
    </row>
    <row r="936" spans="2:32" hidden="1">
      <c r="B936" s="266"/>
      <c r="C936" s="220"/>
      <c r="D936" s="220"/>
      <c r="E936" s="220"/>
      <c r="F936" s="220"/>
      <c r="G936" s="223"/>
      <c r="H936" s="226"/>
      <c r="I936" s="226"/>
      <c r="J936" s="216"/>
      <c r="K936" s="216"/>
      <c r="L936" s="216"/>
      <c r="M936" s="230"/>
      <c r="N936" s="234"/>
      <c r="O936" s="238"/>
      <c r="P936" s="243"/>
      <c r="Q936" s="244"/>
      <c r="R936" s="301"/>
      <c r="S936" s="250"/>
      <c r="T936" s="301"/>
      <c r="U936" s="250"/>
      <c r="V936" s="301"/>
      <c r="W936" s="250"/>
      <c r="X936" s="254"/>
      <c r="Y936" s="301"/>
      <c r="Z936" s="258"/>
      <c r="AA936" s="250"/>
      <c r="AB936" s="301"/>
      <c r="AC936" s="305"/>
      <c r="AD936" s="262"/>
      <c r="AE936" s="262"/>
      <c r="AF936" s="283"/>
    </row>
    <row r="937" spans="2:32" hidden="1">
      <c r="B937" s="267"/>
      <c r="C937" s="219"/>
      <c r="D937" s="219"/>
      <c r="E937" s="219"/>
      <c r="F937" s="219"/>
      <c r="G937" s="222"/>
      <c r="H937" s="227"/>
      <c r="I937" s="227"/>
      <c r="J937" s="217"/>
      <c r="K937" s="217"/>
      <c r="L937" s="217"/>
      <c r="M937" s="231"/>
      <c r="N937" s="235"/>
      <c r="O937" s="239"/>
      <c r="P937" s="245"/>
      <c r="Q937" s="246"/>
      <c r="R937" s="302"/>
      <c r="S937" s="251"/>
      <c r="T937" s="302"/>
      <c r="U937" s="251"/>
      <c r="V937" s="302"/>
      <c r="W937" s="251"/>
      <c r="X937" s="255"/>
      <c r="Y937" s="302"/>
      <c r="Z937" s="259"/>
      <c r="AA937" s="251"/>
      <c r="AB937" s="302"/>
      <c r="AC937" s="306"/>
      <c r="AD937" s="261"/>
      <c r="AE937" s="261"/>
      <c r="AF937" s="282"/>
    </row>
    <row r="938" spans="2:32" hidden="1">
      <c r="B938" s="266"/>
      <c r="C938" s="220"/>
      <c r="D938" s="220"/>
      <c r="E938" s="220"/>
      <c r="F938" s="220"/>
      <c r="G938" s="223"/>
      <c r="H938" s="226"/>
      <c r="I938" s="226"/>
      <c r="J938" s="216"/>
      <c r="K938" s="216"/>
      <c r="L938" s="216"/>
      <c r="M938" s="230"/>
      <c r="N938" s="234"/>
      <c r="O938" s="238"/>
      <c r="P938" s="243"/>
      <c r="Q938" s="244"/>
      <c r="R938" s="301"/>
      <c r="S938" s="250"/>
      <c r="T938" s="301"/>
      <c r="U938" s="250"/>
      <c r="V938" s="301"/>
      <c r="W938" s="250"/>
      <c r="X938" s="254"/>
      <c r="Y938" s="301"/>
      <c r="Z938" s="258"/>
      <c r="AA938" s="250"/>
      <c r="AB938" s="301"/>
      <c r="AC938" s="305"/>
      <c r="AD938" s="262"/>
      <c r="AE938" s="262"/>
      <c r="AF938" s="283"/>
    </row>
    <row r="939" spans="2:32" hidden="1">
      <c r="B939" s="267"/>
      <c r="C939" s="219"/>
      <c r="D939" s="219"/>
      <c r="E939" s="219"/>
      <c r="F939" s="219"/>
      <c r="G939" s="222"/>
      <c r="H939" s="227"/>
      <c r="I939" s="227"/>
      <c r="J939" s="217"/>
      <c r="K939" s="217"/>
      <c r="L939" s="217"/>
      <c r="M939" s="231"/>
      <c r="N939" s="235"/>
      <c r="O939" s="239"/>
      <c r="P939" s="245"/>
      <c r="Q939" s="246"/>
      <c r="R939" s="302"/>
      <c r="S939" s="251"/>
      <c r="T939" s="302"/>
      <c r="U939" s="251"/>
      <c r="V939" s="302"/>
      <c r="W939" s="251"/>
      <c r="X939" s="255"/>
      <c r="Y939" s="302"/>
      <c r="Z939" s="259"/>
      <c r="AA939" s="251"/>
      <c r="AB939" s="302"/>
      <c r="AC939" s="306"/>
      <c r="AD939" s="261"/>
      <c r="AE939" s="261"/>
      <c r="AF939" s="282"/>
    </row>
    <row r="940" spans="2:32" hidden="1">
      <c r="B940" s="266"/>
      <c r="C940" s="220"/>
      <c r="D940" s="220"/>
      <c r="E940" s="220"/>
      <c r="F940" s="220"/>
      <c r="G940" s="223"/>
      <c r="H940" s="226"/>
      <c r="I940" s="226"/>
      <c r="J940" s="216"/>
      <c r="K940" s="216"/>
      <c r="L940" s="216"/>
      <c r="M940" s="230"/>
      <c r="N940" s="234"/>
      <c r="O940" s="238"/>
      <c r="P940" s="243"/>
      <c r="Q940" s="244"/>
      <c r="R940" s="301"/>
      <c r="S940" s="250"/>
      <c r="T940" s="301"/>
      <c r="U940" s="250"/>
      <c r="V940" s="301"/>
      <c r="W940" s="250"/>
      <c r="X940" s="254"/>
      <c r="Y940" s="301"/>
      <c r="Z940" s="258"/>
      <c r="AA940" s="250"/>
      <c r="AB940" s="301"/>
      <c r="AC940" s="305"/>
      <c r="AD940" s="262"/>
      <c r="AE940" s="262"/>
      <c r="AF940" s="283"/>
    </row>
    <row r="941" spans="2:32" hidden="1">
      <c r="B941" s="267"/>
      <c r="C941" s="219"/>
      <c r="D941" s="219"/>
      <c r="E941" s="219"/>
      <c r="F941" s="219"/>
      <c r="G941" s="222"/>
      <c r="H941" s="227"/>
      <c r="I941" s="227"/>
      <c r="J941" s="217"/>
      <c r="K941" s="217"/>
      <c r="L941" s="217"/>
      <c r="M941" s="231"/>
      <c r="N941" s="235"/>
      <c r="O941" s="239"/>
      <c r="P941" s="245"/>
      <c r="Q941" s="246"/>
      <c r="R941" s="302"/>
      <c r="S941" s="251"/>
      <c r="T941" s="302"/>
      <c r="U941" s="251"/>
      <c r="V941" s="302"/>
      <c r="W941" s="251"/>
      <c r="X941" s="255"/>
      <c r="Y941" s="302"/>
      <c r="Z941" s="259"/>
      <c r="AA941" s="251"/>
      <c r="AB941" s="302"/>
      <c r="AC941" s="306"/>
      <c r="AD941" s="261"/>
      <c r="AE941" s="261"/>
      <c r="AF941" s="282"/>
    </row>
    <row r="942" spans="2:32" hidden="1">
      <c r="B942" s="266"/>
      <c r="C942" s="220"/>
      <c r="D942" s="220"/>
      <c r="E942" s="220"/>
      <c r="F942" s="220"/>
      <c r="G942" s="223"/>
      <c r="H942" s="226"/>
      <c r="I942" s="226"/>
      <c r="J942" s="216"/>
      <c r="K942" s="216"/>
      <c r="L942" s="216"/>
      <c r="M942" s="230"/>
      <c r="N942" s="234"/>
      <c r="O942" s="238"/>
      <c r="P942" s="243"/>
      <c r="Q942" s="244"/>
      <c r="R942" s="301"/>
      <c r="S942" s="250"/>
      <c r="T942" s="301"/>
      <c r="U942" s="250"/>
      <c r="V942" s="301"/>
      <c r="W942" s="250"/>
      <c r="X942" s="254"/>
      <c r="Y942" s="301"/>
      <c r="Z942" s="258"/>
      <c r="AA942" s="250"/>
      <c r="AB942" s="301"/>
      <c r="AC942" s="305"/>
      <c r="AD942" s="262"/>
      <c r="AE942" s="262"/>
      <c r="AF942" s="283"/>
    </row>
    <row r="943" spans="2:32" hidden="1">
      <c r="B943" s="267"/>
      <c r="C943" s="219"/>
      <c r="D943" s="219"/>
      <c r="E943" s="219"/>
      <c r="F943" s="219"/>
      <c r="G943" s="222"/>
      <c r="H943" s="227"/>
      <c r="I943" s="227"/>
      <c r="J943" s="217"/>
      <c r="K943" s="217"/>
      <c r="L943" s="217"/>
      <c r="M943" s="231"/>
      <c r="N943" s="235"/>
      <c r="O943" s="239"/>
      <c r="P943" s="245"/>
      <c r="Q943" s="246"/>
      <c r="R943" s="302"/>
      <c r="S943" s="251"/>
      <c r="T943" s="302"/>
      <c r="U943" s="251"/>
      <c r="V943" s="302"/>
      <c r="W943" s="251"/>
      <c r="X943" s="255"/>
      <c r="Y943" s="302"/>
      <c r="Z943" s="259"/>
      <c r="AA943" s="251"/>
      <c r="AB943" s="302"/>
      <c r="AC943" s="306"/>
      <c r="AD943" s="261"/>
      <c r="AE943" s="261"/>
      <c r="AF943" s="282"/>
    </row>
    <row r="944" spans="2:32" hidden="1">
      <c r="B944" s="266"/>
      <c r="C944" s="220"/>
      <c r="D944" s="220"/>
      <c r="E944" s="220"/>
      <c r="F944" s="220"/>
      <c r="G944" s="223"/>
      <c r="H944" s="226"/>
      <c r="I944" s="226"/>
      <c r="J944" s="216"/>
      <c r="K944" s="216"/>
      <c r="L944" s="216"/>
      <c r="M944" s="230"/>
      <c r="N944" s="234"/>
      <c r="O944" s="238"/>
      <c r="P944" s="243"/>
      <c r="Q944" s="244"/>
      <c r="R944" s="301"/>
      <c r="S944" s="250"/>
      <c r="T944" s="301"/>
      <c r="U944" s="250"/>
      <c r="V944" s="301"/>
      <c r="W944" s="250"/>
      <c r="X944" s="254"/>
      <c r="Y944" s="301"/>
      <c r="Z944" s="258"/>
      <c r="AA944" s="250"/>
      <c r="AB944" s="301"/>
      <c r="AC944" s="305"/>
      <c r="AD944" s="262"/>
      <c r="AE944" s="262"/>
      <c r="AF944" s="283"/>
    </row>
    <row r="945" spans="2:32" hidden="1">
      <c r="B945" s="267"/>
      <c r="C945" s="219"/>
      <c r="D945" s="219"/>
      <c r="E945" s="219"/>
      <c r="F945" s="219"/>
      <c r="G945" s="222"/>
      <c r="H945" s="227"/>
      <c r="I945" s="227"/>
      <c r="J945" s="217"/>
      <c r="K945" s="217"/>
      <c r="L945" s="217"/>
      <c r="M945" s="231"/>
      <c r="N945" s="235"/>
      <c r="O945" s="239"/>
      <c r="P945" s="245"/>
      <c r="Q945" s="246"/>
      <c r="R945" s="302"/>
      <c r="S945" s="251"/>
      <c r="T945" s="302"/>
      <c r="U945" s="251"/>
      <c r="V945" s="302"/>
      <c r="W945" s="251"/>
      <c r="X945" s="255"/>
      <c r="Y945" s="302"/>
      <c r="Z945" s="259"/>
      <c r="AA945" s="251"/>
      <c r="AB945" s="302"/>
      <c r="AC945" s="306"/>
      <c r="AD945" s="261"/>
      <c r="AE945" s="261"/>
      <c r="AF945" s="282"/>
    </row>
    <row r="946" spans="2:32" hidden="1">
      <c r="B946" s="266"/>
      <c r="C946" s="220"/>
      <c r="D946" s="220"/>
      <c r="E946" s="220"/>
      <c r="F946" s="220"/>
      <c r="G946" s="223"/>
      <c r="H946" s="226"/>
      <c r="I946" s="226"/>
      <c r="J946" s="216"/>
      <c r="K946" s="216"/>
      <c r="L946" s="216"/>
      <c r="M946" s="230"/>
      <c r="N946" s="234"/>
      <c r="O946" s="238"/>
      <c r="P946" s="243"/>
      <c r="Q946" s="244"/>
      <c r="R946" s="301"/>
      <c r="S946" s="250"/>
      <c r="T946" s="301"/>
      <c r="U946" s="250"/>
      <c r="V946" s="301"/>
      <c r="W946" s="250"/>
      <c r="X946" s="254"/>
      <c r="Y946" s="301"/>
      <c r="Z946" s="258"/>
      <c r="AA946" s="250"/>
      <c r="AB946" s="301"/>
      <c r="AC946" s="305"/>
      <c r="AD946" s="262"/>
      <c r="AE946" s="262"/>
      <c r="AF946" s="283"/>
    </row>
    <row r="947" spans="2:32" hidden="1">
      <c r="B947" s="267"/>
      <c r="C947" s="219"/>
      <c r="D947" s="219"/>
      <c r="E947" s="219"/>
      <c r="F947" s="219"/>
      <c r="G947" s="222"/>
      <c r="H947" s="227"/>
      <c r="I947" s="227"/>
      <c r="J947" s="217"/>
      <c r="K947" s="217"/>
      <c r="L947" s="217"/>
      <c r="M947" s="231"/>
      <c r="N947" s="235"/>
      <c r="O947" s="239"/>
      <c r="P947" s="245"/>
      <c r="Q947" s="246"/>
      <c r="R947" s="302"/>
      <c r="S947" s="251"/>
      <c r="T947" s="302"/>
      <c r="U947" s="251"/>
      <c r="V947" s="302"/>
      <c r="W947" s="251"/>
      <c r="X947" s="255"/>
      <c r="Y947" s="302"/>
      <c r="Z947" s="259"/>
      <c r="AA947" s="251"/>
      <c r="AB947" s="302"/>
      <c r="AC947" s="306"/>
      <c r="AD947" s="261"/>
      <c r="AE947" s="261"/>
      <c r="AF947" s="282"/>
    </row>
    <row r="948" spans="2:32" hidden="1">
      <c r="B948" s="266"/>
      <c r="C948" s="220"/>
      <c r="D948" s="220"/>
      <c r="E948" s="220"/>
      <c r="F948" s="220"/>
      <c r="G948" s="223"/>
      <c r="H948" s="226"/>
      <c r="I948" s="226"/>
      <c r="J948" s="216"/>
      <c r="K948" s="216"/>
      <c r="L948" s="216"/>
      <c r="M948" s="230"/>
      <c r="N948" s="234"/>
      <c r="O948" s="238"/>
      <c r="P948" s="243"/>
      <c r="Q948" s="244"/>
      <c r="R948" s="301"/>
      <c r="S948" s="250"/>
      <c r="T948" s="301"/>
      <c r="U948" s="250"/>
      <c r="V948" s="301"/>
      <c r="W948" s="250"/>
      <c r="X948" s="254"/>
      <c r="Y948" s="301"/>
      <c r="Z948" s="258"/>
      <c r="AA948" s="250"/>
      <c r="AB948" s="301"/>
      <c r="AC948" s="305"/>
      <c r="AD948" s="262"/>
      <c r="AE948" s="262"/>
      <c r="AF948" s="283"/>
    </row>
    <row r="949" spans="2:32" hidden="1">
      <c r="B949" s="267"/>
      <c r="C949" s="219"/>
      <c r="D949" s="219"/>
      <c r="E949" s="219"/>
      <c r="F949" s="219"/>
      <c r="G949" s="222"/>
      <c r="H949" s="227"/>
      <c r="I949" s="227"/>
      <c r="J949" s="217"/>
      <c r="K949" s="217"/>
      <c r="L949" s="217"/>
      <c r="M949" s="231"/>
      <c r="N949" s="235"/>
      <c r="O949" s="239"/>
      <c r="P949" s="245"/>
      <c r="Q949" s="246"/>
      <c r="R949" s="302"/>
      <c r="S949" s="251"/>
      <c r="T949" s="302"/>
      <c r="U949" s="251"/>
      <c r="V949" s="302"/>
      <c r="W949" s="251"/>
      <c r="X949" s="255"/>
      <c r="Y949" s="302"/>
      <c r="Z949" s="259"/>
      <c r="AA949" s="251"/>
      <c r="AB949" s="302"/>
      <c r="AC949" s="306"/>
      <c r="AD949" s="261"/>
      <c r="AE949" s="261"/>
      <c r="AF949" s="282"/>
    </row>
    <row r="950" spans="2:32" hidden="1">
      <c r="B950" s="266"/>
      <c r="C950" s="220"/>
      <c r="D950" s="220"/>
      <c r="E950" s="220"/>
      <c r="F950" s="220"/>
      <c r="G950" s="223"/>
      <c r="H950" s="226"/>
      <c r="I950" s="226"/>
      <c r="J950" s="216"/>
      <c r="K950" s="216"/>
      <c r="L950" s="216"/>
      <c r="M950" s="230"/>
      <c r="N950" s="234"/>
      <c r="O950" s="238"/>
      <c r="P950" s="243"/>
      <c r="Q950" s="244"/>
      <c r="R950" s="301"/>
      <c r="S950" s="250"/>
      <c r="T950" s="301"/>
      <c r="U950" s="250"/>
      <c r="V950" s="301"/>
      <c r="W950" s="250"/>
      <c r="X950" s="254"/>
      <c r="Y950" s="301"/>
      <c r="Z950" s="258"/>
      <c r="AA950" s="250"/>
      <c r="AB950" s="301"/>
      <c r="AC950" s="305"/>
      <c r="AD950" s="262"/>
      <c r="AE950" s="262"/>
      <c r="AF950" s="283"/>
    </row>
    <row r="951" spans="2:32" hidden="1">
      <c r="B951" s="267"/>
      <c r="C951" s="219"/>
      <c r="D951" s="219"/>
      <c r="E951" s="219"/>
      <c r="F951" s="219"/>
      <c r="G951" s="222"/>
      <c r="H951" s="227"/>
      <c r="I951" s="227"/>
      <c r="J951" s="217"/>
      <c r="K951" s="217"/>
      <c r="L951" s="217"/>
      <c r="M951" s="231"/>
      <c r="N951" s="235"/>
      <c r="O951" s="239"/>
      <c r="P951" s="245"/>
      <c r="Q951" s="246"/>
      <c r="R951" s="302"/>
      <c r="S951" s="251"/>
      <c r="T951" s="302"/>
      <c r="U951" s="251"/>
      <c r="V951" s="302"/>
      <c r="W951" s="251"/>
      <c r="X951" s="255"/>
      <c r="Y951" s="302"/>
      <c r="Z951" s="259"/>
      <c r="AA951" s="251"/>
      <c r="AB951" s="302"/>
      <c r="AC951" s="306"/>
      <c r="AD951" s="261"/>
      <c r="AE951" s="261"/>
      <c r="AF951" s="282"/>
    </row>
    <row r="952" spans="2:32" hidden="1">
      <c r="B952" s="266"/>
      <c r="C952" s="220"/>
      <c r="D952" s="220"/>
      <c r="E952" s="220"/>
      <c r="F952" s="220"/>
      <c r="G952" s="223"/>
      <c r="H952" s="226"/>
      <c r="I952" s="226"/>
      <c r="J952" s="216"/>
      <c r="K952" s="216"/>
      <c r="L952" s="216"/>
      <c r="M952" s="230"/>
      <c r="N952" s="234"/>
      <c r="O952" s="238"/>
      <c r="P952" s="243"/>
      <c r="Q952" s="244"/>
      <c r="R952" s="301"/>
      <c r="S952" s="250"/>
      <c r="T952" s="301"/>
      <c r="U952" s="250"/>
      <c r="V952" s="301"/>
      <c r="W952" s="250"/>
      <c r="X952" s="254"/>
      <c r="Y952" s="301"/>
      <c r="Z952" s="258"/>
      <c r="AA952" s="250"/>
      <c r="AB952" s="301"/>
      <c r="AC952" s="305"/>
      <c r="AD952" s="262"/>
      <c r="AE952" s="262"/>
      <c r="AF952" s="283"/>
    </row>
    <row r="953" spans="2:32" hidden="1">
      <c r="B953" s="267"/>
      <c r="C953" s="219"/>
      <c r="D953" s="219"/>
      <c r="E953" s="219"/>
      <c r="F953" s="219"/>
      <c r="G953" s="222"/>
      <c r="H953" s="227"/>
      <c r="I953" s="227"/>
      <c r="J953" s="217"/>
      <c r="K953" s="217"/>
      <c r="L953" s="217"/>
      <c r="M953" s="231"/>
      <c r="N953" s="235"/>
      <c r="O953" s="239"/>
      <c r="P953" s="245"/>
      <c r="Q953" s="246"/>
      <c r="R953" s="302"/>
      <c r="S953" s="251"/>
      <c r="T953" s="302"/>
      <c r="U953" s="251"/>
      <c r="V953" s="302"/>
      <c r="W953" s="251"/>
      <c r="X953" s="255"/>
      <c r="Y953" s="302"/>
      <c r="Z953" s="259"/>
      <c r="AA953" s="251"/>
      <c r="AB953" s="302"/>
      <c r="AC953" s="306"/>
      <c r="AD953" s="261"/>
      <c r="AE953" s="261"/>
      <c r="AF953" s="282"/>
    </row>
    <row r="954" spans="2:32" hidden="1">
      <c r="B954" s="266"/>
      <c r="C954" s="220"/>
      <c r="D954" s="220"/>
      <c r="E954" s="220"/>
      <c r="F954" s="220"/>
      <c r="G954" s="223"/>
      <c r="H954" s="226"/>
      <c r="I954" s="226"/>
      <c r="J954" s="216"/>
      <c r="K954" s="216"/>
      <c r="L954" s="216"/>
      <c r="M954" s="230"/>
      <c r="N954" s="234"/>
      <c r="O954" s="238"/>
      <c r="P954" s="243"/>
      <c r="Q954" s="244"/>
      <c r="R954" s="301"/>
      <c r="S954" s="250"/>
      <c r="T954" s="301"/>
      <c r="U954" s="250"/>
      <c r="V954" s="301"/>
      <c r="W954" s="250"/>
      <c r="X954" s="254"/>
      <c r="Y954" s="301"/>
      <c r="Z954" s="258"/>
      <c r="AA954" s="250"/>
      <c r="AB954" s="301"/>
      <c r="AC954" s="305"/>
      <c r="AD954" s="262"/>
      <c r="AE954" s="262"/>
      <c r="AF954" s="283"/>
    </row>
    <row r="955" spans="2:32" hidden="1">
      <c r="B955" s="267"/>
      <c r="C955" s="219"/>
      <c r="D955" s="219"/>
      <c r="E955" s="219"/>
      <c r="F955" s="219"/>
      <c r="G955" s="222"/>
      <c r="H955" s="227"/>
      <c r="I955" s="227"/>
      <c r="J955" s="217"/>
      <c r="K955" s="217"/>
      <c r="L955" s="217"/>
      <c r="M955" s="231"/>
      <c r="N955" s="235"/>
      <c r="O955" s="239"/>
      <c r="P955" s="245"/>
      <c r="Q955" s="246"/>
      <c r="R955" s="302"/>
      <c r="S955" s="251"/>
      <c r="T955" s="302"/>
      <c r="U955" s="251"/>
      <c r="V955" s="302"/>
      <c r="W955" s="251"/>
      <c r="X955" s="255"/>
      <c r="Y955" s="302"/>
      <c r="Z955" s="259"/>
      <c r="AA955" s="251"/>
      <c r="AB955" s="302"/>
      <c r="AC955" s="306"/>
      <c r="AD955" s="261"/>
      <c r="AE955" s="261"/>
      <c r="AF955" s="282"/>
    </row>
    <row r="956" spans="2:32" hidden="1">
      <c r="B956" s="266"/>
      <c r="C956" s="220"/>
      <c r="D956" s="220"/>
      <c r="E956" s="220"/>
      <c r="F956" s="220"/>
      <c r="G956" s="223"/>
      <c r="H956" s="226"/>
      <c r="I956" s="226"/>
      <c r="J956" s="216"/>
      <c r="K956" s="216"/>
      <c r="L956" s="216"/>
      <c r="M956" s="230"/>
      <c r="N956" s="234"/>
      <c r="O956" s="238"/>
      <c r="P956" s="243"/>
      <c r="Q956" s="244"/>
      <c r="R956" s="301"/>
      <c r="S956" s="250"/>
      <c r="T956" s="301"/>
      <c r="U956" s="250"/>
      <c r="V956" s="301"/>
      <c r="W956" s="250"/>
      <c r="X956" s="254"/>
      <c r="Y956" s="301"/>
      <c r="Z956" s="258"/>
      <c r="AA956" s="250"/>
      <c r="AB956" s="301"/>
      <c r="AC956" s="305"/>
      <c r="AD956" s="262"/>
      <c r="AE956" s="262"/>
      <c r="AF956" s="283"/>
    </row>
    <row r="957" spans="2:32" hidden="1">
      <c r="B957" s="267"/>
      <c r="C957" s="219"/>
      <c r="D957" s="219"/>
      <c r="E957" s="219"/>
      <c r="F957" s="219"/>
      <c r="G957" s="222"/>
      <c r="H957" s="227"/>
      <c r="I957" s="227"/>
      <c r="J957" s="217"/>
      <c r="K957" s="217"/>
      <c r="L957" s="217"/>
      <c r="M957" s="231"/>
      <c r="N957" s="235"/>
      <c r="O957" s="239"/>
      <c r="P957" s="245"/>
      <c r="Q957" s="246"/>
      <c r="R957" s="302"/>
      <c r="S957" s="251"/>
      <c r="T957" s="302"/>
      <c r="U957" s="251"/>
      <c r="V957" s="302"/>
      <c r="W957" s="251"/>
      <c r="X957" s="255"/>
      <c r="Y957" s="302"/>
      <c r="Z957" s="259"/>
      <c r="AA957" s="251"/>
      <c r="AB957" s="302"/>
      <c r="AC957" s="306"/>
      <c r="AD957" s="261"/>
      <c r="AE957" s="261"/>
      <c r="AF957" s="282"/>
    </row>
    <row r="958" spans="2:32" hidden="1">
      <c r="B958" s="266"/>
      <c r="C958" s="220"/>
      <c r="D958" s="220"/>
      <c r="E958" s="220"/>
      <c r="F958" s="220"/>
      <c r="G958" s="223"/>
      <c r="H958" s="226"/>
      <c r="I958" s="226"/>
      <c r="J958" s="216"/>
      <c r="K958" s="216"/>
      <c r="L958" s="216"/>
      <c r="M958" s="230"/>
      <c r="N958" s="234"/>
      <c r="O958" s="238"/>
      <c r="P958" s="243"/>
      <c r="Q958" s="244"/>
      <c r="R958" s="301"/>
      <c r="S958" s="250"/>
      <c r="T958" s="301"/>
      <c r="U958" s="250"/>
      <c r="V958" s="301"/>
      <c r="W958" s="250"/>
      <c r="X958" s="254"/>
      <c r="Y958" s="301"/>
      <c r="Z958" s="258"/>
      <c r="AA958" s="250"/>
      <c r="AB958" s="301"/>
      <c r="AC958" s="305"/>
      <c r="AD958" s="262"/>
      <c r="AE958" s="262"/>
      <c r="AF958" s="283"/>
    </row>
    <row r="959" spans="2:32" hidden="1">
      <c r="B959" s="267"/>
      <c r="C959" s="219"/>
      <c r="D959" s="219"/>
      <c r="E959" s="219"/>
      <c r="F959" s="219"/>
      <c r="G959" s="222"/>
      <c r="H959" s="227"/>
      <c r="I959" s="227"/>
      <c r="J959" s="217"/>
      <c r="K959" s="217"/>
      <c r="L959" s="217"/>
      <c r="M959" s="231"/>
      <c r="N959" s="235"/>
      <c r="O959" s="239"/>
      <c r="P959" s="245"/>
      <c r="Q959" s="246"/>
      <c r="R959" s="302"/>
      <c r="S959" s="251"/>
      <c r="T959" s="302"/>
      <c r="U959" s="251"/>
      <c r="V959" s="302"/>
      <c r="W959" s="251"/>
      <c r="X959" s="255"/>
      <c r="Y959" s="302"/>
      <c r="Z959" s="259"/>
      <c r="AA959" s="251"/>
      <c r="AB959" s="302"/>
      <c r="AC959" s="306"/>
      <c r="AD959" s="261"/>
      <c r="AE959" s="261"/>
      <c r="AF959" s="282"/>
    </row>
    <row r="960" spans="2:32" hidden="1">
      <c r="B960" s="266"/>
      <c r="C960" s="220"/>
      <c r="D960" s="220"/>
      <c r="E960" s="220"/>
      <c r="F960" s="220"/>
      <c r="G960" s="223"/>
      <c r="H960" s="226"/>
      <c r="I960" s="226"/>
      <c r="J960" s="216"/>
      <c r="K960" s="216"/>
      <c r="L960" s="216"/>
      <c r="M960" s="230"/>
      <c r="N960" s="234"/>
      <c r="O960" s="238"/>
      <c r="P960" s="243"/>
      <c r="Q960" s="244"/>
      <c r="R960" s="301"/>
      <c r="S960" s="250"/>
      <c r="T960" s="301"/>
      <c r="U960" s="250"/>
      <c r="V960" s="301"/>
      <c r="W960" s="250"/>
      <c r="X960" s="254"/>
      <c r="Y960" s="301"/>
      <c r="Z960" s="258"/>
      <c r="AA960" s="250"/>
      <c r="AB960" s="301"/>
      <c r="AC960" s="305"/>
      <c r="AD960" s="262"/>
      <c r="AE960" s="262"/>
      <c r="AF960" s="283"/>
    </row>
    <row r="961" spans="2:32" hidden="1">
      <c r="B961" s="267"/>
      <c r="C961" s="219"/>
      <c r="D961" s="219"/>
      <c r="E961" s="219"/>
      <c r="F961" s="219"/>
      <c r="G961" s="222"/>
      <c r="H961" s="227"/>
      <c r="I961" s="227"/>
      <c r="J961" s="217"/>
      <c r="K961" s="217"/>
      <c r="L961" s="217"/>
      <c r="M961" s="231"/>
      <c r="N961" s="235"/>
      <c r="O961" s="239"/>
      <c r="P961" s="245"/>
      <c r="Q961" s="246"/>
      <c r="R961" s="302"/>
      <c r="S961" s="251"/>
      <c r="T961" s="302"/>
      <c r="U961" s="251"/>
      <c r="V961" s="302"/>
      <c r="W961" s="251"/>
      <c r="X961" s="255"/>
      <c r="Y961" s="302"/>
      <c r="Z961" s="259"/>
      <c r="AA961" s="251"/>
      <c r="AB961" s="302"/>
      <c r="AC961" s="306"/>
      <c r="AD961" s="261"/>
      <c r="AE961" s="261"/>
      <c r="AF961" s="282"/>
    </row>
    <row r="962" spans="2:32" hidden="1">
      <c r="B962" s="266"/>
      <c r="C962" s="220"/>
      <c r="D962" s="220"/>
      <c r="E962" s="220"/>
      <c r="F962" s="220"/>
      <c r="G962" s="223"/>
      <c r="H962" s="226"/>
      <c r="I962" s="226"/>
      <c r="J962" s="216"/>
      <c r="K962" s="216"/>
      <c r="L962" s="216"/>
      <c r="M962" s="230"/>
      <c r="N962" s="234"/>
      <c r="O962" s="238"/>
      <c r="P962" s="243"/>
      <c r="Q962" s="244"/>
      <c r="R962" s="301"/>
      <c r="S962" s="250"/>
      <c r="T962" s="301"/>
      <c r="U962" s="250"/>
      <c r="V962" s="301"/>
      <c r="W962" s="250"/>
      <c r="X962" s="254"/>
      <c r="Y962" s="301"/>
      <c r="Z962" s="258"/>
      <c r="AA962" s="250"/>
      <c r="AB962" s="301"/>
      <c r="AC962" s="305"/>
      <c r="AD962" s="262"/>
      <c r="AE962" s="262"/>
      <c r="AF962" s="283"/>
    </row>
    <row r="963" spans="2:32" hidden="1">
      <c r="B963" s="267"/>
      <c r="C963" s="219"/>
      <c r="D963" s="219"/>
      <c r="E963" s="219"/>
      <c r="F963" s="219"/>
      <c r="G963" s="222"/>
      <c r="H963" s="227"/>
      <c r="I963" s="227"/>
      <c r="J963" s="217"/>
      <c r="K963" s="217"/>
      <c r="L963" s="217"/>
      <c r="M963" s="231"/>
      <c r="N963" s="235"/>
      <c r="O963" s="239"/>
      <c r="P963" s="245"/>
      <c r="Q963" s="246"/>
      <c r="R963" s="302"/>
      <c r="S963" s="251"/>
      <c r="T963" s="302"/>
      <c r="U963" s="251"/>
      <c r="V963" s="302"/>
      <c r="W963" s="251"/>
      <c r="X963" s="255"/>
      <c r="Y963" s="302"/>
      <c r="Z963" s="259"/>
      <c r="AA963" s="251"/>
      <c r="AB963" s="302"/>
      <c r="AC963" s="306"/>
      <c r="AD963" s="261"/>
      <c r="AE963" s="261"/>
      <c r="AF963" s="282"/>
    </row>
    <row r="964" spans="2:32" hidden="1">
      <c r="B964" s="266"/>
      <c r="C964" s="220"/>
      <c r="D964" s="220"/>
      <c r="E964" s="220"/>
      <c r="F964" s="220"/>
      <c r="G964" s="223"/>
      <c r="H964" s="226"/>
      <c r="I964" s="226"/>
      <c r="J964" s="216"/>
      <c r="K964" s="216"/>
      <c r="L964" s="216"/>
      <c r="M964" s="230"/>
      <c r="N964" s="234"/>
      <c r="O964" s="238"/>
      <c r="P964" s="243"/>
      <c r="Q964" s="244"/>
      <c r="R964" s="301"/>
      <c r="S964" s="250"/>
      <c r="T964" s="301"/>
      <c r="U964" s="250"/>
      <c r="V964" s="301"/>
      <c r="W964" s="250"/>
      <c r="X964" s="254"/>
      <c r="Y964" s="301"/>
      <c r="Z964" s="258"/>
      <c r="AA964" s="250"/>
      <c r="AB964" s="301"/>
      <c r="AC964" s="305"/>
      <c r="AD964" s="262"/>
      <c r="AE964" s="262"/>
      <c r="AF964" s="283"/>
    </row>
    <row r="965" spans="2:32" hidden="1">
      <c r="B965" s="267"/>
      <c r="C965" s="219"/>
      <c r="D965" s="219"/>
      <c r="E965" s="219"/>
      <c r="F965" s="219"/>
      <c r="G965" s="222"/>
      <c r="H965" s="227"/>
      <c r="I965" s="227"/>
      <c r="J965" s="217"/>
      <c r="K965" s="217"/>
      <c r="L965" s="217"/>
      <c r="M965" s="231"/>
      <c r="N965" s="235"/>
      <c r="O965" s="239"/>
      <c r="P965" s="245"/>
      <c r="Q965" s="246"/>
      <c r="R965" s="302"/>
      <c r="S965" s="251"/>
      <c r="T965" s="302"/>
      <c r="U965" s="251"/>
      <c r="V965" s="302"/>
      <c r="W965" s="251"/>
      <c r="X965" s="255"/>
      <c r="Y965" s="302"/>
      <c r="Z965" s="259"/>
      <c r="AA965" s="251"/>
      <c r="AB965" s="302"/>
      <c r="AC965" s="306"/>
      <c r="AD965" s="261"/>
      <c r="AE965" s="261"/>
      <c r="AF965" s="282"/>
    </row>
    <row r="966" spans="2:32" hidden="1">
      <c r="B966" s="266"/>
      <c r="C966" s="220"/>
      <c r="D966" s="220"/>
      <c r="E966" s="220"/>
      <c r="F966" s="220"/>
      <c r="G966" s="223"/>
      <c r="H966" s="226"/>
      <c r="I966" s="226"/>
      <c r="J966" s="216"/>
      <c r="K966" s="216"/>
      <c r="L966" s="216"/>
      <c r="M966" s="230"/>
      <c r="N966" s="234"/>
      <c r="O966" s="238"/>
      <c r="P966" s="243"/>
      <c r="Q966" s="244"/>
      <c r="R966" s="301"/>
      <c r="S966" s="250"/>
      <c r="T966" s="301"/>
      <c r="U966" s="250"/>
      <c r="V966" s="301"/>
      <c r="W966" s="250"/>
      <c r="X966" s="254"/>
      <c r="Y966" s="301"/>
      <c r="Z966" s="258"/>
      <c r="AA966" s="250"/>
      <c r="AB966" s="301"/>
      <c r="AC966" s="305"/>
      <c r="AD966" s="262"/>
      <c r="AE966" s="262"/>
      <c r="AF966" s="283"/>
    </row>
    <row r="967" spans="2:32" hidden="1">
      <c r="B967" s="267"/>
      <c r="C967" s="219"/>
      <c r="D967" s="219"/>
      <c r="E967" s="219"/>
      <c r="F967" s="219"/>
      <c r="G967" s="222"/>
      <c r="H967" s="227"/>
      <c r="I967" s="227"/>
      <c r="J967" s="217"/>
      <c r="K967" s="217"/>
      <c r="L967" s="217"/>
      <c r="M967" s="231"/>
      <c r="N967" s="235"/>
      <c r="O967" s="239"/>
      <c r="P967" s="245"/>
      <c r="Q967" s="246"/>
      <c r="R967" s="302"/>
      <c r="S967" s="251"/>
      <c r="T967" s="302"/>
      <c r="U967" s="251"/>
      <c r="V967" s="302"/>
      <c r="W967" s="251"/>
      <c r="X967" s="255"/>
      <c r="Y967" s="302"/>
      <c r="Z967" s="259"/>
      <c r="AA967" s="251"/>
      <c r="AB967" s="302"/>
      <c r="AC967" s="306"/>
      <c r="AD967" s="261"/>
      <c r="AE967" s="261"/>
      <c r="AF967" s="282"/>
    </row>
    <row r="968" spans="2:32" hidden="1">
      <c r="B968" s="266"/>
      <c r="C968" s="220"/>
      <c r="D968" s="220"/>
      <c r="E968" s="220"/>
      <c r="F968" s="220"/>
      <c r="G968" s="223"/>
      <c r="H968" s="226"/>
      <c r="I968" s="226"/>
      <c r="J968" s="216"/>
      <c r="K968" s="216"/>
      <c r="L968" s="216"/>
      <c r="M968" s="230"/>
      <c r="N968" s="234"/>
      <c r="O968" s="238"/>
      <c r="P968" s="243"/>
      <c r="Q968" s="244"/>
      <c r="R968" s="301"/>
      <c r="S968" s="250"/>
      <c r="T968" s="301"/>
      <c r="U968" s="250"/>
      <c r="V968" s="301"/>
      <c r="W968" s="250"/>
      <c r="X968" s="254"/>
      <c r="Y968" s="301"/>
      <c r="Z968" s="258"/>
      <c r="AA968" s="250"/>
      <c r="AB968" s="301"/>
      <c r="AC968" s="305"/>
      <c r="AD968" s="262"/>
      <c r="AE968" s="262"/>
      <c r="AF968" s="283"/>
    </row>
    <row r="969" spans="2:32" hidden="1">
      <c r="B969" s="267"/>
      <c r="C969" s="219"/>
      <c r="D969" s="219"/>
      <c r="E969" s="219"/>
      <c r="F969" s="219"/>
      <c r="G969" s="222"/>
      <c r="H969" s="227"/>
      <c r="I969" s="227"/>
      <c r="J969" s="217"/>
      <c r="K969" s="217"/>
      <c r="L969" s="217"/>
      <c r="M969" s="231"/>
      <c r="N969" s="235"/>
      <c r="O969" s="239"/>
      <c r="P969" s="245"/>
      <c r="Q969" s="246"/>
      <c r="R969" s="302"/>
      <c r="S969" s="251"/>
      <c r="T969" s="302"/>
      <c r="U969" s="251"/>
      <c r="V969" s="302"/>
      <c r="W969" s="251"/>
      <c r="X969" s="255"/>
      <c r="Y969" s="302"/>
      <c r="Z969" s="259"/>
      <c r="AA969" s="251"/>
      <c r="AB969" s="302"/>
      <c r="AC969" s="306"/>
      <c r="AD969" s="261"/>
      <c r="AE969" s="261"/>
      <c r="AF969" s="282"/>
    </row>
    <row r="970" spans="2:32" hidden="1">
      <c r="B970" s="266"/>
      <c r="C970" s="220"/>
      <c r="D970" s="220"/>
      <c r="E970" s="220"/>
      <c r="F970" s="220"/>
      <c r="G970" s="223"/>
      <c r="H970" s="226"/>
      <c r="I970" s="226"/>
      <c r="J970" s="216"/>
      <c r="K970" s="216"/>
      <c r="L970" s="216"/>
      <c r="M970" s="230"/>
      <c r="N970" s="234"/>
      <c r="O970" s="238"/>
      <c r="P970" s="243"/>
      <c r="Q970" s="244"/>
      <c r="R970" s="301"/>
      <c r="S970" s="250"/>
      <c r="T970" s="301"/>
      <c r="U970" s="250"/>
      <c r="V970" s="301"/>
      <c r="W970" s="250"/>
      <c r="X970" s="254"/>
      <c r="Y970" s="301"/>
      <c r="Z970" s="258"/>
      <c r="AA970" s="250"/>
      <c r="AB970" s="301"/>
      <c r="AC970" s="305"/>
      <c r="AD970" s="262"/>
      <c r="AE970" s="262"/>
      <c r="AF970" s="283"/>
    </row>
    <row r="971" spans="2:32" hidden="1">
      <c r="B971" s="267"/>
      <c r="C971" s="219"/>
      <c r="D971" s="219"/>
      <c r="E971" s="219"/>
      <c r="F971" s="219"/>
      <c r="G971" s="222"/>
      <c r="H971" s="227"/>
      <c r="I971" s="227"/>
      <c r="J971" s="217"/>
      <c r="K971" s="217"/>
      <c r="L971" s="217"/>
      <c r="M971" s="231"/>
      <c r="N971" s="235"/>
      <c r="O971" s="239"/>
      <c r="P971" s="245"/>
      <c r="Q971" s="246"/>
      <c r="R971" s="302"/>
      <c r="S971" s="251"/>
      <c r="T971" s="302"/>
      <c r="U971" s="251"/>
      <c r="V971" s="302"/>
      <c r="W971" s="251"/>
      <c r="X971" s="255"/>
      <c r="Y971" s="302"/>
      <c r="Z971" s="259"/>
      <c r="AA971" s="251"/>
      <c r="AB971" s="302"/>
      <c r="AC971" s="306"/>
      <c r="AD971" s="261"/>
      <c r="AE971" s="261"/>
      <c r="AF971" s="282"/>
    </row>
    <row r="972" spans="2:32" hidden="1">
      <c r="B972" s="266"/>
      <c r="C972" s="220"/>
      <c r="D972" s="220"/>
      <c r="E972" s="220"/>
      <c r="F972" s="220"/>
      <c r="G972" s="223"/>
      <c r="H972" s="226"/>
      <c r="I972" s="226"/>
      <c r="J972" s="216"/>
      <c r="K972" s="216"/>
      <c r="L972" s="216"/>
      <c r="M972" s="230"/>
      <c r="N972" s="234"/>
      <c r="O972" s="238"/>
      <c r="P972" s="243"/>
      <c r="Q972" s="244"/>
      <c r="R972" s="301"/>
      <c r="S972" s="250"/>
      <c r="T972" s="301"/>
      <c r="U972" s="250"/>
      <c r="V972" s="301"/>
      <c r="W972" s="250"/>
      <c r="X972" s="254"/>
      <c r="Y972" s="301"/>
      <c r="Z972" s="258"/>
      <c r="AA972" s="250"/>
      <c r="AB972" s="301"/>
      <c r="AC972" s="305"/>
      <c r="AD972" s="262"/>
      <c r="AE972" s="262"/>
      <c r="AF972" s="283"/>
    </row>
    <row r="973" spans="2:32" hidden="1">
      <c r="B973" s="267"/>
      <c r="C973" s="219"/>
      <c r="D973" s="219"/>
      <c r="E973" s="219"/>
      <c r="F973" s="219"/>
      <c r="G973" s="222"/>
      <c r="H973" s="227"/>
      <c r="I973" s="227"/>
      <c r="J973" s="217"/>
      <c r="K973" s="217"/>
      <c r="L973" s="217"/>
      <c r="M973" s="231"/>
      <c r="N973" s="235"/>
      <c r="O973" s="239"/>
      <c r="P973" s="245"/>
      <c r="Q973" s="246"/>
      <c r="R973" s="302"/>
      <c r="S973" s="251"/>
      <c r="T973" s="302"/>
      <c r="U973" s="251"/>
      <c r="V973" s="302"/>
      <c r="W973" s="251"/>
      <c r="X973" s="255"/>
      <c r="Y973" s="302"/>
      <c r="Z973" s="259"/>
      <c r="AA973" s="251"/>
      <c r="AB973" s="302"/>
      <c r="AC973" s="306"/>
      <c r="AD973" s="261"/>
      <c r="AE973" s="261"/>
      <c r="AF973" s="282"/>
    </row>
    <row r="974" spans="2:32" hidden="1">
      <c r="B974" s="266"/>
      <c r="C974" s="220"/>
      <c r="D974" s="220"/>
      <c r="E974" s="220"/>
      <c r="F974" s="220"/>
      <c r="G974" s="223"/>
      <c r="H974" s="226"/>
      <c r="I974" s="226"/>
      <c r="J974" s="216"/>
      <c r="K974" s="216"/>
      <c r="L974" s="216"/>
      <c r="M974" s="230"/>
      <c r="N974" s="234"/>
      <c r="O974" s="238"/>
      <c r="P974" s="243"/>
      <c r="Q974" s="244"/>
      <c r="R974" s="301"/>
      <c r="S974" s="250"/>
      <c r="T974" s="301"/>
      <c r="U974" s="250"/>
      <c r="V974" s="301"/>
      <c r="W974" s="250"/>
      <c r="X974" s="254"/>
      <c r="Y974" s="301"/>
      <c r="Z974" s="258"/>
      <c r="AA974" s="250"/>
      <c r="AB974" s="301"/>
      <c r="AC974" s="305"/>
      <c r="AD974" s="262"/>
      <c r="AE974" s="262"/>
      <c r="AF974" s="283"/>
    </row>
    <row r="975" spans="2:32" hidden="1">
      <c r="B975" s="267"/>
      <c r="C975" s="219"/>
      <c r="D975" s="219"/>
      <c r="E975" s="219"/>
      <c r="F975" s="219"/>
      <c r="G975" s="222"/>
      <c r="H975" s="227"/>
      <c r="I975" s="227"/>
      <c r="J975" s="217"/>
      <c r="K975" s="217"/>
      <c r="L975" s="217"/>
      <c r="M975" s="231"/>
      <c r="N975" s="235"/>
      <c r="O975" s="239"/>
      <c r="P975" s="245"/>
      <c r="Q975" s="246"/>
      <c r="R975" s="302"/>
      <c r="S975" s="251"/>
      <c r="T975" s="302"/>
      <c r="U975" s="251"/>
      <c r="V975" s="302"/>
      <c r="W975" s="251"/>
      <c r="X975" s="255"/>
      <c r="Y975" s="302"/>
      <c r="Z975" s="259"/>
      <c r="AA975" s="251"/>
      <c r="AB975" s="302"/>
      <c r="AC975" s="306"/>
      <c r="AD975" s="261"/>
      <c r="AE975" s="261"/>
      <c r="AF975" s="282"/>
    </row>
    <row r="976" spans="2:32" hidden="1">
      <c r="B976" s="266"/>
      <c r="C976" s="220"/>
      <c r="D976" s="220"/>
      <c r="E976" s="220"/>
      <c r="F976" s="220"/>
      <c r="G976" s="223"/>
      <c r="H976" s="226"/>
      <c r="I976" s="226"/>
      <c r="J976" s="216"/>
      <c r="K976" s="216"/>
      <c r="L976" s="216"/>
      <c r="M976" s="230"/>
      <c r="N976" s="234"/>
      <c r="O976" s="238"/>
      <c r="P976" s="243"/>
      <c r="Q976" s="244"/>
      <c r="R976" s="301"/>
      <c r="S976" s="250"/>
      <c r="T976" s="301"/>
      <c r="U976" s="250"/>
      <c r="V976" s="301"/>
      <c r="W976" s="250"/>
      <c r="X976" s="254"/>
      <c r="Y976" s="301"/>
      <c r="Z976" s="258"/>
      <c r="AA976" s="250"/>
      <c r="AB976" s="301"/>
      <c r="AC976" s="305"/>
      <c r="AD976" s="262"/>
      <c r="AE976" s="262"/>
      <c r="AF976" s="283"/>
    </row>
    <row r="977" spans="2:32" hidden="1">
      <c r="B977" s="267"/>
      <c r="C977" s="219"/>
      <c r="D977" s="219"/>
      <c r="E977" s="219"/>
      <c r="F977" s="219"/>
      <c r="G977" s="222"/>
      <c r="H977" s="227"/>
      <c r="I977" s="227"/>
      <c r="J977" s="217"/>
      <c r="K977" s="217"/>
      <c r="L977" s="217"/>
      <c r="M977" s="231"/>
      <c r="N977" s="235"/>
      <c r="O977" s="239"/>
      <c r="P977" s="245"/>
      <c r="Q977" s="246"/>
      <c r="R977" s="302"/>
      <c r="S977" s="251"/>
      <c r="T977" s="302"/>
      <c r="U977" s="251"/>
      <c r="V977" s="302"/>
      <c r="W977" s="251"/>
      <c r="X977" s="255"/>
      <c r="Y977" s="302"/>
      <c r="Z977" s="259"/>
      <c r="AA977" s="251"/>
      <c r="AB977" s="302"/>
      <c r="AC977" s="306"/>
      <c r="AD977" s="261"/>
      <c r="AE977" s="261"/>
      <c r="AF977" s="282"/>
    </row>
    <row r="978" spans="2:32" hidden="1">
      <c r="B978" s="266"/>
      <c r="C978" s="220"/>
      <c r="D978" s="220"/>
      <c r="E978" s="220"/>
      <c r="F978" s="220"/>
      <c r="G978" s="223"/>
      <c r="H978" s="226"/>
      <c r="I978" s="226"/>
      <c r="J978" s="216"/>
      <c r="K978" s="216"/>
      <c r="L978" s="216"/>
      <c r="M978" s="230"/>
      <c r="N978" s="234"/>
      <c r="O978" s="238"/>
      <c r="P978" s="243"/>
      <c r="Q978" s="244"/>
      <c r="R978" s="301"/>
      <c r="S978" s="250"/>
      <c r="T978" s="301"/>
      <c r="U978" s="250"/>
      <c r="V978" s="301"/>
      <c r="W978" s="250"/>
      <c r="X978" s="254"/>
      <c r="Y978" s="301"/>
      <c r="Z978" s="258"/>
      <c r="AA978" s="250"/>
      <c r="AB978" s="301"/>
      <c r="AC978" s="305"/>
      <c r="AD978" s="262"/>
      <c r="AE978" s="262"/>
      <c r="AF978" s="283"/>
    </row>
    <row r="979" spans="2:32" hidden="1">
      <c r="B979" s="267"/>
      <c r="C979" s="219"/>
      <c r="D979" s="219"/>
      <c r="E979" s="219"/>
      <c r="F979" s="219"/>
      <c r="G979" s="222"/>
      <c r="H979" s="227"/>
      <c r="I979" s="227"/>
      <c r="J979" s="217"/>
      <c r="K979" s="217"/>
      <c r="L979" s="217"/>
      <c r="M979" s="231"/>
      <c r="N979" s="235"/>
      <c r="O979" s="239"/>
      <c r="P979" s="245"/>
      <c r="Q979" s="246"/>
      <c r="R979" s="302"/>
      <c r="S979" s="251"/>
      <c r="T979" s="302"/>
      <c r="U979" s="251"/>
      <c r="V979" s="302"/>
      <c r="W979" s="251"/>
      <c r="X979" s="255"/>
      <c r="Y979" s="302"/>
      <c r="Z979" s="259"/>
      <c r="AA979" s="251"/>
      <c r="AB979" s="302"/>
      <c r="AC979" s="306"/>
      <c r="AD979" s="261"/>
      <c r="AE979" s="261"/>
      <c r="AF979" s="282"/>
    </row>
    <row r="980" spans="2:32" hidden="1">
      <c r="B980" s="266"/>
      <c r="C980" s="220"/>
      <c r="D980" s="220"/>
      <c r="E980" s="220"/>
      <c r="F980" s="220"/>
      <c r="G980" s="223"/>
      <c r="H980" s="226"/>
      <c r="I980" s="226"/>
      <c r="J980" s="216"/>
      <c r="K980" s="216"/>
      <c r="L980" s="216"/>
      <c r="M980" s="230"/>
      <c r="N980" s="234"/>
      <c r="O980" s="238"/>
      <c r="P980" s="243"/>
      <c r="Q980" s="244"/>
      <c r="R980" s="301"/>
      <c r="S980" s="250"/>
      <c r="T980" s="301"/>
      <c r="U980" s="250"/>
      <c r="V980" s="301"/>
      <c r="W980" s="250"/>
      <c r="X980" s="254"/>
      <c r="Y980" s="301"/>
      <c r="Z980" s="258"/>
      <c r="AA980" s="250"/>
      <c r="AB980" s="301"/>
      <c r="AC980" s="305"/>
      <c r="AD980" s="262"/>
      <c r="AE980" s="262"/>
      <c r="AF980" s="283"/>
    </row>
    <row r="981" spans="2:32" hidden="1">
      <c r="B981" s="267"/>
      <c r="C981" s="219"/>
      <c r="D981" s="219"/>
      <c r="E981" s="219"/>
      <c r="F981" s="219"/>
      <c r="G981" s="222"/>
      <c r="H981" s="227"/>
      <c r="I981" s="227"/>
      <c r="J981" s="217"/>
      <c r="K981" s="217"/>
      <c r="L981" s="217"/>
      <c r="M981" s="231"/>
      <c r="N981" s="235"/>
      <c r="O981" s="239"/>
      <c r="P981" s="245"/>
      <c r="Q981" s="246"/>
      <c r="R981" s="302"/>
      <c r="S981" s="251"/>
      <c r="T981" s="302"/>
      <c r="U981" s="251"/>
      <c r="V981" s="302"/>
      <c r="W981" s="251"/>
      <c r="X981" s="255"/>
      <c r="Y981" s="302"/>
      <c r="Z981" s="259"/>
      <c r="AA981" s="251"/>
      <c r="AB981" s="302"/>
      <c r="AC981" s="306"/>
      <c r="AD981" s="261"/>
      <c r="AE981" s="261"/>
      <c r="AF981" s="282"/>
    </row>
    <row r="982" spans="2:32" hidden="1">
      <c r="B982" s="266"/>
      <c r="C982" s="220"/>
      <c r="D982" s="220"/>
      <c r="E982" s="220"/>
      <c r="F982" s="220"/>
      <c r="G982" s="223"/>
      <c r="H982" s="226"/>
      <c r="I982" s="226"/>
      <c r="J982" s="216"/>
      <c r="K982" s="216"/>
      <c r="L982" s="216"/>
      <c r="M982" s="230"/>
      <c r="N982" s="234"/>
      <c r="O982" s="238"/>
      <c r="P982" s="243"/>
      <c r="Q982" s="244"/>
      <c r="R982" s="301"/>
      <c r="S982" s="250"/>
      <c r="T982" s="301"/>
      <c r="U982" s="250"/>
      <c r="V982" s="301"/>
      <c r="W982" s="250"/>
      <c r="X982" s="254"/>
      <c r="Y982" s="301"/>
      <c r="Z982" s="258"/>
      <c r="AA982" s="250"/>
      <c r="AB982" s="301"/>
      <c r="AC982" s="305"/>
      <c r="AD982" s="262"/>
      <c r="AE982" s="262"/>
      <c r="AF982" s="283"/>
    </row>
    <row r="983" spans="2:32" hidden="1">
      <c r="B983" s="267"/>
      <c r="C983" s="219"/>
      <c r="D983" s="219"/>
      <c r="E983" s="219"/>
      <c r="F983" s="219"/>
      <c r="G983" s="222"/>
      <c r="H983" s="227"/>
      <c r="I983" s="227"/>
      <c r="J983" s="217"/>
      <c r="K983" s="217"/>
      <c r="L983" s="217"/>
      <c r="M983" s="231"/>
      <c r="N983" s="235"/>
      <c r="O983" s="239"/>
      <c r="P983" s="245"/>
      <c r="Q983" s="246"/>
      <c r="R983" s="302"/>
      <c r="S983" s="251"/>
      <c r="T983" s="302"/>
      <c r="U983" s="251"/>
      <c r="V983" s="302"/>
      <c r="W983" s="251"/>
      <c r="X983" s="255"/>
      <c r="Y983" s="302"/>
      <c r="Z983" s="259"/>
      <c r="AA983" s="251"/>
      <c r="AB983" s="302"/>
      <c r="AC983" s="306"/>
      <c r="AD983" s="261"/>
      <c r="AE983" s="261"/>
      <c r="AF983" s="282"/>
    </row>
    <row r="984" spans="2:32" hidden="1">
      <c r="B984" s="266"/>
      <c r="C984" s="220"/>
      <c r="D984" s="220"/>
      <c r="E984" s="220"/>
      <c r="F984" s="220"/>
      <c r="G984" s="223"/>
      <c r="H984" s="226"/>
      <c r="I984" s="226"/>
      <c r="J984" s="216"/>
      <c r="K984" s="216"/>
      <c r="L984" s="216"/>
      <c r="M984" s="230"/>
      <c r="N984" s="234"/>
      <c r="O984" s="238"/>
      <c r="P984" s="243"/>
      <c r="Q984" s="244"/>
      <c r="R984" s="301"/>
      <c r="S984" s="250"/>
      <c r="T984" s="301"/>
      <c r="U984" s="250"/>
      <c r="V984" s="301"/>
      <c r="W984" s="250"/>
      <c r="X984" s="254"/>
      <c r="Y984" s="301"/>
      <c r="Z984" s="258"/>
      <c r="AA984" s="250"/>
      <c r="AB984" s="301"/>
      <c r="AC984" s="305"/>
      <c r="AD984" s="262"/>
      <c r="AE984" s="262"/>
      <c r="AF984" s="283"/>
    </row>
    <row r="985" spans="2:32" hidden="1">
      <c r="B985" s="267"/>
      <c r="C985" s="219"/>
      <c r="D985" s="219"/>
      <c r="E985" s="219"/>
      <c r="F985" s="219"/>
      <c r="G985" s="222"/>
      <c r="H985" s="227"/>
      <c r="I985" s="227"/>
      <c r="J985" s="217"/>
      <c r="K985" s="217"/>
      <c r="L985" s="217"/>
      <c r="M985" s="231"/>
      <c r="N985" s="235"/>
      <c r="O985" s="239"/>
      <c r="P985" s="245"/>
      <c r="Q985" s="246"/>
      <c r="R985" s="302"/>
      <c r="S985" s="251"/>
      <c r="T985" s="302"/>
      <c r="U985" s="251"/>
      <c r="V985" s="302"/>
      <c r="W985" s="251"/>
      <c r="X985" s="255"/>
      <c r="Y985" s="302"/>
      <c r="Z985" s="259"/>
      <c r="AA985" s="251"/>
      <c r="AB985" s="302"/>
      <c r="AC985" s="306"/>
      <c r="AD985" s="261"/>
      <c r="AE985" s="261"/>
      <c r="AF985" s="282"/>
    </row>
    <row r="986" spans="2:32" hidden="1">
      <c r="B986" s="266"/>
      <c r="C986" s="220"/>
      <c r="D986" s="220"/>
      <c r="E986" s="220"/>
      <c r="F986" s="220"/>
      <c r="G986" s="223"/>
      <c r="H986" s="226"/>
      <c r="I986" s="226"/>
      <c r="J986" s="216"/>
      <c r="K986" s="216"/>
      <c r="L986" s="216"/>
      <c r="M986" s="230"/>
      <c r="N986" s="234"/>
      <c r="O986" s="238"/>
      <c r="P986" s="243"/>
      <c r="Q986" s="244"/>
      <c r="R986" s="301"/>
      <c r="S986" s="250"/>
      <c r="T986" s="301"/>
      <c r="U986" s="250"/>
      <c r="V986" s="301"/>
      <c r="W986" s="250"/>
      <c r="X986" s="254"/>
      <c r="Y986" s="301"/>
      <c r="Z986" s="258"/>
      <c r="AA986" s="250"/>
      <c r="AB986" s="301"/>
      <c r="AC986" s="305"/>
      <c r="AD986" s="262"/>
      <c r="AE986" s="262"/>
      <c r="AF986" s="283"/>
    </row>
    <row r="987" spans="2:32" hidden="1">
      <c r="B987" s="267"/>
      <c r="C987" s="219"/>
      <c r="D987" s="219"/>
      <c r="E987" s="219"/>
      <c r="F987" s="219"/>
      <c r="G987" s="222"/>
      <c r="H987" s="227"/>
      <c r="I987" s="227"/>
      <c r="J987" s="217"/>
      <c r="K987" s="217"/>
      <c r="L987" s="217"/>
      <c r="M987" s="231"/>
      <c r="N987" s="235"/>
      <c r="O987" s="239"/>
      <c r="P987" s="245"/>
      <c r="Q987" s="246"/>
      <c r="R987" s="302"/>
      <c r="S987" s="251"/>
      <c r="T987" s="302"/>
      <c r="U987" s="251"/>
      <c r="V987" s="302"/>
      <c r="W987" s="251"/>
      <c r="X987" s="255"/>
      <c r="Y987" s="302"/>
      <c r="Z987" s="259"/>
      <c r="AA987" s="251"/>
      <c r="AB987" s="302"/>
      <c r="AC987" s="306"/>
      <c r="AD987" s="261"/>
      <c r="AE987" s="261"/>
      <c r="AF987" s="282"/>
    </row>
    <row r="988" spans="2:32" hidden="1">
      <c r="B988" s="266"/>
      <c r="C988" s="220"/>
      <c r="D988" s="220"/>
      <c r="E988" s="220"/>
      <c r="F988" s="220"/>
      <c r="G988" s="223"/>
      <c r="H988" s="226"/>
      <c r="I988" s="226"/>
      <c r="J988" s="216"/>
      <c r="K988" s="216"/>
      <c r="L988" s="216"/>
      <c r="M988" s="230"/>
      <c r="N988" s="234"/>
      <c r="O988" s="238"/>
      <c r="P988" s="243"/>
      <c r="Q988" s="244"/>
      <c r="R988" s="301"/>
      <c r="S988" s="250"/>
      <c r="T988" s="301"/>
      <c r="U988" s="250"/>
      <c r="V988" s="301"/>
      <c r="W988" s="250"/>
      <c r="X988" s="254"/>
      <c r="Y988" s="301"/>
      <c r="Z988" s="258"/>
      <c r="AA988" s="250"/>
      <c r="AB988" s="301"/>
      <c r="AC988" s="305"/>
      <c r="AD988" s="262"/>
      <c r="AE988" s="262"/>
      <c r="AF988" s="283"/>
    </row>
    <row r="989" spans="2:32" hidden="1">
      <c r="B989" s="267"/>
      <c r="C989" s="219"/>
      <c r="D989" s="219"/>
      <c r="E989" s="219"/>
      <c r="F989" s="219"/>
      <c r="G989" s="222"/>
      <c r="H989" s="227"/>
      <c r="I989" s="227"/>
      <c r="J989" s="217"/>
      <c r="K989" s="217"/>
      <c r="L989" s="217"/>
      <c r="M989" s="231"/>
      <c r="N989" s="235"/>
      <c r="O989" s="239"/>
      <c r="P989" s="245"/>
      <c r="Q989" s="246"/>
      <c r="R989" s="302"/>
      <c r="S989" s="251"/>
      <c r="T989" s="302"/>
      <c r="U989" s="251"/>
      <c r="V989" s="302"/>
      <c r="W989" s="251"/>
      <c r="X989" s="255"/>
      <c r="Y989" s="302"/>
      <c r="Z989" s="259"/>
      <c r="AA989" s="251"/>
      <c r="AB989" s="302"/>
      <c r="AC989" s="306"/>
      <c r="AD989" s="261"/>
      <c r="AE989" s="261"/>
      <c r="AF989" s="282"/>
    </row>
    <row r="990" spans="2:32" hidden="1">
      <c r="B990" s="266"/>
      <c r="C990" s="220"/>
      <c r="D990" s="220"/>
      <c r="E990" s="220"/>
      <c r="F990" s="220"/>
      <c r="G990" s="223"/>
      <c r="H990" s="226"/>
      <c r="I990" s="226"/>
      <c r="J990" s="216"/>
      <c r="K990" s="216"/>
      <c r="L990" s="216"/>
      <c r="M990" s="230"/>
      <c r="N990" s="234"/>
      <c r="O990" s="238"/>
      <c r="P990" s="243"/>
      <c r="Q990" s="244"/>
      <c r="R990" s="301"/>
      <c r="S990" s="250"/>
      <c r="T990" s="301"/>
      <c r="U990" s="250"/>
      <c r="V990" s="301"/>
      <c r="W990" s="250"/>
      <c r="X990" s="254"/>
      <c r="Y990" s="301"/>
      <c r="Z990" s="258"/>
      <c r="AA990" s="250"/>
      <c r="AB990" s="301"/>
      <c r="AC990" s="305"/>
      <c r="AD990" s="262"/>
      <c r="AE990" s="262"/>
      <c r="AF990" s="283"/>
    </row>
    <row r="991" spans="2:32" hidden="1">
      <c r="B991" s="267"/>
      <c r="C991" s="219"/>
      <c r="D991" s="219"/>
      <c r="E991" s="219"/>
      <c r="F991" s="219"/>
      <c r="G991" s="222"/>
      <c r="H991" s="227"/>
      <c r="I991" s="227"/>
      <c r="J991" s="217"/>
      <c r="K991" s="217"/>
      <c r="L991" s="217"/>
      <c r="M991" s="231"/>
      <c r="N991" s="235"/>
      <c r="O991" s="239"/>
      <c r="P991" s="245"/>
      <c r="Q991" s="246"/>
      <c r="R991" s="302"/>
      <c r="S991" s="251"/>
      <c r="T991" s="302"/>
      <c r="U991" s="251"/>
      <c r="V991" s="302"/>
      <c r="W991" s="251"/>
      <c r="X991" s="255"/>
      <c r="Y991" s="302"/>
      <c r="Z991" s="259"/>
      <c r="AA991" s="251"/>
      <c r="AB991" s="302"/>
      <c r="AC991" s="306"/>
      <c r="AD991" s="261"/>
      <c r="AE991" s="261"/>
      <c r="AF991" s="282"/>
    </row>
    <row r="992" spans="2:32" hidden="1">
      <c r="B992" s="266"/>
      <c r="C992" s="220"/>
      <c r="D992" s="220"/>
      <c r="E992" s="220"/>
      <c r="F992" s="220"/>
      <c r="G992" s="223"/>
      <c r="H992" s="226"/>
      <c r="I992" s="226"/>
      <c r="J992" s="216"/>
      <c r="K992" s="216"/>
      <c r="L992" s="216"/>
      <c r="M992" s="230"/>
      <c r="N992" s="234"/>
      <c r="O992" s="238"/>
      <c r="P992" s="243"/>
      <c r="Q992" s="244"/>
      <c r="R992" s="301"/>
      <c r="S992" s="250"/>
      <c r="T992" s="301"/>
      <c r="U992" s="250"/>
      <c r="V992" s="301"/>
      <c r="W992" s="250"/>
      <c r="X992" s="254"/>
      <c r="Y992" s="301"/>
      <c r="Z992" s="258"/>
      <c r="AA992" s="250"/>
      <c r="AB992" s="301"/>
      <c r="AC992" s="305"/>
      <c r="AD992" s="262"/>
      <c r="AE992" s="262"/>
      <c r="AF992" s="283"/>
    </row>
    <row r="993" spans="2:32" hidden="1">
      <c r="B993" s="267"/>
      <c r="C993" s="219"/>
      <c r="D993" s="219"/>
      <c r="E993" s="219"/>
      <c r="F993" s="219"/>
      <c r="G993" s="222"/>
      <c r="H993" s="227"/>
      <c r="I993" s="227"/>
      <c r="J993" s="217"/>
      <c r="K993" s="217"/>
      <c r="L993" s="217"/>
      <c r="M993" s="231"/>
      <c r="N993" s="235"/>
      <c r="O993" s="239"/>
      <c r="P993" s="245"/>
      <c r="Q993" s="246"/>
      <c r="R993" s="302"/>
      <c r="S993" s="251"/>
      <c r="T993" s="302"/>
      <c r="U993" s="251"/>
      <c r="V993" s="302"/>
      <c r="W993" s="251"/>
      <c r="X993" s="255"/>
      <c r="Y993" s="302"/>
      <c r="Z993" s="259"/>
      <c r="AA993" s="251"/>
      <c r="AB993" s="302"/>
      <c r="AC993" s="306"/>
      <c r="AD993" s="261"/>
      <c r="AE993" s="261"/>
      <c r="AF993" s="282"/>
    </row>
    <row r="994" spans="2:32" hidden="1">
      <c r="B994" s="266"/>
      <c r="C994" s="220"/>
      <c r="D994" s="220"/>
      <c r="E994" s="220"/>
      <c r="F994" s="220"/>
      <c r="G994" s="223"/>
      <c r="H994" s="226"/>
      <c r="I994" s="226"/>
      <c r="J994" s="216"/>
      <c r="K994" s="216"/>
      <c r="L994" s="216"/>
      <c r="M994" s="230"/>
      <c r="N994" s="234"/>
      <c r="O994" s="238"/>
      <c r="P994" s="243"/>
      <c r="Q994" s="244"/>
      <c r="R994" s="301"/>
      <c r="S994" s="250"/>
      <c r="T994" s="301"/>
      <c r="U994" s="250"/>
      <c r="V994" s="301"/>
      <c r="W994" s="250"/>
      <c r="X994" s="254"/>
      <c r="Y994" s="301"/>
      <c r="Z994" s="258"/>
      <c r="AA994" s="250"/>
      <c r="AB994" s="301"/>
      <c r="AC994" s="305"/>
      <c r="AD994" s="262"/>
      <c r="AE994" s="262"/>
      <c r="AF994" s="283"/>
    </row>
    <row r="995" spans="2:32" hidden="1">
      <c r="B995" s="267"/>
      <c r="C995" s="219"/>
      <c r="D995" s="219"/>
      <c r="E995" s="219"/>
      <c r="F995" s="219"/>
      <c r="G995" s="222"/>
      <c r="H995" s="227"/>
      <c r="I995" s="227"/>
      <c r="J995" s="217"/>
      <c r="K995" s="217"/>
      <c r="L995" s="217"/>
      <c r="M995" s="231"/>
      <c r="N995" s="235"/>
      <c r="O995" s="239"/>
      <c r="P995" s="245"/>
      <c r="Q995" s="246"/>
      <c r="R995" s="302"/>
      <c r="S995" s="251"/>
      <c r="T995" s="302"/>
      <c r="U995" s="251"/>
      <c r="V995" s="302"/>
      <c r="W995" s="251"/>
      <c r="X995" s="255"/>
      <c r="Y995" s="302"/>
      <c r="Z995" s="259"/>
      <c r="AA995" s="251"/>
      <c r="AB995" s="302"/>
      <c r="AC995" s="306"/>
      <c r="AD995" s="261"/>
      <c r="AE995" s="261"/>
      <c r="AF995" s="282"/>
    </row>
    <row r="996" spans="2:32" hidden="1">
      <c r="B996" s="266"/>
      <c r="C996" s="220"/>
      <c r="D996" s="220"/>
      <c r="E996" s="220"/>
      <c r="F996" s="220"/>
      <c r="G996" s="223"/>
      <c r="H996" s="226"/>
      <c r="I996" s="226"/>
      <c r="J996" s="216"/>
      <c r="K996" s="216"/>
      <c r="L996" s="216"/>
      <c r="M996" s="230"/>
      <c r="N996" s="234"/>
      <c r="O996" s="238"/>
      <c r="P996" s="243"/>
      <c r="Q996" s="244"/>
      <c r="R996" s="301"/>
      <c r="S996" s="250"/>
      <c r="T996" s="301"/>
      <c r="U996" s="250"/>
      <c r="V996" s="301"/>
      <c r="W996" s="250"/>
      <c r="X996" s="254"/>
      <c r="Y996" s="301"/>
      <c r="Z996" s="258"/>
      <c r="AA996" s="250"/>
      <c r="AB996" s="301"/>
      <c r="AC996" s="305"/>
      <c r="AD996" s="262"/>
      <c r="AE996" s="262"/>
      <c r="AF996" s="283"/>
    </row>
    <row r="997" spans="2:32" hidden="1">
      <c r="B997" s="267"/>
      <c r="C997" s="219"/>
      <c r="D997" s="219"/>
      <c r="E997" s="219"/>
      <c r="F997" s="219"/>
      <c r="G997" s="222"/>
      <c r="H997" s="227"/>
      <c r="I997" s="227"/>
      <c r="J997" s="217"/>
      <c r="K997" s="217"/>
      <c r="L997" s="217"/>
      <c r="M997" s="231"/>
      <c r="N997" s="235"/>
      <c r="O997" s="239"/>
      <c r="P997" s="245"/>
      <c r="Q997" s="246"/>
      <c r="R997" s="302"/>
      <c r="S997" s="251"/>
      <c r="T997" s="302"/>
      <c r="U997" s="251"/>
      <c r="V997" s="302"/>
      <c r="W997" s="251"/>
      <c r="X997" s="255"/>
      <c r="Y997" s="302"/>
      <c r="Z997" s="259"/>
      <c r="AA997" s="251"/>
      <c r="AB997" s="302"/>
      <c r="AC997" s="306"/>
      <c r="AD997" s="261"/>
      <c r="AE997" s="261"/>
      <c r="AF997" s="282"/>
    </row>
    <row r="998" spans="2:32" hidden="1">
      <c r="B998" s="266"/>
      <c r="C998" s="220"/>
      <c r="D998" s="220"/>
      <c r="E998" s="220"/>
      <c r="F998" s="220"/>
      <c r="G998" s="223"/>
      <c r="H998" s="226"/>
      <c r="I998" s="226"/>
      <c r="J998" s="216"/>
      <c r="K998" s="216"/>
      <c r="L998" s="216"/>
      <c r="M998" s="230"/>
      <c r="N998" s="234"/>
      <c r="O998" s="238"/>
      <c r="P998" s="243"/>
      <c r="Q998" s="244"/>
      <c r="R998" s="301"/>
      <c r="S998" s="250"/>
      <c r="T998" s="301"/>
      <c r="U998" s="250"/>
      <c r="V998" s="301"/>
      <c r="W998" s="250"/>
      <c r="X998" s="254"/>
      <c r="Y998" s="301"/>
      <c r="Z998" s="258"/>
      <c r="AA998" s="250"/>
      <c r="AB998" s="301"/>
      <c r="AC998" s="305"/>
      <c r="AD998" s="262"/>
      <c r="AE998" s="262"/>
      <c r="AF998" s="283"/>
    </row>
    <row r="999" spans="2:32" hidden="1">
      <c r="B999" s="267"/>
      <c r="C999" s="219"/>
      <c r="D999" s="219"/>
      <c r="E999" s="219"/>
      <c r="F999" s="219"/>
      <c r="G999" s="222"/>
      <c r="H999" s="227"/>
      <c r="I999" s="227"/>
      <c r="J999" s="217"/>
      <c r="K999" s="217"/>
      <c r="L999" s="217"/>
      <c r="M999" s="231"/>
      <c r="N999" s="235"/>
      <c r="O999" s="239"/>
      <c r="P999" s="245"/>
      <c r="Q999" s="246"/>
      <c r="R999" s="302"/>
      <c r="S999" s="251"/>
      <c r="T999" s="302"/>
      <c r="U999" s="251"/>
      <c r="V999" s="302"/>
      <c r="W999" s="251"/>
      <c r="X999" s="255"/>
      <c r="Y999" s="302"/>
      <c r="Z999" s="259"/>
      <c r="AA999" s="251"/>
      <c r="AB999" s="302"/>
      <c r="AC999" s="306"/>
      <c r="AD999" s="261"/>
      <c r="AE999" s="261"/>
      <c r="AF999" s="282"/>
    </row>
    <row r="1000" spans="2:32" hidden="1">
      <c r="B1000" s="266"/>
      <c r="C1000" s="220"/>
      <c r="D1000" s="220"/>
      <c r="E1000" s="220"/>
      <c r="F1000" s="220"/>
      <c r="G1000" s="223"/>
      <c r="H1000" s="226"/>
      <c r="I1000" s="226"/>
      <c r="J1000" s="216"/>
      <c r="K1000" s="216"/>
      <c r="L1000" s="216"/>
      <c r="M1000" s="230"/>
      <c r="N1000" s="234"/>
      <c r="O1000" s="238"/>
      <c r="P1000" s="243"/>
      <c r="Q1000" s="244"/>
      <c r="R1000" s="301"/>
      <c r="S1000" s="250"/>
      <c r="T1000" s="301"/>
      <c r="U1000" s="250"/>
      <c r="V1000" s="301"/>
      <c r="W1000" s="250"/>
      <c r="X1000" s="254"/>
      <c r="Y1000" s="301"/>
      <c r="Z1000" s="258"/>
      <c r="AA1000" s="250"/>
      <c r="AB1000" s="301"/>
      <c r="AC1000" s="305"/>
      <c r="AD1000" s="262"/>
      <c r="AE1000" s="262"/>
      <c r="AF1000" s="283"/>
    </row>
    <row r="1001" spans="2:32" hidden="1">
      <c r="B1001" s="267"/>
      <c r="C1001" s="219"/>
      <c r="D1001" s="219"/>
      <c r="E1001" s="219"/>
      <c r="F1001" s="219"/>
      <c r="G1001" s="222"/>
      <c r="H1001" s="227"/>
      <c r="I1001" s="227"/>
      <c r="J1001" s="217"/>
      <c r="K1001" s="217"/>
      <c r="L1001" s="217"/>
      <c r="M1001" s="231"/>
      <c r="N1001" s="235"/>
      <c r="O1001" s="239"/>
      <c r="P1001" s="245"/>
      <c r="Q1001" s="246"/>
      <c r="R1001" s="302"/>
      <c r="S1001" s="251"/>
      <c r="T1001" s="302"/>
      <c r="U1001" s="251"/>
      <c r="V1001" s="302"/>
      <c r="W1001" s="251"/>
      <c r="X1001" s="255"/>
      <c r="Y1001" s="302"/>
      <c r="Z1001" s="259"/>
      <c r="AA1001" s="251"/>
      <c r="AB1001" s="302"/>
      <c r="AC1001" s="306"/>
      <c r="AD1001" s="261"/>
      <c r="AE1001" s="261"/>
      <c r="AF1001" s="282"/>
    </row>
    <row r="1002" spans="2:32" hidden="1">
      <c r="B1002" s="266"/>
      <c r="C1002" s="220"/>
      <c r="D1002" s="220"/>
      <c r="E1002" s="220"/>
      <c r="F1002" s="220"/>
      <c r="G1002" s="223"/>
      <c r="H1002" s="226"/>
      <c r="I1002" s="226"/>
      <c r="J1002" s="216"/>
      <c r="K1002" s="216"/>
      <c r="L1002" s="216"/>
      <c r="M1002" s="230"/>
      <c r="N1002" s="234"/>
      <c r="O1002" s="238"/>
      <c r="P1002" s="243"/>
      <c r="Q1002" s="244"/>
      <c r="R1002" s="301"/>
      <c r="S1002" s="250"/>
      <c r="T1002" s="301"/>
      <c r="U1002" s="250"/>
      <c r="V1002" s="301"/>
      <c r="W1002" s="250"/>
      <c r="X1002" s="254"/>
      <c r="Y1002" s="301"/>
      <c r="Z1002" s="258"/>
      <c r="AA1002" s="250"/>
      <c r="AB1002" s="301"/>
      <c r="AC1002" s="305"/>
      <c r="AD1002" s="262"/>
      <c r="AE1002" s="262"/>
      <c r="AF1002" s="283"/>
    </row>
    <row r="1003" spans="2:32" hidden="1">
      <c r="B1003" s="267"/>
      <c r="C1003" s="219"/>
      <c r="D1003" s="219"/>
      <c r="E1003" s="219"/>
      <c r="F1003" s="219"/>
      <c r="G1003" s="222"/>
      <c r="H1003" s="227"/>
      <c r="I1003" s="227"/>
      <c r="J1003" s="217"/>
      <c r="K1003" s="217"/>
      <c r="L1003" s="217"/>
      <c r="M1003" s="231"/>
      <c r="N1003" s="235"/>
      <c r="O1003" s="239"/>
      <c r="P1003" s="245"/>
      <c r="Q1003" s="246"/>
      <c r="R1003" s="302"/>
      <c r="S1003" s="251"/>
      <c r="T1003" s="302"/>
      <c r="U1003" s="251"/>
      <c r="V1003" s="302"/>
      <c r="W1003" s="251"/>
      <c r="X1003" s="255"/>
      <c r="Y1003" s="302"/>
      <c r="Z1003" s="259"/>
      <c r="AA1003" s="251"/>
      <c r="AB1003" s="302"/>
      <c r="AC1003" s="306"/>
      <c r="AD1003" s="261"/>
      <c r="AE1003" s="261"/>
      <c r="AF1003" s="282"/>
    </row>
    <row r="1004" spans="2:32" hidden="1">
      <c r="B1004" s="266"/>
      <c r="C1004" s="220"/>
      <c r="D1004" s="220"/>
      <c r="E1004" s="220"/>
      <c r="F1004" s="220"/>
      <c r="G1004" s="223"/>
      <c r="H1004" s="226"/>
      <c r="I1004" s="226"/>
      <c r="J1004" s="216"/>
      <c r="K1004" s="216"/>
      <c r="L1004" s="216"/>
      <c r="M1004" s="230"/>
      <c r="N1004" s="234"/>
      <c r="O1004" s="238"/>
      <c r="P1004" s="243"/>
      <c r="Q1004" s="244"/>
      <c r="R1004" s="301"/>
      <c r="S1004" s="250"/>
      <c r="T1004" s="301"/>
      <c r="U1004" s="250"/>
      <c r="V1004" s="301"/>
      <c r="W1004" s="250"/>
      <c r="X1004" s="254"/>
      <c r="Y1004" s="301"/>
      <c r="Z1004" s="258"/>
      <c r="AA1004" s="250"/>
      <c r="AB1004" s="301"/>
      <c r="AC1004" s="305"/>
      <c r="AD1004" s="262"/>
      <c r="AE1004" s="262"/>
      <c r="AF1004" s="283"/>
    </row>
    <row r="1005" spans="2:32" hidden="1">
      <c r="B1005" s="267"/>
      <c r="C1005" s="219"/>
      <c r="D1005" s="219"/>
      <c r="E1005" s="219"/>
      <c r="F1005" s="219"/>
      <c r="G1005" s="222"/>
      <c r="H1005" s="227"/>
      <c r="I1005" s="227"/>
      <c r="J1005" s="217"/>
      <c r="K1005" s="217"/>
      <c r="L1005" s="217"/>
      <c r="M1005" s="231"/>
      <c r="N1005" s="235"/>
      <c r="O1005" s="239"/>
      <c r="P1005" s="245"/>
      <c r="Q1005" s="246"/>
      <c r="R1005" s="302"/>
      <c r="S1005" s="251"/>
      <c r="T1005" s="302"/>
      <c r="U1005" s="251"/>
      <c r="V1005" s="302"/>
      <c r="W1005" s="251"/>
      <c r="X1005" s="255"/>
      <c r="Y1005" s="302"/>
      <c r="Z1005" s="259"/>
      <c r="AA1005" s="251"/>
      <c r="AB1005" s="302"/>
      <c r="AC1005" s="306"/>
      <c r="AD1005" s="261"/>
      <c r="AE1005" s="261"/>
      <c r="AF1005" s="282"/>
    </row>
    <row r="1006" spans="2:32" hidden="1">
      <c r="B1006" s="266"/>
      <c r="C1006" s="220"/>
      <c r="D1006" s="220"/>
      <c r="E1006" s="220"/>
      <c r="F1006" s="220"/>
      <c r="G1006" s="223"/>
      <c r="H1006" s="226"/>
      <c r="I1006" s="226"/>
      <c r="J1006" s="216"/>
      <c r="K1006" s="216"/>
      <c r="L1006" s="216"/>
      <c r="M1006" s="230"/>
      <c r="N1006" s="234"/>
      <c r="O1006" s="238"/>
      <c r="P1006" s="243"/>
      <c r="Q1006" s="244"/>
      <c r="R1006" s="301"/>
      <c r="S1006" s="250"/>
      <c r="T1006" s="301"/>
      <c r="U1006" s="250"/>
      <c r="V1006" s="301"/>
      <c r="W1006" s="250"/>
      <c r="X1006" s="254"/>
      <c r="Y1006" s="301"/>
      <c r="Z1006" s="258"/>
      <c r="AA1006" s="250"/>
      <c r="AB1006" s="301"/>
      <c r="AC1006" s="305"/>
      <c r="AD1006" s="262"/>
      <c r="AE1006" s="262"/>
      <c r="AF1006" s="283"/>
    </row>
    <row r="1007" spans="2:32" hidden="1">
      <c r="B1007" s="267"/>
      <c r="C1007" s="219"/>
      <c r="D1007" s="219"/>
      <c r="E1007" s="219"/>
      <c r="F1007" s="219"/>
      <c r="G1007" s="222"/>
      <c r="H1007" s="227"/>
      <c r="I1007" s="227"/>
      <c r="J1007" s="217"/>
      <c r="K1007" s="217"/>
      <c r="L1007" s="217"/>
      <c r="M1007" s="231"/>
      <c r="N1007" s="235"/>
      <c r="O1007" s="239"/>
      <c r="P1007" s="245"/>
      <c r="Q1007" s="246"/>
      <c r="R1007" s="302"/>
      <c r="S1007" s="251"/>
      <c r="T1007" s="302"/>
      <c r="U1007" s="251"/>
      <c r="V1007" s="302"/>
      <c r="W1007" s="251"/>
      <c r="X1007" s="255"/>
      <c r="Y1007" s="302"/>
      <c r="Z1007" s="259"/>
      <c r="AA1007" s="251"/>
      <c r="AB1007" s="302"/>
      <c r="AC1007" s="306"/>
      <c r="AD1007" s="261"/>
      <c r="AE1007" s="261"/>
      <c r="AF1007" s="282"/>
    </row>
    <row r="1008" spans="2:32" hidden="1">
      <c r="B1008" s="266"/>
      <c r="C1008" s="220"/>
      <c r="D1008" s="220"/>
      <c r="E1008" s="220"/>
      <c r="F1008" s="220"/>
      <c r="G1008" s="223"/>
      <c r="H1008" s="226"/>
      <c r="I1008" s="226"/>
      <c r="J1008" s="216"/>
      <c r="K1008" s="216"/>
      <c r="L1008" s="216"/>
      <c r="M1008" s="230"/>
      <c r="N1008" s="234"/>
      <c r="O1008" s="238"/>
      <c r="P1008" s="243"/>
      <c r="Q1008" s="244"/>
      <c r="R1008" s="301"/>
      <c r="S1008" s="250"/>
      <c r="T1008" s="301"/>
      <c r="U1008" s="250"/>
      <c r="V1008" s="301"/>
      <c r="W1008" s="250"/>
      <c r="X1008" s="254"/>
      <c r="Y1008" s="301"/>
      <c r="Z1008" s="258"/>
      <c r="AA1008" s="250"/>
      <c r="AB1008" s="301"/>
      <c r="AC1008" s="305"/>
      <c r="AD1008" s="262"/>
      <c r="AE1008" s="262"/>
      <c r="AF1008" s="283"/>
    </row>
    <row r="1009" spans="2:32" hidden="1">
      <c r="B1009" s="267"/>
      <c r="C1009" s="219"/>
      <c r="D1009" s="219"/>
      <c r="E1009" s="219"/>
      <c r="F1009" s="219"/>
      <c r="G1009" s="222"/>
      <c r="H1009" s="227"/>
      <c r="I1009" s="227"/>
      <c r="J1009" s="217"/>
      <c r="K1009" s="217"/>
      <c r="L1009" s="217"/>
      <c r="M1009" s="231"/>
      <c r="N1009" s="235"/>
      <c r="O1009" s="239"/>
      <c r="P1009" s="245"/>
      <c r="Q1009" s="246"/>
      <c r="R1009" s="302"/>
      <c r="S1009" s="251"/>
      <c r="T1009" s="302"/>
      <c r="U1009" s="251"/>
      <c r="V1009" s="302"/>
      <c r="W1009" s="251"/>
      <c r="X1009" s="255"/>
      <c r="Y1009" s="302"/>
      <c r="Z1009" s="259"/>
      <c r="AA1009" s="251"/>
      <c r="AB1009" s="302"/>
      <c r="AC1009" s="306"/>
      <c r="AD1009" s="261"/>
      <c r="AE1009" s="261"/>
      <c r="AF1009" s="282"/>
    </row>
    <row r="1010" spans="2:32" hidden="1">
      <c r="B1010" s="266"/>
      <c r="C1010" s="220"/>
      <c r="D1010" s="220"/>
      <c r="E1010" s="220"/>
      <c r="F1010" s="220"/>
      <c r="G1010" s="223"/>
      <c r="H1010" s="226"/>
      <c r="I1010" s="226"/>
      <c r="J1010" s="216"/>
      <c r="K1010" s="216"/>
      <c r="L1010" s="216"/>
      <c r="M1010" s="230"/>
      <c r="N1010" s="234"/>
      <c r="O1010" s="238"/>
      <c r="P1010" s="243"/>
      <c r="Q1010" s="244"/>
      <c r="R1010" s="301"/>
      <c r="S1010" s="250"/>
      <c r="T1010" s="301"/>
      <c r="U1010" s="250"/>
      <c r="V1010" s="301"/>
      <c r="W1010" s="250"/>
      <c r="X1010" s="254"/>
      <c r="Y1010" s="301"/>
      <c r="Z1010" s="258"/>
      <c r="AA1010" s="250"/>
      <c r="AB1010" s="301"/>
      <c r="AC1010" s="305"/>
      <c r="AD1010" s="262"/>
      <c r="AE1010" s="262"/>
      <c r="AF1010" s="283"/>
    </row>
    <row r="1011" spans="2:32" hidden="1">
      <c r="B1011" s="267"/>
      <c r="C1011" s="219"/>
      <c r="D1011" s="219"/>
      <c r="E1011" s="219"/>
      <c r="F1011" s="219"/>
      <c r="G1011" s="222"/>
      <c r="H1011" s="227"/>
      <c r="I1011" s="227"/>
      <c r="J1011" s="217"/>
      <c r="K1011" s="217"/>
      <c r="L1011" s="217"/>
      <c r="M1011" s="231"/>
      <c r="N1011" s="235"/>
      <c r="O1011" s="239"/>
      <c r="P1011" s="245"/>
      <c r="Q1011" s="246"/>
      <c r="R1011" s="302"/>
      <c r="S1011" s="251"/>
      <c r="T1011" s="302"/>
      <c r="U1011" s="251"/>
      <c r="V1011" s="302"/>
      <c r="W1011" s="251"/>
      <c r="X1011" s="255"/>
      <c r="Y1011" s="302"/>
      <c r="Z1011" s="259"/>
      <c r="AA1011" s="251"/>
      <c r="AB1011" s="302"/>
      <c r="AC1011" s="306"/>
      <c r="AD1011" s="261"/>
      <c r="AE1011" s="261"/>
      <c r="AF1011" s="282"/>
    </row>
    <row r="1012" spans="2:32" hidden="1">
      <c r="B1012" s="266"/>
      <c r="C1012" s="220"/>
      <c r="D1012" s="220"/>
      <c r="E1012" s="220"/>
      <c r="F1012" s="220"/>
      <c r="G1012" s="223"/>
      <c r="H1012" s="226"/>
      <c r="I1012" s="226"/>
      <c r="J1012" s="216"/>
      <c r="K1012" s="216"/>
      <c r="L1012" s="216"/>
      <c r="M1012" s="230"/>
      <c r="N1012" s="234"/>
      <c r="O1012" s="238"/>
      <c r="P1012" s="243"/>
      <c r="Q1012" s="244"/>
      <c r="R1012" s="301"/>
      <c r="S1012" s="250"/>
      <c r="T1012" s="301"/>
      <c r="U1012" s="250"/>
      <c r="V1012" s="301"/>
      <c r="W1012" s="250"/>
      <c r="X1012" s="254"/>
      <c r="Y1012" s="301"/>
      <c r="Z1012" s="258"/>
      <c r="AA1012" s="250"/>
      <c r="AB1012" s="301"/>
      <c r="AC1012" s="305"/>
      <c r="AD1012" s="262"/>
      <c r="AE1012" s="262"/>
      <c r="AF1012" s="283"/>
    </row>
    <row r="1013" spans="2:32" hidden="1">
      <c r="B1013" s="267"/>
      <c r="C1013" s="219"/>
      <c r="D1013" s="219"/>
      <c r="E1013" s="219"/>
      <c r="F1013" s="219"/>
      <c r="G1013" s="222"/>
      <c r="H1013" s="227"/>
      <c r="I1013" s="227"/>
      <c r="J1013" s="217"/>
      <c r="K1013" s="217"/>
      <c r="L1013" s="217"/>
      <c r="M1013" s="231"/>
      <c r="N1013" s="235"/>
      <c r="O1013" s="239"/>
      <c r="P1013" s="245"/>
      <c r="Q1013" s="246"/>
      <c r="R1013" s="302"/>
      <c r="S1013" s="251"/>
      <c r="T1013" s="302"/>
      <c r="U1013" s="251"/>
      <c r="V1013" s="302"/>
      <c r="W1013" s="251"/>
      <c r="X1013" s="255"/>
      <c r="Y1013" s="302"/>
      <c r="Z1013" s="259"/>
      <c r="AA1013" s="251"/>
      <c r="AB1013" s="302"/>
      <c r="AC1013" s="306"/>
      <c r="AD1013" s="261"/>
      <c r="AE1013" s="261"/>
      <c r="AF1013" s="282"/>
    </row>
    <row r="1014" spans="2:32" hidden="1">
      <c r="B1014" s="266"/>
      <c r="C1014" s="220"/>
      <c r="D1014" s="220"/>
      <c r="E1014" s="220"/>
      <c r="F1014" s="220"/>
      <c r="G1014" s="223"/>
      <c r="H1014" s="226"/>
      <c r="I1014" s="226"/>
      <c r="J1014" s="216"/>
      <c r="K1014" s="216"/>
      <c r="L1014" s="216"/>
      <c r="M1014" s="230"/>
      <c r="N1014" s="234"/>
      <c r="O1014" s="238"/>
      <c r="P1014" s="243"/>
      <c r="Q1014" s="244"/>
      <c r="R1014" s="301"/>
      <c r="S1014" s="250"/>
      <c r="T1014" s="301"/>
      <c r="U1014" s="250"/>
      <c r="V1014" s="301"/>
      <c r="W1014" s="250"/>
      <c r="X1014" s="254"/>
      <c r="Y1014" s="301"/>
      <c r="Z1014" s="258"/>
      <c r="AA1014" s="250"/>
      <c r="AB1014" s="301"/>
      <c r="AC1014" s="305"/>
      <c r="AD1014" s="262"/>
      <c r="AE1014" s="262"/>
      <c r="AF1014" s="283"/>
    </row>
    <row r="1015" spans="2:32" hidden="1">
      <c r="B1015" s="267"/>
      <c r="C1015" s="219"/>
      <c r="D1015" s="219"/>
      <c r="E1015" s="219"/>
      <c r="F1015" s="219"/>
      <c r="G1015" s="222"/>
      <c r="H1015" s="227"/>
      <c r="I1015" s="227"/>
      <c r="J1015" s="217"/>
      <c r="K1015" s="217"/>
      <c r="L1015" s="217"/>
      <c r="M1015" s="231"/>
      <c r="N1015" s="235"/>
      <c r="O1015" s="239"/>
      <c r="P1015" s="245"/>
      <c r="Q1015" s="246"/>
      <c r="R1015" s="302"/>
      <c r="S1015" s="251"/>
      <c r="T1015" s="302"/>
      <c r="U1015" s="251"/>
      <c r="V1015" s="302"/>
      <c r="W1015" s="251"/>
      <c r="X1015" s="255"/>
      <c r="Y1015" s="302"/>
      <c r="Z1015" s="259"/>
      <c r="AA1015" s="251"/>
      <c r="AB1015" s="302"/>
      <c r="AC1015" s="306"/>
      <c r="AD1015" s="261"/>
      <c r="AE1015" s="261"/>
      <c r="AF1015" s="282"/>
    </row>
    <row r="1016" spans="2:32" hidden="1">
      <c r="B1016" s="266"/>
      <c r="C1016" s="220"/>
      <c r="D1016" s="220"/>
      <c r="E1016" s="220"/>
      <c r="F1016" s="220"/>
      <c r="G1016" s="223"/>
      <c r="H1016" s="226"/>
      <c r="I1016" s="226"/>
      <c r="J1016" s="216"/>
      <c r="K1016" s="216"/>
      <c r="L1016" s="216"/>
      <c r="M1016" s="230"/>
      <c r="N1016" s="234"/>
      <c r="O1016" s="238"/>
      <c r="P1016" s="243"/>
      <c r="Q1016" s="244"/>
      <c r="R1016" s="301"/>
      <c r="S1016" s="250"/>
      <c r="T1016" s="301"/>
      <c r="U1016" s="250"/>
      <c r="V1016" s="301"/>
      <c r="W1016" s="250"/>
      <c r="X1016" s="254"/>
      <c r="Y1016" s="301"/>
      <c r="Z1016" s="258"/>
      <c r="AA1016" s="250"/>
      <c r="AB1016" s="301"/>
      <c r="AC1016" s="305"/>
      <c r="AD1016" s="262"/>
      <c r="AE1016" s="262"/>
      <c r="AF1016" s="283"/>
    </row>
    <row r="1017" spans="2:32" hidden="1">
      <c r="B1017" s="267"/>
      <c r="C1017" s="219"/>
      <c r="D1017" s="219"/>
      <c r="E1017" s="219"/>
      <c r="F1017" s="219"/>
      <c r="G1017" s="222"/>
      <c r="H1017" s="227"/>
      <c r="I1017" s="227"/>
      <c r="J1017" s="217"/>
      <c r="K1017" s="217"/>
      <c r="L1017" s="217"/>
      <c r="M1017" s="231"/>
      <c r="N1017" s="235"/>
      <c r="O1017" s="239"/>
      <c r="P1017" s="245"/>
      <c r="Q1017" s="246"/>
      <c r="R1017" s="302"/>
      <c r="S1017" s="251"/>
      <c r="T1017" s="302"/>
      <c r="U1017" s="251"/>
      <c r="V1017" s="302"/>
      <c r="W1017" s="251"/>
      <c r="X1017" s="255"/>
      <c r="Y1017" s="302"/>
      <c r="Z1017" s="259"/>
      <c r="AA1017" s="251"/>
      <c r="AB1017" s="302"/>
      <c r="AC1017" s="306"/>
      <c r="AD1017" s="261"/>
      <c r="AE1017" s="261"/>
      <c r="AF1017" s="282"/>
    </row>
    <row r="1018" spans="2:32" hidden="1">
      <c r="B1018" s="266"/>
      <c r="C1018" s="220"/>
      <c r="D1018" s="220"/>
      <c r="E1018" s="220"/>
      <c r="F1018" s="220"/>
      <c r="G1018" s="223"/>
      <c r="H1018" s="226"/>
      <c r="I1018" s="226"/>
      <c r="J1018" s="216"/>
      <c r="K1018" s="216"/>
      <c r="L1018" s="216"/>
      <c r="M1018" s="230"/>
      <c r="N1018" s="234"/>
      <c r="O1018" s="238"/>
      <c r="P1018" s="243"/>
      <c r="Q1018" s="244"/>
      <c r="R1018" s="301"/>
      <c r="S1018" s="250"/>
      <c r="T1018" s="301"/>
      <c r="U1018" s="250"/>
      <c r="V1018" s="301"/>
      <c r="W1018" s="250"/>
      <c r="X1018" s="254"/>
      <c r="Y1018" s="301"/>
      <c r="Z1018" s="258"/>
      <c r="AA1018" s="250"/>
      <c r="AB1018" s="301"/>
      <c r="AC1018" s="305"/>
      <c r="AD1018" s="262"/>
      <c r="AE1018" s="262"/>
      <c r="AF1018" s="283"/>
    </row>
    <row r="1019" spans="2:32" hidden="1">
      <c r="B1019" s="267"/>
      <c r="C1019" s="219"/>
      <c r="D1019" s="219"/>
      <c r="E1019" s="219"/>
      <c r="F1019" s="219"/>
      <c r="G1019" s="222"/>
      <c r="H1019" s="227"/>
      <c r="I1019" s="227"/>
      <c r="J1019" s="217"/>
      <c r="K1019" s="217"/>
      <c r="L1019" s="217"/>
      <c r="M1019" s="231"/>
      <c r="N1019" s="235"/>
      <c r="O1019" s="239"/>
      <c r="P1019" s="245"/>
      <c r="Q1019" s="246"/>
      <c r="R1019" s="302"/>
      <c r="S1019" s="251"/>
      <c r="T1019" s="302"/>
      <c r="U1019" s="251"/>
      <c r="V1019" s="302"/>
      <c r="W1019" s="251"/>
      <c r="X1019" s="255"/>
      <c r="Y1019" s="302"/>
      <c r="Z1019" s="259"/>
      <c r="AA1019" s="251"/>
      <c r="AB1019" s="302"/>
      <c r="AC1019" s="306"/>
      <c r="AD1019" s="261"/>
      <c r="AE1019" s="261"/>
      <c r="AF1019" s="282"/>
    </row>
    <row r="1020" spans="2:32" hidden="1">
      <c r="B1020" s="266"/>
      <c r="C1020" s="220"/>
      <c r="D1020" s="220"/>
      <c r="E1020" s="220"/>
      <c r="F1020" s="220"/>
      <c r="G1020" s="223"/>
      <c r="H1020" s="226"/>
      <c r="I1020" s="226"/>
      <c r="J1020" s="216"/>
      <c r="K1020" s="216"/>
      <c r="L1020" s="216"/>
      <c r="M1020" s="230"/>
      <c r="N1020" s="234"/>
      <c r="O1020" s="238"/>
      <c r="P1020" s="243"/>
      <c r="Q1020" s="244"/>
      <c r="R1020" s="301"/>
      <c r="S1020" s="250"/>
      <c r="T1020" s="301"/>
      <c r="U1020" s="250"/>
      <c r="V1020" s="301"/>
      <c r="W1020" s="250"/>
      <c r="X1020" s="254"/>
      <c r="Y1020" s="301"/>
      <c r="Z1020" s="258"/>
      <c r="AA1020" s="250"/>
      <c r="AB1020" s="301"/>
      <c r="AC1020" s="305"/>
      <c r="AD1020" s="262"/>
      <c r="AE1020" s="262"/>
      <c r="AF1020" s="283"/>
    </row>
    <row r="1021" spans="2:32" hidden="1">
      <c r="B1021" s="267"/>
      <c r="C1021" s="219"/>
      <c r="D1021" s="219"/>
      <c r="E1021" s="219"/>
      <c r="F1021" s="219"/>
      <c r="G1021" s="222"/>
      <c r="H1021" s="227"/>
      <c r="I1021" s="227"/>
      <c r="J1021" s="217"/>
      <c r="K1021" s="217"/>
      <c r="L1021" s="217"/>
      <c r="M1021" s="231"/>
      <c r="N1021" s="235"/>
      <c r="O1021" s="239"/>
      <c r="P1021" s="245"/>
      <c r="Q1021" s="246"/>
      <c r="R1021" s="302"/>
      <c r="S1021" s="251"/>
      <c r="T1021" s="302"/>
      <c r="U1021" s="251"/>
      <c r="V1021" s="302"/>
      <c r="W1021" s="251"/>
      <c r="X1021" s="255"/>
      <c r="Y1021" s="302"/>
      <c r="Z1021" s="259"/>
      <c r="AA1021" s="251"/>
      <c r="AB1021" s="302"/>
      <c r="AC1021" s="306"/>
      <c r="AD1021" s="261"/>
      <c r="AE1021" s="261"/>
      <c r="AF1021" s="282"/>
    </row>
    <row r="1022" spans="2:32" hidden="1">
      <c r="B1022" s="266"/>
      <c r="C1022" s="220"/>
      <c r="D1022" s="220"/>
      <c r="E1022" s="220"/>
      <c r="F1022" s="220"/>
      <c r="G1022" s="223"/>
      <c r="H1022" s="226"/>
      <c r="I1022" s="226"/>
      <c r="J1022" s="216"/>
      <c r="K1022" s="216"/>
      <c r="L1022" s="216"/>
      <c r="M1022" s="230"/>
      <c r="N1022" s="234"/>
      <c r="O1022" s="238"/>
      <c r="P1022" s="243"/>
      <c r="Q1022" s="244"/>
      <c r="R1022" s="301"/>
      <c r="S1022" s="250"/>
      <c r="T1022" s="301"/>
      <c r="U1022" s="250"/>
      <c r="V1022" s="301"/>
      <c r="W1022" s="250"/>
      <c r="X1022" s="254"/>
      <c r="Y1022" s="301"/>
      <c r="Z1022" s="258"/>
      <c r="AA1022" s="250"/>
      <c r="AB1022" s="301"/>
      <c r="AC1022" s="305"/>
      <c r="AD1022" s="262"/>
      <c r="AE1022" s="262"/>
      <c r="AF1022" s="283"/>
    </row>
    <row r="1023" spans="2:32" hidden="1">
      <c r="B1023" s="267"/>
      <c r="C1023" s="219"/>
      <c r="D1023" s="219"/>
      <c r="E1023" s="219"/>
      <c r="F1023" s="219"/>
      <c r="G1023" s="222"/>
      <c r="H1023" s="227"/>
      <c r="I1023" s="227"/>
      <c r="J1023" s="217"/>
      <c r="K1023" s="217"/>
      <c r="L1023" s="217"/>
      <c r="M1023" s="231"/>
      <c r="N1023" s="235"/>
      <c r="O1023" s="239"/>
      <c r="P1023" s="245"/>
      <c r="Q1023" s="246"/>
      <c r="R1023" s="302"/>
      <c r="S1023" s="251"/>
      <c r="T1023" s="302"/>
      <c r="U1023" s="251"/>
      <c r="V1023" s="302"/>
      <c r="W1023" s="251"/>
      <c r="X1023" s="255"/>
      <c r="Y1023" s="302"/>
      <c r="Z1023" s="259"/>
      <c r="AA1023" s="251"/>
      <c r="AB1023" s="302"/>
      <c r="AC1023" s="306"/>
      <c r="AD1023" s="261"/>
      <c r="AE1023" s="261"/>
      <c r="AF1023" s="282"/>
    </row>
    <row r="1024" spans="2:32" hidden="1">
      <c r="B1024" s="266"/>
      <c r="C1024" s="220"/>
      <c r="D1024" s="220"/>
      <c r="E1024" s="220"/>
      <c r="F1024" s="220"/>
      <c r="G1024" s="223"/>
      <c r="H1024" s="226"/>
      <c r="I1024" s="226"/>
      <c r="J1024" s="216"/>
      <c r="K1024" s="216"/>
      <c r="L1024" s="216"/>
      <c r="M1024" s="230"/>
      <c r="N1024" s="234"/>
      <c r="O1024" s="238"/>
      <c r="P1024" s="243"/>
      <c r="Q1024" s="244"/>
      <c r="R1024" s="301"/>
      <c r="S1024" s="250"/>
      <c r="T1024" s="301"/>
      <c r="U1024" s="250"/>
      <c r="V1024" s="301"/>
      <c r="W1024" s="250"/>
      <c r="X1024" s="254"/>
      <c r="Y1024" s="301"/>
      <c r="Z1024" s="258"/>
      <c r="AA1024" s="250"/>
      <c r="AB1024" s="301"/>
      <c r="AC1024" s="305"/>
      <c r="AD1024" s="262"/>
      <c r="AE1024" s="262"/>
      <c r="AF1024" s="283"/>
    </row>
    <row r="1025" spans="2:32" hidden="1">
      <c r="B1025" s="267"/>
      <c r="C1025" s="219"/>
      <c r="D1025" s="219"/>
      <c r="E1025" s="219"/>
      <c r="F1025" s="219"/>
      <c r="G1025" s="222"/>
      <c r="H1025" s="227"/>
      <c r="I1025" s="227"/>
      <c r="J1025" s="217"/>
      <c r="K1025" s="217"/>
      <c r="L1025" s="217"/>
      <c r="M1025" s="231"/>
      <c r="N1025" s="235"/>
      <c r="O1025" s="239"/>
      <c r="P1025" s="245"/>
      <c r="Q1025" s="246"/>
      <c r="R1025" s="302"/>
      <c r="S1025" s="251"/>
      <c r="T1025" s="302"/>
      <c r="U1025" s="251"/>
      <c r="V1025" s="302"/>
      <c r="W1025" s="251"/>
      <c r="X1025" s="255"/>
      <c r="Y1025" s="302"/>
      <c r="Z1025" s="259"/>
      <c r="AA1025" s="251"/>
      <c r="AB1025" s="302"/>
      <c r="AC1025" s="306"/>
      <c r="AD1025" s="261"/>
      <c r="AE1025" s="261"/>
      <c r="AF1025" s="282"/>
    </row>
    <row r="1026" spans="2:32" hidden="1">
      <c r="B1026" s="266"/>
      <c r="C1026" s="220"/>
      <c r="D1026" s="220"/>
      <c r="E1026" s="220"/>
      <c r="F1026" s="220"/>
      <c r="G1026" s="223"/>
      <c r="H1026" s="226"/>
      <c r="I1026" s="226"/>
      <c r="J1026" s="216"/>
      <c r="K1026" s="216"/>
      <c r="L1026" s="216"/>
      <c r="M1026" s="230"/>
      <c r="N1026" s="234"/>
      <c r="O1026" s="238"/>
      <c r="P1026" s="243"/>
      <c r="Q1026" s="244"/>
      <c r="R1026" s="301"/>
      <c r="S1026" s="250"/>
      <c r="T1026" s="301"/>
      <c r="U1026" s="250"/>
      <c r="V1026" s="301"/>
      <c r="W1026" s="250"/>
      <c r="X1026" s="254"/>
      <c r="Y1026" s="301"/>
      <c r="Z1026" s="258"/>
      <c r="AA1026" s="250"/>
      <c r="AB1026" s="301"/>
      <c r="AC1026" s="305"/>
      <c r="AD1026" s="262"/>
      <c r="AE1026" s="262"/>
      <c r="AF1026" s="283"/>
    </row>
    <row r="1027" spans="2:32" hidden="1">
      <c r="B1027" s="267"/>
      <c r="C1027" s="219"/>
      <c r="D1027" s="219"/>
      <c r="E1027" s="219"/>
      <c r="F1027" s="219"/>
      <c r="G1027" s="222"/>
      <c r="H1027" s="227"/>
      <c r="I1027" s="227"/>
      <c r="J1027" s="217"/>
      <c r="K1027" s="217"/>
      <c r="L1027" s="217"/>
      <c r="M1027" s="231"/>
      <c r="N1027" s="235"/>
      <c r="O1027" s="239"/>
      <c r="P1027" s="245"/>
      <c r="Q1027" s="246"/>
      <c r="R1027" s="302"/>
      <c r="S1027" s="251"/>
      <c r="T1027" s="302"/>
      <c r="U1027" s="251"/>
      <c r="V1027" s="302"/>
      <c r="W1027" s="251"/>
      <c r="X1027" s="255"/>
      <c r="Y1027" s="302"/>
      <c r="Z1027" s="259"/>
      <c r="AA1027" s="251"/>
      <c r="AB1027" s="302"/>
      <c r="AC1027" s="306"/>
      <c r="AD1027" s="261"/>
      <c r="AE1027" s="261"/>
      <c r="AF1027" s="282"/>
    </row>
    <row r="1028" spans="2:32" hidden="1">
      <c r="B1028" s="266"/>
      <c r="C1028" s="220"/>
      <c r="D1028" s="220"/>
      <c r="E1028" s="220"/>
      <c r="F1028" s="220"/>
      <c r="G1028" s="223"/>
      <c r="H1028" s="226"/>
      <c r="I1028" s="226"/>
      <c r="J1028" s="216"/>
      <c r="K1028" s="216"/>
      <c r="L1028" s="216"/>
      <c r="M1028" s="230"/>
      <c r="N1028" s="234"/>
      <c r="O1028" s="238"/>
      <c r="P1028" s="243"/>
      <c r="Q1028" s="244"/>
      <c r="R1028" s="301"/>
      <c r="S1028" s="250"/>
      <c r="T1028" s="301"/>
      <c r="U1028" s="250"/>
      <c r="V1028" s="301"/>
      <c r="W1028" s="250"/>
      <c r="X1028" s="254"/>
      <c r="Y1028" s="301"/>
      <c r="Z1028" s="258"/>
      <c r="AA1028" s="250"/>
      <c r="AB1028" s="301"/>
      <c r="AC1028" s="305"/>
      <c r="AD1028" s="262"/>
      <c r="AE1028" s="262"/>
      <c r="AF1028" s="283"/>
    </row>
    <row r="1029" spans="2:32" hidden="1">
      <c r="B1029" s="267"/>
      <c r="C1029" s="219"/>
      <c r="D1029" s="219"/>
      <c r="E1029" s="219"/>
      <c r="F1029" s="219"/>
      <c r="G1029" s="222"/>
      <c r="H1029" s="227"/>
      <c r="I1029" s="227"/>
      <c r="J1029" s="217"/>
      <c r="K1029" s="217"/>
      <c r="L1029" s="217"/>
      <c r="M1029" s="231"/>
      <c r="N1029" s="235"/>
      <c r="O1029" s="239"/>
      <c r="P1029" s="245"/>
      <c r="Q1029" s="246"/>
      <c r="R1029" s="302"/>
      <c r="S1029" s="251"/>
      <c r="T1029" s="302"/>
      <c r="U1029" s="251"/>
      <c r="V1029" s="302"/>
      <c r="W1029" s="251"/>
      <c r="X1029" s="255"/>
      <c r="Y1029" s="302"/>
      <c r="Z1029" s="259"/>
      <c r="AA1029" s="251"/>
      <c r="AB1029" s="302"/>
      <c r="AC1029" s="306"/>
      <c r="AD1029" s="261"/>
      <c r="AE1029" s="261"/>
      <c r="AF1029" s="282"/>
    </row>
    <row r="1030" spans="2:32" hidden="1">
      <c r="B1030" s="266"/>
      <c r="C1030" s="220"/>
      <c r="D1030" s="220"/>
      <c r="E1030" s="220"/>
      <c r="F1030" s="220"/>
      <c r="G1030" s="223"/>
      <c r="H1030" s="226"/>
      <c r="I1030" s="226"/>
      <c r="J1030" s="216"/>
      <c r="K1030" s="216"/>
      <c r="L1030" s="216"/>
      <c r="M1030" s="230"/>
      <c r="N1030" s="234"/>
      <c r="O1030" s="238"/>
      <c r="P1030" s="243"/>
      <c r="Q1030" s="244"/>
      <c r="R1030" s="301"/>
      <c r="S1030" s="250"/>
      <c r="T1030" s="301"/>
      <c r="U1030" s="250"/>
      <c r="V1030" s="301"/>
      <c r="W1030" s="250"/>
      <c r="X1030" s="254"/>
      <c r="Y1030" s="301"/>
      <c r="Z1030" s="258"/>
      <c r="AA1030" s="250"/>
      <c r="AB1030" s="301"/>
      <c r="AC1030" s="305"/>
      <c r="AD1030" s="262"/>
      <c r="AE1030" s="262"/>
      <c r="AF1030" s="283"/>
    </row>
    <row r="1031" spans="2:32" hidden="1">
      <c r="B1031" s="267"/>
      <c r="C1031" s="219"/>
      <c r="D1031" s="219"/>
      <c r="E1031" s="219"/>
      <c r="F1031" s="219"/>
      <c r="G1031" s="222"/>
      <c r="H1031" s="227"/>
      <c r="I1031" s="227"/>
      <c r="J1031" s="217"/>
      <c r="K1031" s="217"/>
      <c r="L1031" s="217"/>
      <c r="M1031" s="231"/>
      <c r="N1031" s="235"/>
      <c r="O1031" s="239"/>
      <c r="P1031" s="245"/>
      <c r="Q1031" s="246"/>
      <c r="R1031" s="302"/>
      <c r="S1031" s="251"/>
      <c r="T1031" s="302"/>
      <c r="U1031" s="251"/>
      <c r="V1031" s="302"/>
      <c r="W1031" s="251"/>
      <c r="X1031" s="255"/>
      <c r="Y1031" s="302"/>
      <c r="Z1031" s="259"/>
      <c r="AA1031" s="251"/>
      <c r="AB1031" s="302"/>
      <c r="AC1031" s="306"/>
      <c r="AD1031" s="261"/>
      <c r="AE1031" s="261"/>
      <c r="AF1031" s="282"/>
    </row>
    <row r="1032" spans="2:32" hidden="1">
      <c r="B1032" s="266"/>
      <c r="C1032" s="220"/>
      <c r="D1032" s="220"/>
      <c r="E1032" s="220"/>
      <c r="F1032" s="220"/>
      <c r="G1032" s="223"/>
      <c r="H1032" s="226"/>
      <c r="I1032" s="226"/>
      <c r="J1032" s="216"/>
      <c r="K1032" s="216"/>
      <c r="L1032" s="216"/>
      <c r="M1032" s="230"/>
      <c r="N1032" s="234"/>
      <c r="O1032" s="238"/>
      <c r="P1032" s="243"/>
      <c r="Q1032" s="244"/>
      <c r="R1032" s="301"/>
      <c r="S1032" s="250"/>
      <c r="T1032" s="301"/>
      <c r="U1032" s="250"/>
      <c r="V1032" s="301"/>
      <c r="W1032" s="250"/>
      <c r="X1032" s="254"/>
      <c r="Y1032" s="301"/>
      <c r="Z1032" s="258"/>
      <c r="AA1032" s="250"/>
      <c r="AB1032" s="301"/>
      <c r="AC1032" s="305"/>
      <c r="AD1032" s="262"/>
      <c r="AE1032" s="262"/>
      <c r="AF1032" s="283"/>
    </row>
    <row r="1033" spans="2:32" hidden="1">
      <c r="B1033" s="267"/>
      <c r="C1033" s="219"/>
      <c r="D1033" s="219"/>
      <c r="E1033" s="219"/>
      <c r="F1033" s="219"/>
      <c r="G1033" s="222"/>
      <c r="H1033" s="227"/>
      <c r="I1033" s="227"/>
      <c r="J1033" s="217"/>
      <c r="K1033" s="217"/>
      <c r="L1033" s="217"/>
      <c r="M1033" s="231"/>
      <c r="N1033" s="235"/>
      <c r="O1033" s="239"/>
      <c r="P1033" s="245"/>
      <c r="Q1033" s="246"/>
      <c r="R1033" s="302"/>
      <c r="S1033" s="251"/>
      <c r="T1033" s="302"/>
      <c r="U1033" s="251"/>
      <c r="V1033" s="302"/>
      <c r="W1033" s="251"/>
      <c r="X1033" s="255"/>
      <c r="Y1033" s="302"/>
      <c r="Z1033" s="259"/>
      <c r="AA1033" s="251"/>
      <c r="AB1033" s="302"/>
      <c r="AC1033" s="306"/>
      <c r="AD1033" s="261"/>
      <c r="AE1033" s="261"/>
      <c r="AF1033" s="282"/>
    </row>
    <row r="1034" spans="2:32" hidden="1">
      <c r="B1034" s="266"/>
      <c r="C1034" s="220"/>
      <c r="D1034" s="220"/>
      <c r="E1034" s="220"/>
      <c r="F1034" s="220"/>
      <c r="G1034" s="223"/>
      <c r="H1034" s="226"/>
      <c r="I1034" s="226"/>
      <c r="J1034" s="216"/>
      <c r="K1034" s="216"/>
      <c r="L1034" s="216"/>
      <c r="M1034" s="230"/>
      <c r="N1034" s="234"/>
      <c r="O1034" s="238"/>
      <c r="P1034" s="243"/>
      <c r="Q1034" s="244"/>
      <c r="R1034" s="301"/>
      <c r="S1034" s="250"/>
      <c r="T1034" s="301"/>
      <c r="U1034" s="250"/>
      <c r="V1034" s="301"/>
      <c r="W1034" s="250"/>
      <c r="X1034" s="254"/>
      <c r="Y1034" s="301"/>
      <c r="Z1034" s="258"/>
      <c r="AA1034" s="250"/>
      <c r="AB1034" s="301"/>
      <c r="AC1034" s="305"/>
      <c r="AD1034" s="262"/>
      <c r="AE1034" s="262"/>
      <c r="AF1034" s="283"/>
    </row>
    <row r="1035" spans="2:32" hidden="1">
      <c r="B1035" s="267"/>
      <c r="C1035" s="219"/>
      <c r="D1035" s="219"/>
      <c r="E1035" s="219"/>
      <c r="F1035" s="219"/>
      <c r="G1035" s="222"/>
      <c r="H1035" s="227"/>
      <c r="I1035" s="227"/>
      <c r="J1035" s="217"/>
      <c r="K1035" s="217"/>
      <c r="L1035" s="217"/>
      <c r="M1035" s="231"/>
      <c r="N1035" s="235"/>
      <c r="O1035" s="239"/>
      <c r="P1035" s="245"/>
      <c r="Q1035" s="246"/>
      <c r="R1035" s="302"/>
      <c r="S1035" s="251"/>
      <c r="T1035" s="302"/>
      <c r="U1035" s="251"/>
      <c r="V1035" s="302"/>
      <c r="W1035" s="251"/>
      <c r="X1035" s="255"/>
      <c r="Y1035" s="302"/>
      <c r="Z1035" s="259"/>
      <c r="AA1035" s="251"/>
      <c r="AB1035" s="302"/>
      <c r="AC1035" s="306"/>
      <c r="AD1035" s="261"/>
      <c r="AE1035" s="261"/>
      <c r="AF1035" s="282"/>
    </row>
    <row r="1036" spans="2:32" hidden="1">
      <c r="B1036" s="266"/>
      <c r="C1036" s="220"/>
      <c r="D1036" s="220"/>
      <c r="E1036" s="220"/>
      <c r="F1036" s="220"/>
      <c r="G1036" s="223"/>
      <c r="H1036" s="226"/>
      <c r="I1036" s="226"/>
      <c r="J1036" s="216"/>
      <c r="K1036" s="216"/>
      <c r="L1036" s="216"/>
      <c r="M1036" s="230"/>
      <c r="N1036" s="234"/>
      <c r="O1036" s="238"/>
      <c r="P1036" s="243"/>
      <c r="Q1036" s="244"/>
      <c r="R1036" s="301"/>
      <c r="S1036" s="250"/>
      <c r="T1036" s="301"/>
      <c r="U1036" s="250"/>
      <c r="V1036" s="301"/>
      <c r="W1036" s="250"/>
      <c r="X1036" s="254"/>
      <c r="Y1036" s="301"/>
      <c r="Z1036" s="258"/>
      <c r="AA1036" s="250"/>
      <c r="AB1036" s="301"/>
      <c r="AC1036" s="305"/>
      <c r="AD1036" s="262"/>
      <c r="AE1036" s="262"/>
      <c r="AF1036" s="283"/>
    </row>
    <row r="1037" spans="2:32" hidden="1">
      <c r="B1037" s="267"/>
      <c r="C1037" s="219"/>
      <c r="D1037" s="219"/>
      <c r="E1037" s="219"/>
      <c r="F1037" s="219"/>
      <c r="G1037" s="222"/>
      <c r="H1037" s="227"/>
      <c r="I1037" s="227"/>
      <c r="J1037" s="217"/>
      <c r="K1037" s="217"/>
      <c r="L1037" s="217"/>
      <c r="M1037" s="231"/>
      <c r="N1037" s="235"/>
      <c r="O1037" s="239"/>
      <c r="P1037" s="245"/>
      <c r="Q1037" s="246"/>
      <c r="R1037" s="302"/>
      <c r="S1037" s="251"/>
      <c r="T1037" s="302"/>
      <c r="U1037" s="251"/>
      <c r="V1037" s="302"/>
      <c r="W1037" s="251"/>
      <c r="X1037" s="255"/>
      <c r="Y1037" s="302"/>
      <c r="Z1037" s="259"/>
      <c r="AA1037" s="251"/>
      <c r="AB1037" s="302"/>
      <c r="AC1037" s="306"/>
      <c r="AD1037" s="261"/>
      <c r="AE1037" s="261"/>
      <c r="AF1037" s="282"/>
    </row>
    <row r="1038" spans="2:32" hidden="1">
      <c r="B1038" s="266"/>
      <c r="C1038" s="220"/>
      <c r="D1038" s="220"/>
      <c r="E1038" s="220"/>
      <c r="F1038" s="220"/>
      <c r="G1038" s="223"/>
      <c r="H1038" s="226"/>
      <c r="I1038" s="226"/>
      <c r="J1038" s="216"/>
      <c r="K1038" s="216"/>
      <c r="L1038" s="216"/>
      <c r="M1038" s="230"/>
      <c r="N1038" s="234"/>
      <c r="O1038" s="238"/>
      <c r="P1038" s="243"/>
      <c r="Q1038" s="244"/>
      <c r="R1038" s="301"/>
      <c r="S1038" s="250"/>
      <c r="T1038" s="301"/>
      <c r="U1038" s="250"/>
      <c r="V1038" s="301"/>
      <c r="W1038" s="250"/>
      <c r="X1038" s="254"/>
      <c r="Y1038" s="301"/>
      <c r="Z1038" s="258"/>
      <c r="AA1038" s="250"/>
      <c r="AB1038" s="301"/>
      <c r="AC1038" s="305"/>
      <c r="AD1038" s="262"/>
      <c r="AE1038" s="262"/>
      <c r="AF1038" s="283"/>
    </row>
    <row r="1039" spans="2:32" hidden="1">
      <c r="B1039" s="267"/>
      <c r="C1039" s="219"/>
      <c r="D1039" s="219"/>
      <c r="E1039" s="219"/>
      <c r="F1039" s="219"/>
      <c r="G1039" s="222"/>
      <c r="H1039" s="227"/>
      <c r="I1039" s="227"/>
      <c r="J1039" s="217"/>
      <c r="K1039" s="217"/>
      <c r="L1039" s="217"/>
      <c r="M1039" s="231"/>
      <c r="N1039" s="235"/>
      <c r="O1039" s="239"/>
      <c r="P1039" s="245"/>
      <c r="Q1039" s="246"/>
      <c r="R1039" s="302"/>
      <c r="S1039" s="251"/>
      <c r="T1039" s="302"/>
      <c r="U1039" s="251"/>
      <c r="V1039" s="302"/>
      <c r="W1039" s="251"/>
      <c r="X1039" s="255"/>
      <c r="Y1039" s="302"/>
      <c r="Z1039" s="259"/>
      <c r="AA1039" s="251"/>
      <c r="AB1039" s="302"/>
      <c r="AC1039" s="306"/>
      <c r="AD1039" s="261"/>
      <c r="AE1039" s="261"/>
      <c r="AF1039" s="282"/>
    </row>
    <row r="1040" spans="2:32" hidden="1">
      <c r="B1040" s="266"/>
      <c r="C1040" s="220"/>
      <c r="D1040" s="220"/>
      <c r="E1040" s="220"/>
      <c r="F1040" s="220"/>
      <c r="G1040" s="223"/>
      <c r="H1040" s="226"/>
      <c r="I1040" s="226"/>
      <c r="J1040" s="216"/>
      <c r="K1040" s="216"/>
      <c r="L1040" s="216"/>
      <c r="M1040" s="230"/>
      <c r="N1040" s="234"/>
      <c r="O1040" s="238"/>
      <c r="P1040" s="243"/>
      <c r="Q1040" s="244"/>
      <c r="R1040" s="301"/>
      <c r="S1040" s="250"/>
      <c r="T1040" s="301"/>
      <c r="U1040" s="250"/>
      <c r="V1040" s="301"/>
      <c r="W1040" s="250"/>
      <c r="X1040" s="254"/>
      <c r="Y1040" s="301"/>
      <c r="Z1040" s="258"/>
      <c r="AA1040" s="250"/>
      <c r="AB1040" s="301"/>
      <c r="AC1040" s="305"/>
      <c r="AD1040" s="262"/>
      <c r="AE1040" s="262"/>
      <c r="AF1040" s="283"/>
    </row>
    <row r="1041" spans="2:32" hidden="1">
      <c r="B1041" s="267"/>
      <c r="C1041" s="219"/>
      <c r="D1041" s="219"/>
      <c r="E1041" s="219"/>
      <c r="F1041" s="219"/>
      <c r="G1041" s="222"/>
      <c r="H1041" s="227"/>
      <c r="I1041" s="227"/>
      <c r="J1041" s="217"/>
      <c r="K1041" s="217"/>
      <c r="L1041" s="217"/>
      <c r="M1041" s="231"/>
      <c r="N1041" s="235"/>
      <c r="O1041" s="239"/>
      <c r="P1041" s="245"/>
      <c r="Q1041" s="246"/>
      <c r="R1041" s="302"/>
      <c r="S1041" s="251"/>
      <c r="T1041" s="302"/>
      <c r="U1041" s="251"/>
      <c r="V1041" s="302"/>
      <c r="W1041" s="251"/>
      <c r="X1041" s="255"/>
      <c r="Y1041" s="302"/>
      <c r="Z1041" s="259"/>
      <c r="AA1041" s="251"/>
      <c r="AB1041" s="302"/>
      <c r="AC1041" s="306"/>
      <c r="AD1041" s="261"/>
      <c r="AE1041" s="261"/>
      <c r="AF1041" s="282"/>
    </row>
    <row r="1042" spans="2:32" hidden="1">
      <c r="B1042" s="266"/>
      <c r="C1042" s="220"/>
      <c r="D1042" s="220"/>
      <c r="E1042" s="220"/>
      <c r="F1042" s="220"/>
      <c r="G1042" s="223"/>
      <c r="H1042" s="226"/>
      <c r="I1042" s="226"/>
      <c r="J1042" s="216"/>
      <c r="K1042" s="216"/>
      <c r="L1042" s="216"/>
      <c r="M1042" s="230"/>
      <c r="N1042" s="234"/>
      <c r="O1042" s="238"/>
      <c r="P1042" s="243"/>
      <c r="Q1042" s="244"/>
      <c r="R1042" s="301"/>
      <c r="S1042" s="250"/>
      <c r="T1042" s="301"/>
      <c r="U1042" s="250"/>
      <c r="V1042" s="301"/>
      <c r="W1042" s="250"/>
      <c r="X1042" s="254"/>
      <c r="Y1042" s="301"/>
      <c r="Z1042" s="258"/>
      <c r="AA1042" s="250"/>
      <c r="AB1042" s="301"/>
      <c r="AC1042" s="305"/>
      <c r="AD1042" s="262"/>
      <c r="AE1042" s="262"/>
      <c r="AF1042" s="283"/>
    </row>
    <row r="1043" spans="2:32" hidden="1">
      <c r="B1043" s="267"/>
      <c r="C1043" s="219"/>
      <c r="D1043" s="219"/>
      <c r="E1043" s="219"/>
      <c r="F1043" s="219"/>
      <c r="G1043" s="222"/>
      <c r="H1043" s="227"/>
      <c r="I1043" s="227"/>
      <c r="J1043" s="217"/>
      <c r="K1043" s="217"/>
      <c r="L1043" s="217"/>
      <c r="M1043" s="231"/>
      <c r="N1043" s="235"/>
      <c r="O1043" s="239"/>
      <c r="P1043" s="245"/>
      <c r="Q1043" s="246"/>
      <c r="R1043" s="302"/>
      <c r="S1043" s="251"/>
      <c r="T1043" s="302"/>
      <c r="U1043" s="251"/>
      <c r="V1043" s="302"/>
      <c r="W1043" s="251"/>
      <c r="X1043" s="255"/>
      <c r="Y1043" s="302"/>
      <c r="Z1043" s="259"/>
      <c r="AA1043" s="251"/>
      <c r="AB1043" s="302"/>
      <c r="AC1043" s="306"/>
      <c r="AD1043" s="261"/>
      <c r="AE1043" s="261"/>
      <c r="AF1043" s="282"/>
    </row>
    <row r="1044" spans="2:32" hidden="1">
      <c r="B1044" s="266"/>
      <c r="C1044" s="220"/>
      <c r="D1044" s="220"/>
      <c r="E1044" s="220"/>
      <c r="F1044" s="220"/>
      <c r="G1044" s="223"/>
      <c r="H1044" s="226"/>
      <c r="I1044" s="226"/>
      <c r="J1044" s="216"/>
      <c r="K1044" s="216"/>
      <c r="L1044" s="216"/>
      <c r="M1044" s="230"/>
      <c r="N1044" s="234"/>
      <c r="O1044" s="238"/>
      <c r="P1044" s="243"/>
      <c r="Q1044" s="244"/>
      <c r="R1044" s="301"/>
      <c r="S1044" s="250"/>
      <c r="T1044" s="301"/>
      <c r="U1044" s="250"/>
      <c r="V1044" s="301"/>
      <c r="W1044" s="250"/>
      <c r="X1044" s="254"/>
      <c r="Y1044" s="301"/>
      <c r="Z1044" s="258"/>
      <c r="AA1044" s="250"/>
      <c r="AB1044" s="301"/>
      <c r="AC1044" s="305"/>
      <c r="AD1044" s="262"/>
      <c r="AE1044" s="262"/>
      <c r="AF1044" s="283"/>
    </row>
    <row r="1045" spans="2:32" hidden="1">
      <c r="B1045" s="267"/>
      <c r="C1045" s="219"/>
      <c r="D1045" s="219"/>
      <c r="E1045" s="219"/>
      <c r="F1045" s="219"/>
      <c r="G1045" s="222"/>
      <c r="H1045" s="227"/>
      <c r="I1045" s="227"/>
      <c r="J1045" s="217"/>
      <c r="K1045" s="217"/>
      <c r="L1045" s="217"/>
      <c r="M1045" s="231"/>
      <c r="N1045" s="235"/>
      <c r="O1045" s="239"/>
      <c r="P1045" s="245"/>
      <c r="Q1045" s="246"/>
      <c r="R1045" s="302"/>
      <c r="S1045" s="251"/>
      <c r="T1045" s="302"/>
      <c r="U1045" s="251"/>
      <c r="V1045" s="302"/>
      <c r="W1045" s="251"/>
      <c r="X1045" s="255"/>
      <c r="Y1045" s="302"/>
      <c r="Z1045" s="259"/>
      <c r="AA1045" s="251"/>
      <c r="AB1045" s="302"/>
      <c r="AC1045" s="306"/>
      <c r="AD1045" s="261"/>
      <c r="AE1045" s="261"/>
      <c r="AF1045" s="282"/>
    </row>
    <row r="1046" spans="2:32" hidden="1">
      <c r="B1046" s="266"/>
      <c r="C1046" s="220"/>
      <c r="D1046" s="220"/>
      <c r="E1046" s="220"/>
      <c r="F1046" s="220"/>
      <c r="G1046" s="223"/>
      <c r="H1046" s="226"/>
      <c r="I1046" s="226"/>
      <c r="J1046" s="216"/>
      <c r="K1046" s="216"/>
      <c r="L1046" s="216"/>
      <c r="M1046" s="230"/>
      <c r="N1046" s="234"/>
      <c r="O1046" s="238"/>
      <c r="P1046" s="243"/>
      <c r="Q1046" s="244"/>
      <c r="R1046" s="301"/>
      <c r="S1046" s="250"/>
      <c r="T1046" s="301"/>
      <c r="U1046" s="250"/>
      <c r="V1046" s="301"/>
      <c r="W1046" s="250"/>
      <c r="X1046" s="254"/>
      <c r="Y1046" s="301"/>
      <c r="Z1046" s="258"/>
      <c r="AA1046" s="250"/>
      <c r="AB1046" s="301"/>
      <c r="AC1046" s="305"/>
      <c r="AD1046" s="262"/>
      <c r="AE1046" s="262"/>
      <c r="AF1046" s="283"/>
    </row>
    <row r="1047" spans="2:32" hidden="1">
      <c r="B1047" s="267"/>
      <c r="C1047" s="219"/>
      <c r="D1047" s="219"/>
      <c r="E1047" s="219"/>
      <c r="F1047" s="219"/>
      <c r="G1047" s="222"/>
      <c r="H1047" s="227"/>
      <c r="I1047" s="227"/>
      <c r="J1047" s="217"/>
      <c r="K1047" s="217"/>
      <c r="L1047" s="217"/>
      <c r="M1047" s="231"/>
      <c r="N1047" s="235"/>
      <c r="O1047" s="239"/>
      <c r="P1047" s="245"/>
      <c r="Q1047" s="246"/>
      <c r="R1047" s="302"/>
      <c r="S1047" s="251"/>
      <c r="T1047" s="302"/>
      <c r="U1047" s="251"/>
      <c r="V1047" s="302"/>
      <c r="W1047" s="251"/>
      <c r="X1047" s="255"/>
      <c r="Y1047" s="302"/>
      <c r="Z1047" s="259"/>
      <c r="AA1047" s="251"/>
      <c r="AB1047" s="302"/>
      <c r="AC1047" s="306"/>
      <c r="AD1047" s="261"/>
      <c r="AE1047" s="261"/>
      <c r="AF1047" s="282"/>
    </row>
    <row r="1048" spans="2:32" hidden="1">
      <c r="B1048" s="266"/>
      <c r="C1048" s="220"/>
      <c r="D1048" s="220"/>
      <c r="E1048" s="220"/>
      <c r="F1048" s="220"/>
      <c r="G1048" s="223"/>
      <c r="H1048" s="226"/>
      <c r="I1048" s="226"/>
      <c r="J1048" s="216"/>
      <c r="K1048" s="216"/>
      <c r="L1048" s="216"/>
      <c r="M1048" s="230"/>
      <c r="N1048" s="234"/>
      <c r="O1048" s="238"/>
      <c r="P1048" s="243"/>
      <c r="Q1048" s="244"/>
      <c r="R1048" s="301"/>
      <c r="S1048" s="250"/>
      <c r="T1048" s="301"/>
      <c r="U1048" s="250"/>
      <c r="V1048" s="301"/>
      <c r="W1048" s="250"/>
      <c r="X1048" s="254"/>
      <c r="Y1048" s="301"/>
      <c r="Z1048" s="258"/>
      <c r="AA1048" s="250"/>
      <c r="AB1048" s="301"/>
      <c r="AC1048" s="305"/>
      <c r="AD1048" s="262"/>
      <c r="AE1048" s="262"/>
      <c r="AF1048" s="283"/>
    </row>
    <row r="1049" spans="2:32" hidden="1">
      <c r="B1049" s="267"/>
      <c r="C1049" s="219"/>
      <c r="D1049" s="219"/>
      <c r="E1049" s="219"/>
      <c r="F1049" s="219"/>
      <c r="G1049" s="222"/>
      <c r="H1049" s="227"/>
      <c r="I1049" s="227"/>
      <c r="J1049" s="217"/>
      <c r="K1049" s="217"/>
      <c r="L1049" s="217"/>
      <c r="M1049" s="231"/>
      <c r="N1049" s="235"/>
      <c r="O1049" s="239"/>
      <c r="P1049" s="245"/>
      <c r="Q1049" s="246"/>
      <c r="R1049" s="302"/>
      <c r="S1049" s="251"/>
      <c r="T1049" s="302"/>
      <c r="U1049" s="251"/>
      <c r="V1049" s="302"/>
      <c r="W1049" s="251"/>
      <c r="X1049" s="255"/>
      <c r="Y1049" s="302"/>
      <c r="Z1049" s="259"/>
      <c r="AA1049" s="251"/>
      <c r="AB1049" s="302"/>
      <c r="AC1049" s="306"/>
      <c r="AD1049" s="261"/>
      <c r="AE1049" s="261"/>
      <c r="AF1049" s="282"/>
    </row>
    <row r="1050" spans="2:32" hidden="1">
      <c r="B1050" s="266"/>
      <c r="C1050" s="220"/>
      <c r="D1050" s="220"/>
      <c r="E1050" s="220"/>
      <c r="F1050" s="220"/>
      <c r="G1050" s="223"/>
      <c r="H1050" s="226"/>
      <c r="I1050" s="226"/>
      <c r="J1050" s="216"/>
      <c r="K1050" s="216"/>
      <c r="L1050" s="216"/>
      <c r="M1050" s="230"/>
      <c r="N1050" s="234"/>
      <c r="O1050" s="238"/>
      <c r="P1050" s="243"/>
      <c r="Q1050" s="244"/>
      <c r="R1050" s="301"/>
      <c r="S1050" s="250"/>
      <c r="T1050" s="301"/>
      <c r="U1050" s="250"/>
      <c r="V1050" s="301"/>
      <c r="W1050" s="250"/>
      <c r="X1050" s="254"/>
      <c r="Y1050" s="301"/>
      <c r="Z1050" s="258"/>
      <c r="AA1050" s="250"/>
      <c r="AB1050" s="301"/>
      <c r="AC1050" s="305"/>
      <c r="AD1050" s="262"/>
      <c r="AE1050" s="262"/>
      <c r="AF1050" s="283"/>
    </row>
    <row r="1051" spans="2:32" hidden="1">
      <c r="B1051" s="267"/>
      <c r="C1051" s="219"/>
      <c r="D1051" s="219"/>
      <c r="E1051" s="219"/>
      <c r="F1051" s="219"/>
      <c r="G1051" s="222"/>
      <c r="H1051" s="227"/>
      <c r="I1051" s="227"/>
      <c r="J1051" s="217"/>
      <c r="K1051" s="217"/>
      <c r="L1051" s="217"/>
      <c r="M1051" s="231"/>
      <c r="N1051" s="235"/>
      <c r="O1051" s="239"/>
      <c r="P1051" s="245"/>
      <c r="Q1051" s="246"/>
      <c r="R1051" s="302"/>
      <c r="S1051" s="251"/>
      <c r="T1051" s="302"/>
      <c r="U1051" s="251"/>
      <c r="V1051" s="302"/>
      <c r="W1051" s="251"/>
      <c r="X1051" s="255"/>
      <c r="Y1051" s="302"/>
      <c r="Z1051" s="259"/>
      <c r="AA1051" s="251"/>
      <c r="AB1051" s="302"/>
      <c r="AC1051" s="306"/>
      <c r="AD1051" s="261"/>
      <c r="AE1051" s="261"/>
      <c r="AF1051" s="282"/>
    </row>
    <row r="1052" spans="2:32" hidden="1">
      <c r="B1052" s="266"/>
      <c r="C1052" s="220"/>
      <c r="D1052" s="220"/>
      <c r="E1052" s="220"/>
      <c r="F1052" s="220"/>
      <c r="G1052" s="223"/>
      <c r="H1052" s="226"/>
      <c r="I1052" s="226"/>
      <c r="J1052" s="216"/>
      <c r="K1052" s="216"/>
      <c r="L1052" s="216"/>
      <c r="M1052" s="230"/>
      <c r="N1052" s="234"/>
      <c r="O1052" s="238"/>
      <c r="P1052" s="243"/>
      <c r="Q1052" s="244"/>
      <c r="R1052" s="301"/>
      <c r="S1052" s="250"/>
      <c r="T1052" s="301"/>
      <c r="U1052" s="250"/>
      <c r="V1052" s="301"/>
      <c r="W1052" s="250"/>
      <c r="X1052" s="254"/>
      <c r="Y1052" s="301"/>
      <c r="Z1052" s="258"/>
      <c r="AA1052" s="250"/>
      <c r="AB1052" s="301"/>
      <c r="AC1052" s="305"/>
      <c r="AD1052" s="262"/>
      <c r="AE1052" s="262"/>
      <c r="AF1052" s="283"/>
    </row>
    <row r="1053" spans="2:32" hidden="1">
      <c r="B1053" s="267"/>
      <c r="C1053" s="219"/>
      <c r="D1053" s="219"/>
      <c r="E1053" s="219"/>
      <c r="F1053" s="219"/>
      <c r="G1053" s="222"/>
      <c r="H1053" s="227"/>
      <c r="I1053" s="227"/>
      <c r="J1053" s="217"/>
      <c r="K1053" s="217"/>
      <c r="L1053" s="217"/>
      <c r="M1053" s="231"/>
      <c r="N1053" s="235"/>
      <c r="O1053" s="239"/>
      <c r="P1053" s="245"/>
      <c r="Q1053" s="246"/>
      <c r="R1053" s="302"/>
      <c r="S1053" s="251"/>
      <c r="T1053" s="302"/>
      <c r="U1053" s="251"/>
      <c r="V1053" s="302"/>
      <c r="W1053" s="251"/>
      <c r="X1053" s="255"/>
      <c r="Y1053" s="302"/>
      <c r="Z1053" s="259"/>
      <c r="AA1053" s="251"/>
      <c r="AB1053" s="302"/>
      <c r="AC1053" s="306"/>
      <c r="AD1053" s="261"/>
      <c r="AE1053" s="261"/>
      <c r="AF1053" s="282"/>
    </row>
    <row r="1054" spans="2:32" hidden="1">
      <c r="B1054" s="266"/>
      <c r="C1054" s="220"/>
      <c r="D1054" s="220"/>
      <c r="E1054" s="220"/>
      <c r="F1054" s="220"/>
      <c r="G1054" s="223"/>
      <c r="H1054" s="226"/>
      <c r="I1054" s="226"/>
      <c r="J1054" s="216"/>
      <c r="K1054" s="216"/>
      <c r="L1054" s="216"/>
      <c r="M1054" s="230"/>
      <c r="N1054" s="234"/>
      <c r="O1054" s="238"/>
      <c r="P1054" s="243"/>
      <c r="Q1054" s="244"/>
      <c r="R1054" s="301"/>
      <c r="S1054" s="250"/>
      <c r="T1054" s="301"/>
      <c r="U1054" s="250"/>
      <c r="V1054" s="301"/>
      <c r="W1054" s="250"/>
      <c r="X1054" s="254"/>
      <c r="Y1054" s="301"/>
      <c r="Z1054" s="258"/>
      <c r="AA1054" s="250"/>
      <c r="AB1054" s="301"/>
      <c r="AC1054" s="305"/>
      <c r="AD1054" s="262"/>
      <c r="AE1054" s="262"/>
      <c r="AF1054" s="283"/>
    </row>
    <row r="1055" spans="2:32" hidden="1">
      <c r="B1055" s="267"/>
      <c r="C1055" s="219"/>
      <c r="D1055" s="219"/>
      <c r="E1055" s="219"/>
      <c r="F1055" s="219"/>
      <c r="G1055" s="222"/>
      <c r="H1055" s="227"/>
      <c r="I1055" s="227"/>
      <c r="J1055" s="217"/>
      <c r="K1055" s="217"/>
      <c r="L1055" s="217"/>
      <c r="M1055" s="231"/>
      <c r="N1055" s="235"/>
      <c r="O1055" s="239"/>
      <c r="P1055" s="245"/>
      <c r="Q1055" s="246"/>
      <c r="R1055" s="302"/>
      <c r="S1055" s="251"/>
      <c r="T1055" s="302"/>
      <c r="U1055" s="251"/>
      <c r="V1055" s="302"/>
      <c r="W1055" s="251"/>
      <c r="X1055" s="255"/>
      <c r="Y1055" s="302"/>
      <c r="Z1055" s="259"/>
      <c r="AA1055" s="251"/>
      <c r="AB1055" s="302"/>
      <c r="AC1055" s="306"/>
      <c r="AD1055" s="261"/>
      <c r="AE1055" s="261"/>
      <c r="AF1055" s="282"/>
    </row>
    <row r="1056" spans="2:32" hidden="1">
      <c r="B1056" s="266"/>
      <c r="C1056" s="220"/>
      <c r="D1056" s="220"/>
      <c r="E1056" s="220"/>
      <c r="F1056" s="220"/>
      <c r="G1056" s="223"/>
      <c r="H1056" s="226"/>
      <c r="I1056" s="226"/>
      <c r="J1056" s="216"/>
      <c r="K1056" s="216"/>
      <c r="L1056" s="216"/>
      <c r="M1056" s="230"/>
      <c r="N1056" s="234"/>
      <c r="O1056" s="238"/>
      <c r="P1056" s="243"/>
      <c r="Q1056" s="244"/>
      <c r="R1056" s="301"/>
      <c r="S1056" s="250"/>
      <c r="T1056" s="301"/>
      <c r="U1056" s="250"/>
      <c r="V1056" s="301"/>
      <c r="W1056" s="250"/>
      <c r="X1056" s="254"/>
      <c r="Y1056" s="301"/>
      <c r="Z1056" s="258"/>
      <c r="AA1056" s="250"/>
      <c r="AB1056" s="301"/>
      <c r="AC1056" s="305"/>
      <c r="AD1056" s="262"/>
      <c r="AE1056" s="262"/>
      <c r="AF1056" s="283"/>
    </row>
    <row r="1057" spans="2:32" hidden="1">
      <c r="B1057" s="267"/>
      <c r="C1057" s="219"/>
      <c r="D1057" s="219"/>
      <c r="E1057" s="219"/>
      <c r="F1057" s="219"/>
      <c r="G1057" s="222"/>
      <c r="H1057" s="227"/>
      <c r="I1057" s="227"/>
      <c r="J1057" s="217"/>
      <c r="K1057" s="217"/>
      <c r="L1057" s="217"/>
      <c r="M1057" s="231"/>
      <c r="N1057" s="235"/>
      <c r="O1057" s="239"/>
      <c r="P1057" s="245"/>
      <c r="Q1057" s="246"/>
      <c r="R1057" s="302"/>
      <c r="S1057" s="251"/>
      <c r="T1057" s="302"/>
      <c r="U1057" s="251"/>
      <c r="V1057" s="302"/>
      <c r="W1057" s="251"/>
      <c r="X1057" s="255"/>
      <c r="Y1057" s="302"/>
      <c r="Z1057" s="259"/>
      <c r="AA1057" s="251"/>
      <c r="AB1057" s="302"/>
      <c r="AC1057" s="306"/>
      <c r="AD1057" s="261"/>
      <c r="AE1057" s="261"/>
      <c r="AF1057" s="282"/>
    </row>
    <row r="1058" spans="2:32" hidden="1">
      <c r="B1058" s="266"/>
      <c r="C1058" s="220"/>
      <c r="D1058" s="220"/>
      <c r="E1058" s="220"/>
      <c r="F1058" s="220"/>
      <c r="G1058" s="223"/>
      <c r="H1058" s="226"/>
      <c r="I1058" s="226"/>
      <c r="J1058" s="216"/>
      <c r="K1058" s="216"/>
      <c r="L1058" s="216"/>
      <c r="M1058" s="230"/>
      <c r="N1058" s="234"/>
      <c r="O1058" s="238"/>
      <c r="P1058" s="243"/>
      <c r="Q1058" s="244"/>
      <c r="R1058" s="301"/>
      <c r="S1058" s="250"/>
      <c r="T1058" s="301"/>
      <c r="U1058" s="250"/>
      <c r="V1058" s="301"/>
      <c r="W1058" s="250"/>
      <c r="X1058" s="254"/>
      <c r="Y1058" s="301"/>
      <c r="Z1058" s="258"/>
      <c r="AA1058" s="250"/>
      <c r="AB1058" s="301"/>
      <c r="AC1058" s="305"/>
      <c r="AD1058" s="262"/>
      <c r="AE1058" s="262"/>
      <c r="AF1058" s="283"/>
    </row>
    <row r="1059" spans="2:32" hidden="1">
      <c r="B1059" s="267"/>
      <c r="C1059" s="219"/>
      <c r="D1059" s="219"/>
      <c r="E1059" s="219"/>
      <c r="F1059" s="219"/>
      <c r="G1059" s="222"/>
      <c r="H1059" s="227"/>
      <c r="I1059" s="227"/>
      <c r="J1059" s="217"/>
      <c r="K1059" s="217"/>
      <c r="L1059" s="217"/>
      <c r="M1059" s="231"/>
      <c r="N1059" s="235"/>
      <c r="O1059" s="239"/>
      <c r="P1059" s="245"/>
      <c r="Q1059" s="246"/>
      <c r="R1059" s="302"/>
      <c r="S1059" s="251"/>
      <c r="T1059" s="302"/>
      <c r="U1059" s="251"/>
      <c r="V1059" s="302"/>
      <c r="W1059" s="251"/>
      <c r="X1059" s="255"/>
      <c r="Y1059" s="302"/>
      <c r="Z1059" s="259"/>
      <c r="AA1059" s="251"/>
      <c r="AB1059" s="302"/>
      <c r="AC1059" s="306"/>
      <c r="AD1059" s="261"/>
      <c r="AE1059" s="261"/>
      <c r="AF1059" s="282"/>
    </row>
    <row r="1060" spans="2:32" hidden="1">
      <c r="B1060" s="266"/>
      <c r="C1060" s="220"/>
      <c r="D1060" s="220"/>
      <c r="E1060" s="220"/>
      <c r="F1060" s="220"/>
      <c r="G1060" s="223"/>
      <c r="H1060" s="226"/>
      <c r="I1060" s="226"/>
      <c r="J1060" s="216"/>
      <c r="K1060" s="216"/>
      <c r="L1060" s="216"/>
      <c r="M1060" s="230"/>
      <c r="N1060" s="234"/>
      <c r="O1060" s="238"/>
      <c r="P1060" s="243"/>
      <c r="Q1060" s="244"/>
      <c r="R1060" s="301"/>
      <c r="S1060" s="250"/>
      <c r="T1060" s="301"/>
      <c r="U1060" s="250"/>
      <c r="V1060" s="301"/>
      <c r="W1060" s="250"/>
      <c r="X1060" s="254"/>
      <c r="Y1060" s="301"/>
      <c r="Z1060" s="258"/>
      <c r="AA1060" s="250"/>
      <c r="AB1060" s="301"/>
      <c r="AC1060" s="305"/>
      <c r="AD1060" s="262"/>
      <c r="AE1060" s="262"/>
      <c r="AF1060" s="283"/>
    </row>
    <row r="1061" spans="2:32" hidden="1">
      <c r="B1061" s="267"/>
      <c r="C1061" s="219"/>
      <c r="D1061" s="219"/>
      <c r="E1061" s="219"/>
      <c r="F1061" s="219"/>
      <c r="G1061" s="222"/>
      <c r="H1061" s="227"/>
      <c r="I1061" s="227"/>
      <c r="J1061" s="217"/>
      <c r="K1061" s="217"/>
      <c r="L1061" s="217"/>
      <c r="M1061" s="231"/>
      <c r="N1061" s="235"/>
      <c r="O1061" s="239"/>
      <c r="P1061" s="245"/>
      <c r="Q1061" s="246"/>
      <c r="R1061" s="302"/>
      <c r="S1061" s="251"/>
      <c r="T1061" s="302"/>
      <c r="U1061" s="251"/>
      <c r="V1061" s="302"/>
      <c r="W1061" s="251"/>
      <c r="X1061" s="255"/>
      <c r="Y1061" s="302"/>
      <c r="Z1061" s="259"/>
      <c r="AA1061" s="251"/>
      <c r="AB1061" s="302"/>
      <c r="AC1061" s="306"/>
      <c r="AD1061" s="261"/>
      <c r="AE1061" s="261"/>
      <c r="AF1061" s="282"/>
    </row>
    <row r="1062" spans="2:32" hidden="1">
      <c r="B1062" s="266"/>
      <c r="C1062" s="220"/>
      <c r="D1062" s="220"/>
      <c r="E1062" s="220"/>
      <c r="F1062" s="220"/>
      <c r="G1062" s="223"/>
      <c r="H1062" s="226"/>
      <c r="I1062" s="226"/>
      <c r="J1062" s="216"/>
      <c r="K1062" s="216"/>
      <c r="L1062" s="216"/>
      <c r="M1062" s="230"/>
      <c r="N1062" s="234"/>
      <c r="O1062" s="238"/>
      <c r="P1062" s="243"/>
      <c r="Q1062" s="244"/>
      <c r="R1062" s="301"/>
      <c r="S1062" s="250"/>
      <c r="T1062" s="301"/>
      <c r="U1062" s="250"/>
      <c r="V1062" s="301"/>
      <c r="W1062" s="250"/>
      <c r="X1062" s="254"/>
      <c r="Y1062" s="301"/>
      <c r="Z1062" s="258"/>
      <c r="AA1062" s="250"/>
      <c r="AB1062" s="301"/>
      <c r="AC1062" s="305"/>
      <c r="AD1062" s="262"/>
      <c r="AE1062" s="262"/>
      <c r="AF1062" s="283"/>
    </row>
    <row r="1063" spans="2:32" hidden="1">
      <c r="B1063" s="267"/>
      <c r="C1063" s="219"/>
      <c r="D1063" s="219"/>
      <c r="E1063" s="219"/>
      <c r="F1063" s="219"/>
      <c r="G1063" s="222"/>
      <c r="H1063" s="227"/>
      <c r="I1063" s="227"/>
      <c r="J1063" s="217"/>
      <c r="K1063" s="217"/>
      <c r="L1063" s="217"/>
      <c r="M1063" s="231"/>
      <c r="N1063" s="235"/>
      <c r="O1063" s="239"/>
      <c r="P1063" s="245"/>
      <c r="Q1063" s="246"/>
      <c r="R1063" s="302"/>
      <c r="S1063" s="251"/>
      <c r="T1063" s="302"/>
      <c r="U1063" s="251"/>
      <c r="V1063" s="302"/>
      <c r="W1063" s="251"/>
      <c r="X1063" s="255"/>
      <c r="Y1063" s="302"/>
      <c r="Z1063" s="259"/>
      <c r="AA1063" s="251"/>
      <c r="AB1063" s="302"/>
      <c r="AC1063" s="306"/>
      <c r="AD1063" s="261"/>
      <c r="AE1063" s="261"/>
      <c r="AF1063" s="282"/>
    </row>
    <row r="1064" spans="2:32" hidden="1">
      <c r="B1064" s="266"/>
      <c r="C1064" s="220"/>
      <c r="D1064" s="220"/>
      <c r="E1064" s="220"/>
      <c r="F1064" s="220"/>
      <c r="G1064" s="223"/>
      <c r="H1064" s="226"/>
      <c r="I1064" s="226"/>
      <c r="J1064" s="216"/>
      <c r="K1064" s="216"/>
      <c r="L1064" s="216"/>
      <c r="M1064" s="230"/>
      <c r="N1064" s="234"/>
      <c r="O1064" s="238"/>
      <c r="P1064" s="243"/>
      <c r="Q1064" s="244"/>
      <c r="R1064" s="301"/>
      <c r="S1064" s="250"/>
      <c r="T1064" s="301"/>
      <c r="U1064" s="250"/>
      <c r="V1064" s="301"/>
      <c r="W1064" s="250"/>
      <c r="X1064" s="254"/>
      <c r="Y1064" s="301"/>
      <c r="Z1064" s="258"/>
      <c r="AA1064" s="250"/>
      <c r="AB1064" s="301"/>
      <c r="AC1064" s="305"/>
      <c r="AD1064" s="262"/>
      <c r="AE1064" s="262"/>
      <c r="AF1064" s="283"/>
    </row>
    <row r="1065" spans="2:32" hidden="1">
      <c r="B1065" s="267"/>
      <c r="C1065" s="219"/>
      <c r="D1065" s="219"/>
      <c r="E1065" s="219"/>
      <c r="F1065" s="219"/>
      <c r="G1065" s="222"/>
      <c r="H1065" s="227"/>
      <c r="I1065" s="227"/>
      <c r="J1065" s="217"/>
      <c r="K1065" s="217"/>
      <c r="L1065" s="217"/>
      <c r="M1065" s="231"/>
      <c r="N1065" s="235"/>
      <c r="O1065" s="239"/>
      <c r="P1065" s="245"/>
      <c r="Q1065" s="246"/>
      <c r="R1065" s="302"/>
      <c r="S1065" s="251"/>
      <c r="T1065" s="302"/>
      <c r="U1065" s="251"/>
      <c r="V1065" s="302"/>
      <c r="W1065" s="251"/>
      <c r="X1065" s="255"/>
      <c r="Y1065" s="302"/>
      <c r="Z1065" s="259"/>
      <c r="AA1065" s="251"/>
      <c r="AB1065" s="302"/>
      <c r="AC1065" s="306"/>
      <c r="AD1065" s="261"/>
      <c r="AE1065" s="261"/>
      <c r="AF1065" s="282"/>
    </row>
    <row r="1066" spans="2:32" hidden="1">
      <c r="B1066" s="266"/>
      <c r="C1066" s="220"/>
      <c r="D1066" s="220"/>
      <c r="E1066" s="220"/>
      <c r="F1066" s="220"/>
      <c r="G1066" s="223"/>
      <c r="H1066" s="226"/>
      <c r="I1066" s="226"/>
      <c r="J1066" s="216"/>
      <c r="K1066" s="216"/>
      <c r="L1066" s="216"/>
      <c r="M1066" s="230"/>
      <c r="N1066" s="234"/>
      <c r="O1066" s="238"/>
      <c r="P1066" s="243"/>
      <c r="Q1066" s="244"/>
      <c r="R1066" s="301"/>
      <c r="S1066" s="250"/>
      <c r="T1066" s="301"/>
      <c r="U1066" s="250"/>
      <c r="V1066" s="301"/>
      <c r="W1066" s="250"/>
      <c r="X1066" s="254"/>
      <c r="Y1066" s="301"/>
      <c r="Z1066" s="258"/>
      <c r="AA1066" s="250"/>
      <c r="AB1066" s="301"/>
      <c r="AC1066" s="305"/>
      <c r="AD1066" s="262"/>
      <c r="AE1066" s="262"/>
      <c r="AF1066" s="283"/>
    </row>
    <row r="1067" spans="2:32" hidden="1">
      <c r="B1067" s="267"/>
      <c r="C1067" s="219"/>
      <c r="D1067" s="219"/>
      <c r="E1067" s="219"/>
      <c r="F1067" s="219"/>
      <c r="G1067" s="222"/>
      <c r="H1067" s="227"/>
      <c r="I1067" s="227"/>
      <c r="J1067" s="217"/>
      <c r="K1067" s="217"/>
      <c r="L1067" s="217"/>
      <c r="M1067" s="231"/>
      <c r="N1067" s="235"/>
      <c r="O1067" s="239"/>
      <c r="P1067" s="245"/>
      <c r="Q1067" s="246"/>
      <c r="R1067" s="302"/>
      <c r="S1067" s="251"/>
      <c r="T1067" s="302"/>
      <c r="U1067" s="251"/>
      <c r="V1067" s="302"/>
      <c r="W1067" s="251"/>
      <c r="X1067" s="255"/>
      <c r="Y1067" s="302"/>
      <c r="Z1067" s="259"/>
      <c r="AA1067" s="251"/>
      <c r="AB1067" s="302"/>
      <c r="AC1067" s="306"/>
      <c r="AD1067" s="261"/>
      <c r="AE1067" s="261"/>
      <c r="AF1067" s="282"/>
    </row>
    <row r="1068" spans="2:32" hidden="1">
      <c r="B1068" s="266"/>
      <c r="C1068" s="220"/>
      <c r="D1068" s="220"/>
      <c r="E1068" s="220"/>
      <c r="F1068" s="220"/>
      <c r="G1068" s="223"/>
      <c r="H1068" s="226"/>
      <c r="I1068" s="226"/>
      <c r="J1068" s="216"/>
      <c r="K1068" s="216"/>
      <c r="L1068" s="216"/>
      <c r="M1068" s="230"/>
      <c r="N1068" s="234"/>
      <c r="O1068" s="238"/>
      <c r="P1068" s="243"/>
      <c r="Q1068" s="244"/>
      <c r="R1068" s="301"/>
      <c r="S1068" s="250"/>
      <c r="T1068" s="301"/>
      <c r="U1068" s="250"/>
      <c r="V1068" s="301"/>
      <c r="W1068" s="250"/>
      <c r="X1068" s="254"/>
      <c r="Y1068" s="301"/>
      <c r="Z1068" s="258"/>
      <c r="AA1068" s="250"/>
      <c r="AB1068" s="301"/>
      <c r="AC1068" s="305"/>
      <c r="AD1068" s="262"/>
      <c r="AE1068" s="262"/>
      <c r="AF1068" s="283"/>
    </row>
    <row r="1069" spans="2:32" hidden="1">
      <c r="B1069" s="267"/>
      <c r="C1069" s="219"/>
      <c r="D1069" s="219"/>
      <c r="E1069" s="219"/>
      <c r="F1069" s="219"/>
      <c r="G1069" s="222"/>
      <c r="H1069" s="227"/>
      <c r="I1069" s="227"/>
      <c r="J1069" s="217"/>
      <c r="K1069" s="217"/>
      <c r="L1069" s="217"/>
      <c r="M1069" s="231"/>
      <c r="N1069" s="235"/>
      <c r="O1069" s="239"/>
      <c r="P1069" s="245"/>
      <c r="Q1069" s="246"/>
      <c r="R1069" s="302"/>
      <c r="S1069" s="251"/>
      <c r="T1069" s="302"/>
      <c r="U1069" s="251"/>
      <c r="V1069" s="302"/>
      <c r="W1069" s="251"/>
      <c r="X1069" s="255"/>
      <c r="Y1069" s="302"/>
      <c r="Z1069" s="259"/>
      <c r="AA1069" s="251"/>
      <c r="AB1069" s="302"/>
      <c r="AC1069" s="306"/>
      <c r="AD1069" s="261"/>
      <c r="AE1069" s="261"/>
      <c r="AF1069" s="282"/>
    </row>
    <row r="1070" spans="2:32" hidden="1">
      <c r="B1070" s="266"/>
      <c r="C1070" s="220"/>
      <c r="D1070" s="220"/>
      <c r="E1070" s="220"/>
      <c r="F1070" s="220"/>
      <c r="G1070" s="223"/>
      <c r="H1070" s="226"/>
      <c r="I1070" s="226"/>
      <c r="J1070" s="216"/>
      <c r="K1070" s="216"/>
      <c r="L1070" s="216"/>
      <c r="M1070" s="230"/>
      <c r="N1070" s="234"/>
      <c r="O1070" s="238"/>
      <c r="P1070" s="243"/>
      <c r="Q1070" s="244"/>
      <c r="R1070" s="301"/>
      <c r="S1070" s="250"/>
      <c r="T1070" s="301"/>
      <c r="U1070" s="250"/>
      <c r="V1070" s="301"/>
      <c r="W1070" s="250"/>
      <c r="X1070" s="254"/>
      <c r="Y1070" s="301"/>
      <c r="Z1070" s="258"/>
      <c r="AA1070" s="250"/>
      <c r="AB1070" s="301"/>
      <c r="AC1070" s="305"/>
      <c r="AD1070" s="262"/>
      <c r="AE1070" s="262"/>
      <c r="AF1070" s="283"/>
    </row>
    <row r="1071" spans="2:32" hidden="1">
      <c r="B1071" s="267"/>
      <c r="C1071" s="219"/>
      <c r="D1071" s="219"/>
      <c r="E1071" s="219"/>
      <c r="F1071" s="219"/>
      <c r="G1071" s="222"/>
      <c r="H1071" s="227"/>
      <c r="I1071" s="227"/>
      <c r="J1071" s="217"/>
      <c r="K1071" s="217"/>
      <c r="L1071" s="217"/>
      <c r="M1071" s="231"/>
      <c r="N1071" s="235"/>
      <c r="O1071" s="239"/>
      <c r="P1071" s="245"/>
      <c r="Q1071" s="246"/>
      <c r="R1071" s="302"/>
      <c r="S1071" s="251"/>
      <c r="T1071" s="302"/>
      <c r="U1071" s="251"/>
      <c r="V1071" s="302"/>
      <c r="W1071" s="251"/>
      <c r="X1071" s="255"/>
      <c r="Y1071" s="302"/>
      <c r="Z1071" s="259"/>
      <c r="AA1071" s="251"/>
      <c r="AB1071" s="302"/>
      <c r="AC1071" s="306"/>
      <c r="AD1071" s="261"/>
      <c r="AE1071" s="261"/>
      <c r="AF1071" s="282"/>
    </row>
    <row r="1072" spans="2:32" hidden="1">
      <c r="B1072" s="266"/>
      <c r="C1072" s="220"/>
      <c r="D1072" s="220"/>
      <c r="E1072" s="220"/>
      <c r="F1072" s="220"/>
      <c r="G1072" s="223"/>
      <c r="H1072" s="226"/>
      <c r="I1072" s="226"/>
      <c r="J1072" s="216"/>
      <c r="K1072" s="216"/>
      <c r="L1072" s="216"/>
      <c r="M1072" s="230"/>
      <c r="N1072" s="234"/>
      <c r="O1072" s="238"/>
      <c r="P1072" s="243"/>
      <c r="Q1072" s="244"/>
      <c r="R1072" s="301"/>
      <c r="S1072" s="250"/>
      <c r="T1072" s="301"/>
      <c r="U1072" s="250"/>
      <c r="V1072" s="301"/>
      <c r="W1072" s="250"/>
      <c r="X1072" s="254"/>
      <c r="Y1072" s="301"/>
      <c r="Z1072" s="258"/>
      <c r="AA1072" s="250"/>
      <c r="AB1072" s="301"/>
      <c r="AC1072" s="305"/>
      <c r="AD1072" s="262"/>
      <c r="AE1072" s="262"/>
      <c r="AF1072" s="283"/>
    </row>
    <row r="1073" spans="2:32" hidden="1">
      <c r="B1073" s="267"/>
      <c r="C1073" s="219"/>
      <c r="D1073" s="219"/>
      <c r="E1073" s="219"/>
      <c r="F1073" s="219"/>
      <c r="G1073" s="222"/>
      <c r="H1073" s="227"/>
      <c r="I1073" s="227"/>
      <c r="J1073" s="217"/>
      <c r="K1073" s="217"/>
      <c r="L1073" s="217"/>
      <c r="M1073" s="231"/>
      <c r="N1073" s="235"/>
      <c r="O1073" s="239"/>
      <c r="P1073" s="245"/>
      <c r="Q1073" s="246"/>
      <c r="R1073" s="302"/>
      <c r="S1073" s="251"/>
      <c r="T1073" s="302"/>
      <c r="U1073" s="251"/>
      <c r="V1073" s="302"/>
      <c r="W1073" s="251"/>
      <c r="X1073" s="255"/>
      <c r="Y1073" s="302"/>
      <c r="Z1073" s="259"/>
      <c r="AA1073" s="251"/>
      <c r="AB1073" s="302"/>
      <c r="AC1073" s="306"/>
      <c r="AD1073" s="261"/>
      <c r="AE1073" s="261"/>
      <c r="AF1073" s="282"/>
    </row>
    <row r="1074" spans="2:32" hidden="1">
      <c r="B1074" s="266"/>
      <c r="C1074" s="220"/>
      <c r="D1074" s="220"/>
      <c r="E1074" s="220"/>
      <c r="F1074" s="220"/>
      <c r="G1074" s="223"/>
      <c r="H1074" s="226"/>
      <c r="I1074" s="226"/>
      <c r="J1074" s="216"/>
      <c r="K1074" s="216"/>
      <c r="L1074" s="216"/>
      <c r="M1074" s="230"/>
      <c r="N1074" s="234"/>
      <c r="O1074" s="238"/>
      <c r="P1074" s="243"/>
      <c r="Q1074" s="244"/>
      <c r="R1074" s="301"/>
      <c r="S1074" s="250"/>
      <c r="T1074" s="301"/>
      <c r="U1074" s="250"/>
      <c r="V1074" s="301"/>
      <c r="W1074" s="250"/>
      <c r="X1074" s="254"/>
      <c r="Y1074" s="301"/>
      <c r="Z1074" s="258"/>
      <c r="AA1074" s="250"/>
      <c r="AB1074" s="301"/>
      <c r="AC1074" s="305"/>
      <c r="AD1074" s="262"/>
      <c r="AE1074" s="262"/>
      <c r="AF1074" s="283"/>
    </row>
    <row r="1075" spans="2:32" hidden="1">
      <c r="B1075" s="267"/>
      <c r="C1075" s="219"/>
      <c r="D1075" s="219"/>
      <c r="E1075" s="219"/>
      <c r="F1075" s="219"/>
      <c r="G1075" s="222"/>
      <c r="H1075" s="227"/>
      <c r="I1075" s="227"/>
      <c r="J1075" s="217"/>
      <c r="K1075" s="217"/>
      <c r="L1075" s="217"/>
      <c r="M1075" s="231"/>
      <c r="N1075" s="235"/>
      <c r="O1075" s="239"/>
      <c r="P1075" s="245"/>
      <c r="Q1075" s="246"/>
      <c r="R1075" s="302"/>
      <c r="S1075" s="251"/>
      <c r="T1075" s="302"/>
      <c r="U1075" s="251"/>
      <c r="V1075" s="302"/>
      <c r="W1075" s="251"/>
      <c r="X1075" s="255"/>
      <c r="Y1075" s="302"/>
      <c r="Z1075" s="259"/>
      <c r="AA1075" s="251"/>
      <c r="AB1075" s="302"/>
      <c r="AC1075" s="306"/>
      <c r="AD1075" s="261"/>
      <c r="AE1075" s="261"/>
      <c r="AF1075" s="282"/>
    </row>
    <row r="1076" spans="2:32" hidden="1">
      <c r="B1076" s="266"/>
      <c r="C1076" s="220"/>
      <c r="D1076" s="220"/>
      <c r="E1076" s="220"/>
      <c r="F1076" s="220"/>
      <c r="G1076" s="223"/>
      <c r="H1076" s="226"/>
      <c r="I1076" s="226"/>
      <c r="J1076" s="216"/>
      <c r="K1076" s="216"/>
      <c r="L1076" s="216"/>
      <c r="M1076" s="230"/>
      <c r="N1076" s="234"/>
      <c r="O1076" s="238"/>
      <c r="P1076" s="243"/>
      <c r="Q1076" s="244"/>
      <c r="R1076" s="301"/>
      <c r="S1076" s="250"/>
      <c r="T1076" s="301"/>
      <c r="U1076" s="250"/>
      <c r="V1076" s="301"/>
      <c r="W1076" s="250"/>
      <c r="X1076" s="254"/>
      <c r="Y1076" s="301"/>
      <c r="Z1076" s="258"/>
      <c r="AA1076" s="250"/>
      <c r="AB1076" s="301"/>
      <c r="AC1076" s="305"/>
      <c r="AD1076" s="262"/>
      <c r="AE1076" s="262"/>
      <c r="AF1076" s="283"/>
    </row>
    <row r="1077" spans="2:32" hidden="1">
      <c r="B1077" s="267"/>
      <c r="C1077" s="219"/>
      <c r="D1077" s="219"/>
      <c r="E1077" s="219"/>
      <c r="F1077" s="219"/>
      <c r="G1077" s="222"/>
      <c r="H1077" s="227"/>
      <c r="I1077" s="227"/>
      <c r="J1077" s="217"/>
      <c r="K1077" s="217"/>
      <c r="L1077" s="217"/>
      <c r="M1077" s="231"/>
      <c r="N1077" s="235"/>
      <c r="O1077" s="239"/>
      <c r="P1077" s="245"/>
      <c r="Q1077" s="246"/>
      <c r="R1077" s="302"/>
      <c r="S1077" s="251"/>
      <c r="T1077" s="302"/>
      <c r="U1077" s="251"/>
      <c r="V1077" s="302"/>
      <c r="W1077" s="251"/>
      <c r="X1077" s="255"/>
      <c r="Y1077" s="302"/>
      <c r="Z1077" s="259"/>
      <c r="AA1077" s="251"/>
      <c r="AB1077" s="302"/>
      <c r="AC1077" s="306"/>
      <c r="AD1077" s="261"/>
      <c r="AE1077" s="261"/>
      <c r="AF1077" s="282"/>
    </row>
    <row r="1078" spans="2:32" hidden="1">
      <c r="B1078" s="266"/>
      <c r="C1078" s="220"/>
      <c r="D1078" s="220"/>
      <c r="E1078" s="220"/>
      <c r="F1078" s="220"/>
      <c r="G1078" s="223"/>
      <c r="H1078" s="226"/>
      <c r="I1078" s="226"/>
      <c r="J1078" s="216"/>
      <c r="K1078" s="216"/>
      <c r="L1078" s="216"/>
      <c r="M1078" s="230"/>
      <c r="N1078" s="234"/>
      <c r="O1078" s="238"/>
      <c r="P1078" s="243"/>
      <c r="Q1078" s="244"/>
      <c r="R1078" s="301"/>
      <c r="S1078" s="250"/>
      <c r="T1078" s="301"/>
      <c r="U1078" s="250"/>
      <c r="V1078" s="301"/>
      <c r="W1078" s="250"/>
      <c r="X1078" s="254"/>
      <c r="Y1078" s="301"/>
      <c r="Z1078" s="258"/>
      <c r="AA1078" s="250"/>
      <c r="AB1078" s="301"/>
      <c r="AC1078" s="305"/>
      <c r="AD1078" s="262"/>
      <c r="AE1078" s="262"/>
      <c r="AF1078" s="283"/>
    </row>
    <row r="1079" spans="2:32" hidden="1">
      <c r="B1079" s="267"/>
      <c r="C1079" s="219"/>
      <c r="D1079" s="219"/>
      <c r="E1079" s="219"/>
      <c r="F1079" s="219"/>
      <c r="G1079" s="222"/>
      <c r="H1079" s="227"/>
      <c r="I1079" s="227"/>
      <c r="J1079" s="217"/>
      <c r="K1079" s="217"/>
      <c r="L1079" s="217"/>
      <c r="M1079" s="231"/>
      <c r="N1079" s="235"/>
      <c r="O1079" s="239"/>
      <c r="P1079" s="245"/>
      <c r="Q1079" s="246"/>
      <c r="R1079" s="302"/>
      <c r="S1079" s="251"/>
      <c r="T1079" s="302"/>
      <c r="U1079" s="251"/>
      <c r="V1079" s="302"/>
      <c r="W1079" s="251"/>
      <c r="X1079" s="255"/>
      <c r="Y1079" s="302"/>
      <c r="Z1079" s="259"/>
      <c r="AA1079" s="251"/>
      <c r="AB1079" s="302"/>
      <c r="AC1079" s="306"/>
      <c r="AD1079" s="261"/>
      <c r="AE1079" s="261"/>
      <c r="AF1079" s="282"/>
    </row>
    <row r="1080" spans="2:32" hidden="1">
      <c r="B1080" s="266"/>
      <c r="C1080" s="220"/>
      <c r="D1080" s="220"/>
      <c r="E1080" s="220"/>
      <c r="F1080" s="220"/>
      <c r="G1080" s="223"/>
      <c r="H1080" s="226"/>
      <c r="I1080" s="226"/>
      <c r="J1080" s="216"/>
      <c r="K1080" s="216"/>
      <c r="L1080" s="216"/>
      <c r="M1080" s="230"/>
      <c r="N1080" s="234"/>
      <c r="O1080" s="238"/>
      <c r="P1080" s="243"/>
      <c r="Q1080" s="244"/>
      <c r="R1080" s="301"/>
      <c r="S1080" s="250"/>
      <c r="T1080" s="301"/>
      <c r="U1080" s="250"/>
      <c r="V1080" s="301"/>
      <c r="W1080" s="250"/>
      <c r="X1080" s="254"/>
      <c r="Y1080" s="301"/>
      <c r="Z1080" s="258"/>
      <c r="AA1080" s="250"/>
      <c r="AB1080" s="301"/>
      <c r="AC1080" s="305"/>
      <c r="AD1080" s="262"/>
      <c r="AE1080" s="262"/>
      <c r="AF1080" s="283"/>
    </row>
    <row r="1081" spans="2:32" hidden="1">
      <c r="B1081" s="267"/>
      <c r="C1081" s="219"/>
      <c r="D1081" s="219"/>
      <c r="E1081" s="219"/>
      <c r="F1081" s="219"/>
      <c r="G1081" s="222"/>
      <c r="H1081" s="227"/>
      <c r="I1081" s="227"/>
      <c r="J1081" s="217"/>
      <c r="K1081" s="217"/>
      <c r="L1081" s="217"/>
      <c r="M1081" s="231"/>
      <c r="N1081" s="235"/>
      <c r="O1081" s="239"/>
      <c r="P1081" s="245"/>
      <c r="Q1081" s="246"/>
      <c r="R1081" s="302"/>
      <c r="S1081" s="251"/>
      <c r="T1081" s="302"/>
      <c r="U1081" s="251"/>
      <c r="V1081" s="302"/>
      <c r="W1081" s="251"/>
      <c r="X1081" s="255"/>
      <c r="Y1081" s="302"/>
      <c r="Z1081" s="259"/>
      <c r="AA1081" s="251"/>
      <c r="AB1081" s="302"/>
      <c r="AC1081" s="306"/>
      <c r="AD1081" s="261"/>
      <c r="AE1081" s="261"/>
      <c r="AF1081" s="282"/>
    </row>
    <row r="1082" spans="2:32" hidden="1">
      <c r="B1082" s="266"/>
      <c r="C1082" s="220"/>
      <c r="D1082" s="220"/>
      <c r="E1082" s="220"/>
      <c r="F1082" s="220"/>
      <c r="G1082" s="223"/>
      <c r="H1082" s="226"/>
      <c r="I1082" s="226"/>
      <c r="J1082" s="216"/>
      <c r="K1082" s="216"/>
      <c r="L1082" s="216"/>
      <c r="M1082" s="230"/>
      <c r="N1082" s="234"/>
      <c r="O1082" s="238"/>
      <c r="P1082" s="243"/>
      <c r="Q1082" s="244"/>
      <c r="R1082" s="301"/>
      <c r="S1082" s="250"/>
      <c r="T1082" s="301"/>
      <c r="U1082" s="250"/>
      <c r="V1082" s="301"/>
      <c r="W1082" s="250"/>
      <c r="X1082" s="254"/>
      <c r="Y1082" s="301"/>
      <c r="Z1082" s="258"/>
      <c r="AA1082" s="250"/>
      <c r="AB1082" s="301"/>
      <c r="AC1082" s="305"/>
      <c r="AD1082" s="262"/>
      <c r="AE1082" s="262"/>
      <c r="AF1082" s="283"/>
    </row>
    <row r="1083" spans="2:32" hidden="1">
      <c r="B1083" s="267"/>
      <c r="C1083" s="219"/>
      <c r="D1083" s="219"/>
      <c r="E1083" s="219"/>
      <c r="F1083" s="219"/>
      <c r="G1083" s="222"/>
      <c r="H1083" s="227"/>
      <c r="I1083" s="227"/>
      <c r="J1083" s="217"/>
      <c r="K1083" s="217"/>
      <c r="L1083" s="217"/>
      <c r="M1083" s="231"/>
      <c r="N1083" s="235"/>
      <c r="O1083" s="239"/>
      <c r="P1083" s="245"/>
      <c r="Q1083" s="246"/>
      <c r="R1083" s="302"/>
      <c r="S1083" s="251"/>
      <c r="T1083" s="302"/>
      <c r="U1083" s="251"/>
      <c r="V1083" s="302"/>
      <c r="W1083" s="251"/>
      <c r="X1083" s="255"/>
      <c r="Y1083" s="302"/>
      <c r="Z1083" s="259"/>
      <c r="AA1083" s="251"/>
      <c r="AB1083" s="302"/>
      <c r="AC1083" s="306"/>
      <c r="AD1083" s="261"/>
      <c r="AE1083" s="261"/>
      <c r="AF1083" s="282"/>
    </row>
    <row r="1084" spans="2:32" hidden="1">
      <c r="B1084" s="266"/>
      <c r="C1084" s="220"/>
      <c r="D1084" s="220"/>
      <c r="E1084" s="220"/>
      <c r="F1084" s="220"/>
      <c r="G1084" s="223"/>
      <c r="H1084" s="226"/>
      <c r="I1084" s="226"/>
      <c r="J1084" s="216"/>
      <c r="K1084" s="216"/>
      <c r="L1084" s="216"/>
      <c r="M1084" s="230"/>
      <c r="N1084" s="234"/>
      <c r="O1084" s="238"/>
      <c r="P1084" s="243"/>
      <c r="Q1084" s="244"/>
      <c r="R1084" s="301"/>
      <c r="S1084" s="250"/>
      <c r="T1084" s="301"/>
      <c r="U1084" s="250"/>
      <c r="V1084" s="301"/>
      <c r="W1084" s="250"/>
      <c r="X1084" s="254"/>
      <c r="Y1084" s="301"/>
      <c r="Z1084" s="258"/>
      <c r="AA1084" s="250"/>
      <c r="AB1084" s="301"/>
      <c r="AC1084" s="305"/>
      <c r="AD1084" s="262"/>
      <c r="AE1084" s="262"/>
      <c r="AF1084" s="283"/>
    </row>
    <row r="1085" spans="2:32" hidden="1">
      <c r="B1085" s="267"/>
      <c r="C1085" s="219"/>
      <c r="D1085" s="219"/>
      <c r="E1085" s="219"/>
      <c r="F1085" s="219"/>
      <c r="G1085" s="222"/>
      <c r="H1085" s="227"/>
      <c r="I1085" s="227"/>
      <c r="J1085" s="217"/>
      <c r="K1085" s="217"/>
      <c r="L1085" s="217"/>
      <c r="M1085" s="231"/>
      <c r="N1085" s="235"/>
      <c r="O1085" s="239"/>
      <c r="P1085" s="245"/>
      <c r="Q1085" s="246"/>
      <c r="R1085" s="302"/>
      <c r="S1085" s="251"/>
      <c r="T1085" s="302"/>
      <c r="U1085" s="251"/>
      <c r="V1085" s="302"/>
      <c r="W1085" s="251"/>
      <c r="X1085" s="255"/>
      <c r="Y1085" s="302"/>
      <c r="Z1085" s="259"/>
      <c r="AA1085" s="251"/>
      <c r="AB1085" s="302"/>
      <c r="AC1085" s="306"/>
      <c r="AD1085" s="261"/>
      <c r="AE1085" s="261"/>
      <c r="AF1085" s="282"/>
    </row>
    <row r="1086" spans="2:32" hidden="1">
      <c r="B1086" s="266"/>
      <c r="C1086" s="220"/>
      <c r="D1086" s="220"/>
      <c r="E1086" s="220"/>
      <c r="F1086" s="220"/>
      <c r="G1086" s="223"/>
      <c r="H1086" s="226"/>
      <c r="I1086" s="226"/>
      <c r="J1086" s="216"/>
      <c r="K1086" s="216"/>
      <c r="L1086" s="216"/>
      <c r="M1086" s="230"/>
      <c r="N1086" s="234"/>
      <c r="O1086" s="238"/>
      <c r="P1086" s="243"/>
      <c r="Q1086" s="244"/>
      <c r="R1086" s="301"/>
      <c r="S1086" s="250"/>
      <c r="T1086" s="301"/>
      <c r="U1086" s="250"/>
      <c r="V1086" s="301"/>
      <c r="W1086" s="250"/>
      <c r="X1086" s="254"/>
      <c r="Y1086" s="301"/>
      <c r="Z1086" s="258"/>
      <c r="AA1086" s="250"/>
      <c r="AB1086" s="301"/>
      <c r="AC1086" s="305"/>
      <c r="AD1086" s="262"/>
      <c r="AE1086" s="262"/>
      <c r="AF1086" s="283"/>
    </row>
    <row r="1087" spans="2:32" hidden="1">
      <c r="B1087" s="267"/>
      <c r="C1087" s="219"/>
      <c r="D1087" s="219"/>
      <c r="E1087" s="219"/>
      <c r="F1087" s="219"/>
      <c r="G1087" s="222"/>
      <c r="H1087" s="227"/>
      <c r="I1087" s="227"/>
      <c r="J1087" s="217"/>
      <c r="K1087" s="217"/>
      <c r="L1087" s="217"/>
      <c r="M1087" s="231"/>
      <c r="N1087" s="235"/>
      <c r="O1087" s="239"/>
      <c r="P1087" s="245"/>
      <c r="Q1087" s="246"/>
      <c r="R1087" s="302"/>
      <c r="S1087" s="251"/>
      <c r="T1087" s="302"/>
      <c r="U1087" s="251"/>
      <c r="V1087" s="302"/>
      <c r="W1087" s="251"/>
      <c r="X1087" s="255"/>
      <c r="Y1087" s="302"/>
      <c r="Z1087" s="259"/>
      <c r="AA1087" s="251"/>
      <c r="AB1087" s="302"/>
      <c r="AC1087" s="306"/>
      <c r="AD1087" s="261"/>
      <c r="AE1087" s="261"/>
      <c r="AF1087" s="282"/>
    </row>
    <row r="1088" spans="2:32" hidden="1">
      <c r="B1088" s="266"/>
      <c r="C1088" s="220"/>
      <c r="D1088" s="220"/>
      <c r="E1088" s="220"/>
      <c r="F1088" s="220"/>
      <c r="G1088" s="223"/>
      <c r="H1088" s="226"/>
      <c r="I1088" s="226"/>
      <c r="J1088" s="216"/>
      <c r="K1088" s="216"/>
      <c r="L1088" s="216"/>
      <c r="M1088" s="230"/>
      <c r="N1088" s="234"/>
      <c r="O1088" s="238"/>
      <c r="P1088" s="243"/>
      <c r="Q1088" s="244"/>
      <c r="R1088" s="301"/>
      <c r="S1088" s="250"/>
      <c r="T1088" s="301"/>
      <c r="U1088" s="250"/>
      <c r="V1088" s="301"/>
      <c r="W1088" s="250"/>
      <c r="X1088" s="254"/>
      <c r="Y1088" s="301"/>
      <c r="Z1088" s="258"/>
      <c r="AA1088" s="250"/>
      <c r="AB1088" s="301"/>
      <c r="AC1088" s="305"/>
      <c r="AD1088" s="262"/>
      <c r="AE1088" s="262"/>
      <c r="AF1088" s="283"/>
    </row>
    <row r="1089" spans="2:32" hidden="1">
      <c r="B1089" s="267"/>
      <c r="C1089" s="219"/>
      <c r="D1089" s="219"/>
      <c r="E1089" s="219"/>
      <c r="F1089" s="219"/>
      <c r="G1089" s="222"/>
      <c r="H1089" s="227"/>
      <c r="I1089" s="227"/>
      <c r="J1089" s="217"/>
      <c r="K1089" s="217"/>
      <c r="L1089" s="217"/>
      <c r="M1089" s="231"/>
      <c r="N1089" s="235"/>
      <c r="O1089" s="239"/>
      <c r="P1089" s="245"/>
      <c r="Q1089" s="246"/>
      <c r="R1089" s="302"/>
      <c r="S1089" s="251"/>
      <c r="T1089" s="302"/>
      <c r="U1089" s="251"/>
      <c r="V1089" s="302"/>
      <c r="W1089" s="251"/>
      <c r="X1089" s="255"/>
      <c r="Y1089" s="302"/>
      <c r="Z1089" s="259"/>
      <c r="AA1089" s="251"/>
      <c r="AB1089" s="302"/>
      <c r="AC1089" s="306"/>
      <c r="AD1089" s="261"/>
      <c r="AE1089" s="261"/>
      <c r="AF1089" s="282"/>
    </row>
    <row r="1090" spans="2:32" hidden="1">
      <c r="B1090" s="266"/>
      <c r="C1090" s="220"/>
      <c r="D1090" s="220"/>
      <c r="E1090" s="220"/>
      <c r="F1090" s="220"/>
      <c r="G1090" s="223"/>
      <c r="H1090" s="226"/>
      <c r="I1090" s="226"/>
      <c r="J1090" s="216"/>
      <c r="K1090" s="216"/>
      <c r="L1090" s="216"/>
      <c r="M1090" s="230"/>
      <c r="N1090" s="234"/>
      <c r="O1090" s="238"/>
      <c r="P1090" s="243"/>
      <c r="Q1090" s="244"/>
      <c r="R1090" s="301"/>
      <c r="S1090" s="250"/>
      <c r="T1090" s="301"/>
      <c r="U1090" s="250"/>
      <c r="V1090" s="301"/>
      <c r="W1090" s="250"/>
      <c r="X1090" s="254"/>
      <c r="Y1090" s="301"/>
      <c r="Z1090" s="258"/>
      <c r="AA1090" s="250"/>
      <c r="AB1090" s="301"/>
      <c r="AC1090" s="305"/>
      <c r="AD1090" s="262"/>
      <c r="AE1090" s="262"/>
      <c r="AF1090" s="283"/>
    </row>
    <row r="1091" spans="2:32" hidden="1">
      <c r="B1091" s="267"/>
      <c r="C1091" s="219"/>
      <c r="D1091" s="219"/>
      <c r="E1091" s="219"/>
      <c r="F1091" s="219"/>
      <c r="G1091" s="222"/>
      <c r="H1091" s="227"/>
      <c r="I1091" s="227"/>
      <c r="J1091" s="217"/>
      <c r="K1091" s="217"/>
      <c r="L1091" s="217"/>
      <c r="M1091" s="231"/>
      <c r="N1091" s="235"/>
      <c r="O1091" s="239"/>
      <c r="P1091" s="245"/>
      <c r="Q1091" s="246"/>
      <c r="R1091" s="302"/>
      <c r="S1091" s="251"/>
      <c r="T1091" s="302"/>
      <c r="U1091" s="251"/>
      <c r="V1091" s="302"/>
      <c r="W1091" s="251"/>
      <c r="X1091" s="255"/>
      <c r="Y1091" s="302"/>
      <c r="Z1091" s="259"/>
      <c r="AA1091" s="251"/>
      <c r="AB1091" s="302"/>
      <c r="AC1091" s="306"/>
      <c r="AD1091" s="261"/>
      <c r="AE1091" s="261"/>
      <c r="AF1091" s="282"/>
    </row>
    <row r="1092" spans="2:32" hidden="1">
      <c r="B1092" s="266"/>
      <c r="C1092" s="220"/>
      <c r="D1092" s="220"/>
      <c r="E1092" s="220"/>
      <c r="F1092" s="220"/>
      <c r="G1092" s="223"/>
      <c r="H1092" s="226"/>
      <c r="I1092" s="226"/>
      <c r="J1092" s="216"/>
      <c r="K1092" s="216"/>
      <c r="L1092" s="216"/>
      <c r="M1092" s="230"/>
      <c r="N1092" s="234"/>
      <c r="O1092" s="238"/>
      <c r="P1092" s="243"/>
      <c r="Q1092" s="244"/>
      <c r="R1092" s="301"/>
      <c r="S1092" s="250"/>
      <c r="T1092" s="301"/>
      <c r="U1092" s="250"/>
      <c r="V1092" s="301"/>
      <c r="W1092" s="250"/>
      <c r="X1092" s="254"/>
      <c r="Y1092" s="301"/>
      <c r="Z1092" s="258"/>
      <c r="AA1092" s="250"/>
      <c r="AB1092" s="301"/>
      <c r="AC1092" s="305"/>
      <c r="AD1092" s="262"/>
      <c r="AE1092" s="262"/>
      <c r="AF1092" s="283"/>
    </row>
    <row r="1093" spans="2:32" hidden="1">
      <c r="B1093" s="267"/>
      <c r="C1093" s="219"/>
      <c r="D1093" s="219"/>
      <c r="E1093" s="219"/>
      <c r="F1093" s="219"/>
      <c r="G1093" s="222"/>
      <c r="H1093" s="227"/>
      <c r="I1093" s="227"/>
      <c r="J1093" s="217"/>
      <c r="K1093" s="217"/>
      <c r="L1093" s="217"/>
      <c r="M1093" s="231"/>
      <c r="N1093" s="235"/>
      <c r="O1093" s="239"/>
      <c r="P1093" s="245"/>
      <c r="Q1093" s="246"/>
      <c r="R1093" s="302"/>
      <c r="S1093" s="251"/>
      <c r="T1093" s="302"/>
      <c r="U1093" s="251"/>
      <c r="V1093" s="302"/>
      <c r="W1093" s="251"/>
      <c r="X1093" s="255"/>
      <c r="Y1093" s="302"/>
      <c r="Z1093" s="259"/>
      <c r="AA1093" s="251"/>
      <c r="AB1093" s="302"/>
      <c r="AC1093" s="306"/>
      <c r="AD1093" s="261"/>
      <c r="AE1093" s="261"/>
      <c r="AF1093" s="282"/>
    </row>
    <row r="1094" spans="2:32" hidden="1">
      <c r="B1094" s="266"/>
      <c r="C1094" s="220"/>
      <c r="D1094" s="220"/>
      <c r="E1094" s="220"/>
      <c r="F1094" s="220"/>
      <c r="G1094" s="223"/>
      <c r="H1094" s="226"/>
      <c r="I1094" s="226"/>
      <c r="J1094" s="216"/>
      <c r="K1094" s="216"/>
      <c r="L1094" s="216"/>
      <c r="M1094" s="230"/>
      <c r="N1094" s="234"/>
      <c r="O1094" s="238"/>
      <c r="P1094" s="243"/>
      <c r="Q1094" s="244"/>
      <c r="R1094" s="301"/>
      <c r="S1094" s="250"/>
      <c r="T1094" s="301"/>
      <c r="U1094" s="250"/>
      <c r="V1094" s="301"/>
      <c r="W1094" s="250"/>
      <c r="X1094" s="254"/>
      <c r="Y1094" s="301"/>
      <c r="Z1094" s="258"/>
      <c r="AA1094" s="250"/>
      <c r="AB1094" s="301"/>
      <c r="AC1094" s="305"/>
      <c r="AD1094" s="262"/>
      <c r="AE1094" s="262"/>
      <c r="AF1094" s="283"/>
    </row>
    <row r="1095" spans="2:32" hidden="1">
      <c r="B1095" s="267"/>
      <c r="C1095" s="219"/>
      <c r="D1095" s="219"/>
      <c r="E1095" s="219"/>
      <c r="F1095" s="219"/>
      <c r="G1095" s="222"/>
      <c r="H1095" s="227"/>
      <c r="I1095" s="227"/>
      <c r="J1095" s="217"/>
      <c r="K1095" s="217"/>
      <c r="L1095" s="217"/>
      <c r="M1095" s="231"/>
      <c r="N1095" s="235"/>
      <c r="O1095" s="239"/>
      <c r="P1095" s="245"/>
      <c r="Q1095" s="246"/>
      <c r="R1095" s="302"/>
      <c r="S1095" s="251"/>
      <c r="T1095" s="302"/>
      <c r="U1095" s="251"/>
      <c r="V1095" s="302"/>
      <c r="W1095" s="251"/>
      <c r="X1095" s="255"/>
      <c r="Y1095" s="302"/>
      <c r="Z1095" s="259"/>
      <c r="AA1095" s="251"/>
      <c r="AB1095" s="302"/>
      <c r="AC1095" s="306"/>
      <c r="AD1095" s="261"/>
      <c r="AE1095" s="261"/>
      <c r="AF1095" s="282"/>
    </row>
    <row r="1096" spans="2:32" hidden="1">
      <c r="B1096" s="266"/>
      <c r="C1096" s="220"/>
      <c r="D1096" s="220"/>
      <c r="E1096" s="220"/>
      <c r="F1096" s="220"/>
      <c r="G1096" s="223"/>
      <c r="H1096" s="226"/>
      <c r="I1096" s="226"/>
      <c r="J1096" s="216"/>
      <c r="K1096" s="216"/>
      <c r="L1096" s="216"/>
      <c r="M1096" s="230"/>
      <c r="N1096" s="234"/>
      <c r="O1096" s="238"/>
      <c r="P1096" s="243"/>
      <c r="Q1096" s="244"/>
      <c r="R1096" s="301"/>
      <c r="S1096" s="250"/>
      <c r="T1096" s="301"/>
      <c r="U1096" s="250"/>
      <c r="V1096" s="301"/>
      <c r="W1096" s="250"/>
      <c r="X1096" s="254"/>
      <c r="Y1096" s="301"/>
      <c r="Z1096" s="258"/>
      <c r="AA1096" s="250"/>
      <c r="AB1096" s="301"/>
      <c r="AC1096" s="305"/>
      <c r="AD1096" s="262"/>
      <c r="AE1096" s="262"/>
      <c r="AF1096" s="283"/>
    </row>
    <row r="1097" spans="2:32" hidden="1">
      <c r="B1097" s="267"/>
      <c r="C1097" s="219"/>
      <c r="D1097" s="219"/>
      <c r="E1097" s="219"/>
      <c r="F1097" s="219"/>
      <c r="G1097" s="222"/>
      <c r="H1097" s="227"/>
      <c r="I1097" s="227"/>
      <c r="J1097" s="217"/>
      <c r="K1097" s="217"/>
      <c r="L1097" s="217"/>
      <c r="M1097" s="231"/>
      <c r="N1097" s="235"/>
      <c r="O1097" s="239"/>
      <c r="P1097" s="245"/>
      <c r="Q1097" s="246"/>
      <c r="R1097" s="302"/>
      <c r="S1097" s="251"/>
      <c r="T1097" s="302"/>
      <c r="U1097" s="251"/>
      <c r="V1097" s="302"/>
      <c r="W1097" s="251"/>
      <c r="X1097" s="255"/>
      <c r="Y1097" s="302"/>
      <c r="Z1097" s="259"/>
      <c r="AA1097" s="251"/>
      <c r="AB1097" s="302"/>
      <c r="AC1097" s="306"/>
      <c r="AD1097" s="261"/>
      <c r="AE1097" s="261"/>
      <c r="AF1097" s="282"/>
    </row>
    <row r="1098" spans="2:32" hidden="1">
      <c r="B1098" s="266"/>
      <c r="C1098" s="220"/>
      <c r="D1098" s="220"/>
      <c r="E1098" s="220"/>
      <c r="F1098" s="220"/>
      <c r="G1098" s="223"/>
      <c r="H1098" s="226"/>
      <c r="I1098" s="226"/>
      <c r="J1098" s="216"/>
      <c r="K1098" s="216"/>
      <c r="L1098" s="216"/>
      <c r="M1098" s="230"/>
      <c r="N1098" s="234"/>
      <c r="O1098" s="238"/>
      <c r="P1098" s="243"/>
      <c r="Q1098" s="244"/>
      <c r="R1098" s="301"/>
      <c r="S1098" s="250"/>
      <c r="T1098" s="301"/>
      <c r="U1098" s="250"/>
      <c r="V1098" s="301"/>
      <c r="W1098" s="250"/>
      <c r="X1098" s="254"/>
      <c r="Y1098" s="301"/>
      <c r="Z1098" s="258"/>
      <c r="AA1098" s="250"/>
      <c r="AB1098" s="301"/>
      <c r="AC1098" s="305"/>
      <c r="AD1098" s="262"/>
      <c r="AE1098" s="262"/>
      <c r="AF1098" s="283"/>
    </row>
    <row r="1099" spans="2:32" hidden="1">
      <c r="B1099" s="267"/>
      <c r="C1099" s="219"/>
      <c r="D1099" s="219"/>
      <c r="E1099" s="219"/>
      <c r="F1099" s="219"/>
      <c r="G1099" s="222"/>
      <c r="H1099" s="227"/>
      <c r="I1099" s="227"/>
      <c r="J1099" s="217"/>
      <c r="K1099" s="217"/>
      <c r="L1099" s="217"/>
      <c r="M1099" s="231"/>
      <c r="N1099" s="235"/>
      <c r="O1099" s="239"/>
      <c r="P1099" s="245"/>
      <c r="Q1099" s="246"/>
      <c r="R1099" s="302"/>
      <c r="S1099" s="251"/>
      <c r="T1099" s="302"/>
      <c r="U1099" s="251"/>
      <c r="V1099" s="302"/>
      <c r="W1099" s="251"/>
      <c r="X1099" s="255"/>
      <c r="Y1099" s="302"/>
      <c r="Z1099" s="259"/>
      <c r="AA1099" s="251"/>
      <c r="AB1099" s="302"/>
      <c r="AC1099" s="306"/>
      <c r="AD1099" s="261"/>
      <c r="AE1099" s="261"/>
      <c r="AF1099" s="282"/>
    </row>
    <row r="1100" spans="2:32" hidden="1">
      <c r="B1100" s="266"/>
      <c r="C1100" s="220"/>
      <c r="D1100" s="220"/>
      <c r="E1100" s="220"/>
      <c r="F1100" s="220"/>
      <c r="G1100" s="223"/>
      <c r="H1100" s="226"/>
      <c r="I1100" s="226"/>
      <c r="J1100" s="216"/>
      <c r="K1100" s="216"/>
      <c r="L1100" s="216"/>
      <c r="M1100" s="230"/>
      <c r="N1100" s="234"/>
      <c r="O1100" s="238"/>
      <c r="P1100" s="243"/>
      <c r="Q1100" s="244"/>
      <c r="R1100" s="301"/>
      <c r="S1100" s="250"/>
      <c r="T1100" s="301"/>
      <c r="U1100" s="250"/>
      <c r="V1100" s="301"/>
      <c r="W1100" s="250"/>
      <c r="X1100" s="254"/>
      <c r="Y1100" s="301"/>
      <c r="Z1100" s="258"/>
      <c r="AA1100" s="250"/>
      <c r="AB1100" s="301"/>
      <c r="AC1100" s="305"/>
      <c r="AD1100" s="262"/>
      <c r="AE1100" s="262"/>
      <c r="AF1100" s="283"/>
    </row>
    <row r="1101" spans="2:32" hidden="1">
      <c r="B1101" s="267"/>
      <c r="C1101" s="219"/>
      <c r="D1101" s="219"/>
      <c r="E1101" s="219"/>
      <c r="F1101" s="219"/>
      <c r="G1101" s="222"/>
      <c r="H1101" s="227"/>
      <c r="I1101" s="227"/>
      <c r="J1101" s="217"/>
      <c r="K1101" s="217"/>
      <c r="L1101" s="217"/>
      <c r="M1101" s="231"/>
      <c r="N1101" s="235"/>
      <c r="O1101" s="239"/>
      <c r="P1101" s="245"/>
      <c r="Q1101" s="246"/>
      <c r="R1101" s="302"/>
      <c r="S1101" s="251"/>
      <c r="T1101" s="302"/>
      <c r="U1101" s="251"/>
      <c r="V1101" s="302"/>
      <c r="W1101" s="251"/>
      <c r="X1101" s="255"/>
      <c r="Y1101" s="302"/>
      <c r="Z1101" s="259"/>
      <c r="AA1101" s="251"/>
      <c r="AB1101" s="302"/>
      <c r="AC1101" s="306"/>
      <c r="AD1101" s="261"/>
      <c r="AE1101" s="261"/>
      <c r="AF1101" s="282"/>
    </row>
    <row r="1102" spans="2:32" hidden="1">
      <c r="B1102" s="266"/>
      <c r="C1102" s="220"/>
      <c r="D1102" s="220"/>
      <c r="E1102" s="220"/>
      <c r="F1102" s="220"/>
      <c r="G1102" s="223"/>
      <c r="H1102" s="226"/>
      <c r="I1102" s="226"/>
      <c r="J1102" s="216"/>
      <c r="K1102" s="216"/>
      <c r="L1102" s="216"/>
      <c r="M1102" s="230"/>
      <c r="N1102" s="234"/>
      <c r="O1102" s="238"/>
      <c r="P1102" s="243"/>
      <c r="Q1102" s="244"/>
      <c r="R1102" s="301"/>
      <c r="S1102" s="250"/>
      <c r="T1102" s="301"/>
      <c r="U1102" s="250"/>
      <c r="V1102" s="301"/>
      <c r="W1102" s="250"/>
      <c r="X1102" s="254"/>
      <c r="Y1102" s="301"/>
      <c r="Z1102" s="258"/>
      <c r="AA1102" s="250"/>
      <c r="AB1102" s="301"/>
      <c r="AC1102" s="305"/>
      <c r="AD1102" s="262"/>
      <c r="AE1102" s="262"/>
      <c r="AF1102" s="283"/>
    </row>
    <row r="1103" spans="2:32" hidden="1">
      <c r="B1103" s="267"/>
      <c r="C1103" s="219"/>
      <c r="D1103" s="219"/>
      <c r="E1103" s="219"/>
      <c r="F1103" s="219"/>
      <c r="G1103" s="222"/>
      <c r="H1103" s="227"/>
      <c r="I1103" s="227"/>
      <c r="J1103" s="217"/>
      <c r="K1103" s="217"/>
      <c r="L1103" s="217"/>
      <c r="M1103" s="231"/>
      <c r="N1103" s="235"/>
      <c r="O1103" s="239"/>
      <c r="P1103" s="245"/>
      <c r="Q1103" s="246"/>
      <c r="R1103" s="302"/>
      <c r="S1103" s="251"/>
      <c r="T1103" s="302"/>
      <c r="U1103" s="251"/>
      <c r="V1103" s="302"/>
      <c r="W1103" s="251"/>
      <c r="X1103" s="255"/>
      <c r="Y1103" s="302"/>
      <c r="Z1103" s="259"/>
      <c r="AA1103" s="251"/>
      <c r="AB1103" s="302"/>
      <c r="AC1103" s="306"/>
      <c r="AD1103" s="261"/>
      <c r="AE1103" s="261"/>
      <c r="AF1103" s="282"/>
    </row>
    <row r="1104" spans="2:32" hidden="1">
      <c r="B1104" s="266"/>
      <c r="C1104" s="220"/>
      <c r="D1104" s="220"/>
      <c r="E1104" s="220"/>
      <c r="F1104" s="220"/>
      <c r="G1104" s="223"/>
      <c r="H1104" s="226"/>
      <c r="I1104" s="226"/>
      <c r="J1104" s="216"/>
      <c r="K1104" s="216"/>
      <c r="L1104" s="216"/>
      <c r="M1104" s="230"/>
      <c r="N1104" s="234"/>
      <c r="O1104" s="238"/>
      <c r="P1104" s="243"/>
      <c r="Q1104" s="244"/>
      <c r="R1104" s="301"/>
      <c r="S1104" s="250"/>
      <c r="T1104" s="301"/>
      <c r="U1104" s="250"/>
      <c r="V1104" s="301"/>
      <c r="W1104" s="250"/>
      <c r="X1104" s="254"/>
      <c r="Y1104" s="301"/>
      <c r="Z1104" s="258"/>
      <c r="AA1104" s="250"/>
      <c r="AB1104" s="301"/>
      <c r="AC1104" s="305"/>
      <c r="AD1104" s="262"/>
      <c r="AE1104" s="262"/>
      <c r="AF1104" s="283"/>
    </row>
    <row r="1105" spans="2:32" hidden="1">
      <c r="B1105" s="267"/>
      <c r="C1105" s="219"/>
      <c r="D1105" s="219"/>
      <c r="E1105" s="219"/>
      <c r="F1105" s="219"/>
      <c r="G1105" s="222"/>
      <c r="H1105" s="227"/>
      <c r="I1105" s="227"/>
      <c r="J1105" s="217"/>
      <c r="K1105" s="217"/>
      <c r="L1105" s="217"/>
      <c r="M1105" s="231"/>
      <c r="N1105" s="235"/>
      <c r="O1105" s="239"/>
      <c r="P1105" s="245"/>
      <c r="Q1105" s="246"/>
      <c r="R1105" s="302"/>
      <c r="S1105" s="251"/>
      <c r="T1105" s="302"/>
      <c r="U1105" s="251"/>
      <c r="V1105" s="302"/>
      <c r="W1105" s="251"/>
      <c r="X1105" s="255"/>
      <c r="Y1105" s="302"/>
      <c r="Z1105" s="259"/>
      <c r="AA1105" s="251"/>
      <c r="AB1105" s="302"/>
      <c r="AC1105" s="306"/>
      <c r="AD1105" s="261"/>
      <c r="AE1105" s="261"/>
      <c r="AF1105" s="282"/>
    </row>
    <row r="1106" spans="2:32" hidden="1">
      <c r="B1106" s="266"/>
      <c r="C1106" s="220"/>
      <c r="D1106" s="220"/>
      <c r="E1106" s="220"/>
      <c r="F1106" s="220"/>
      <c r="G1106" s="223"/>
      <c r="H1106" s="226"/>
      <c r="I1106" s="226"/>
      <c r="J1106" s="216"/>
      <c r="K1106" s="216"/>
      <c r="L1106" s="216"/>
      <c r="M1106" s="230"/>
      <c r="N1106" s="234"/>
      <c r="O1106" s="238"/>
      <c r="P1106" s="243"/>
      <c r="Q1106" s="244"/>
      <c r="R1106" s="301"/>
      <c r="S1106" s="250"/>
      <c r="T1106" s="301"/>
      <c r="U1106" s="250"/>
      <c r="V1106" s="301"/>
      <c r="W1106" s="250"/>
      <c r="X1106" s="254"/>
      <c r="Y1106" s="301"/>
      <c r="Z1106" s="258"/>
      <c r="AA1106" s="250"/>
      <c r="AB1106" s="301"/>
      <c r="AC1106" s="305"/>
      <c r="AD1106" s="262"/>
      <c r="AE1106" s="262"/>
      <c r="AF1106" s="283"/>
    </row>
    <row r="1107" spans="2:32" hidden="1">
      <c r="B1107" s="267"/>
      <c r="C1107" s="219"/>
      <c r="D1107" s="219"/>
      <c r="E1107" s="219"/>
      <c r="F1107" s="219"/>
      <c r="G1107" s="222"/>
      <c r="H1107" s="227"/>
      <c r="I1107" s="227"/>
      <c r="J1107" s="217"/>
      <c r="K1107" s="217"/>
      <c r="L1107" s="217"/>
      <c r="M1107" s="231"/>
      <c r="N1107" s="235"/>
      <c r="O1107" s="239"/>
      <c r="P1107" s="245"/>
      <c r="Q1107" s="246"/>
      <c r="R1107" s="302"/>
      <c r="S1107" s="251"/>
      <c r="T1107" s="302"/>
      <c r="U1107" s="251"/>
      <c r="V1107" s="302"/>
      <c r="W1107" s="251"/>
      <c r="X1107" s="255"/>
      <c r="Y1107" s="302"/>
      <c r="Z1107" s="259"/>
      <c r="AA1107" s="251"/>
      <c r="AB1107" s="302"/>
      <c r="AC1107" s="306"/>
      <c r="AD1107" s="261"/>
      <c r="AE1107" s="261"/>
      <c r="AF1107" s="282"/>
    </row>
    <row r="1108" spans="2:32" hidden="1">
      <c r="B1108" s="266"/>
      <c r="C1108" s="220"/>
      <c r="D1108" s="220"/>
      <c r="E1108" s="220"/>
      <c r="F1108" s="220"/>
      <c r="G1108" s="223"/>
      <c r="H1108" s="226"/>
      <c r="I1108" s="226"/>
      <c r="J1108" s="216"/>
      <c r="K1108" s="216"/>
      <c r="L1108" s="216"/>
      <c r="M1108" s="230"/>
      <c r="N1108" s="234"/>
      <c r="O1108" s="238"/>
      <c r="P1108" s="243"/>
      <c r="Q1108" s="244"/>
      <c r="R1108" s="301"/>
      <c r="S1108" s="250"/>
      <c r="T1108" s="301"/>
      <c r="U1108" s="250"/>
      <c r="V1108" s="301"/>
      <c r="W1108" s="250"/>
      <c r="X1108" s="254"/>
      <c r="Y1108" s="301"/>
      <c r="Z1108" s="258"/>
      <c r="AA1108" s="250"/>
      <c r="AB1108" s="301"/>
      <c r="AC1108" s="305"/>
      <c r="AD1108" s="262"/>
      <c r="AE1108" s="262"/>
      <c r="AF1108" s="283"/>
    </row>
    <row r="1109" spans="2:32" hidden="1">
      <c r="B1109" s="267"/>
      <c r="C1109" s="219"/>
      <c r="D1109" s="219"/>
      <c r="E1109" s="219"/>
      <c r="F1109" s="219"/>
      <c r="G1109" s="222"/>
      <c r="H1109" s="227"/>
      <c r="I1109" s="227"/>
      <c r="J1109" s="217"/>
      <c r="K1109" s="217"/>
      <c r="L1109" s="217"/>
      <c r="M1109" s="231"/>
      <c r="N1109" s="235"/>
      <c r="O1109" s="239"/>
      <c r="P1109" s="245"/>
      <c r="Q1109" s="246"/>
      <c r="R1109" s="302"/>
      <c r="S1109" s="251"/>
      <c r="T1109" s="302"/>
      <c r="U1109" s="251"/>
      <c r="V1109" s="302"/>
      <c r="W1109" s="251"/>
      <c r="X1109" s="255"/>
      <c r="Y1109" s="302"/>
      <c r="Z1109" s="259"/>
      <c r="AA1109" s="251"/>
      <c r="AB1109" s="302"/>
      <c r="AC1109" s="306"/>
      <c r="AD1109" s="261"/>
      <c r="AE1109" s="261"/>
      <c r="AF1109" s="282"/>
    </row>
    <row r="1110" spans="2:32" hidden="1">
      <c r="B1110" s="266"/>
      <c r="C1110" s="220"/>
      <c r="D1110" s="220"/>
      <c r="E1110" s="220"/>
      <c r="F1110" s="220"/>
      <c r="G1110" s="223"/>
      <c r="H1110" s="226"/>
      <c r="I1110" s="226"/>
      <c r="J1110" s="216"/>
      <c r="K1110" s="216"/>
      <c r="L1110" s="216"/>
      <c r="M1110" s="230"/>
      <c r="N1110" s="234"/>
      <c r="O1110" s="238"/>
      <c r="P1110" s="243"/>
      <c r="Q1110" s="244"/>
      <c r="R1110" s="301"/>
      <c r="S1110" s="250"/>
      <c r="T1110" s="301"/>
      <c r="U1110" s="250"/>
      <c r="V1110" s="301"/>
      <c r="W1110" s="250"/>
      <c r="X1110" s="254"/>
      <c r="Y1110" s="301"/>
      <c r="Z1110" s="258"/>
      <c r="AA1110" s="250"/>
      <c r="AB1110" s="301"/>
      <c r="AC1110" s="305"/>
      <c r="AD1110" s="262"/>
      <c r="AE1110" s="262"/>
      <c r="AF1110" s="283"/>
    </row>
    <row r="1111" spans="2:32" hidden="1">
      <c r="B1111" s="267"/>
      <c r="C1111" s="219"/>
      <c r="D1111" s="219"/>
      <c r="E1111" s="219"/>
      <c r="F1111" s="219"/>
      <c r="G1111" s="222"/>
      <c r="H1111" s="227"/>
      <c r="I1111" s="227"/>
      <c r="J1111" s="217"/>
      <c r="K1111" s="217"/>
      <c r="L1111" s="217"/>
      <c r="M1111" s="231"/>
      <c r="N1111" s="235"/>
      <c r="O1111" s="239"/>
      <c r="P1111" s="245"/>
      <c r="Q1111" s="246"/>
      <c r="R1111" s="302"/>
      <c r="S1111" s="251"/>
      <c r="T1111" s="302"/>
      <c r="U1111" s="251"/>
      <c r="V1111" s="302"/>
      <c r="W1111" s="251"/>
      <c r="X1111" s="255"/>
      <c r="Y1111" s="302"/>
      <c r="Z1111" s="259"/>
      <c r="AA1111" s="251"/>
      <c r="AB1111" s="302"/>
      <c r="AC1111" s="306"/>
      <c r="AD1111" s="261"/>
      <c r="AE1111" s="261"/>
      <c r="AF1111" s="282"/>
    </row>
    <row r="1112" spans="2:32" hidden="1">
      <c r="B1112" s="266"/>
      <c r="C1112" s="220"/>
      <c r="D1112" s="220"/>
      <c r="E1112" s="220"/>
      <c r="F1112" s="220"/>
      <c r="G1112" s="223"/>
      <c r="H1112" s="226"/>
      <c r="I1112" s="226"/>
      <c r="J1112" s="216"/>
      <c r="K1112" s="216"/>
      <c r="L1112" s="216"/>
      <c r="M1112" s="230"/>
      <c r="N1112" s="234"/>
      <c r="O1112" s="238"/>
      <c r="P1112" s="243"/>
      <c r="Q1112" s="244"/>
      <c r="R1112" s="301"/>
      <c r="S1112" s="250"/>
      <c r="T1112" s="301"/>
      <c r="U1112" s="250"/>
      <c r="V1112" s="301"/>
      <c r="W1112" s="250"/>
      <c r="X1112" s="254"/>
      <c r="Y1112" s="301"/>
      <c r="Z1112" s="258"/>
      <c r="AA1112" s="250"/>
      <c r="AB1112" s="301"/>
      <c r="AC1112" s="305"/>
      <c r="AD1112" s="262"/>
      <c r="AE1112" s="262"/>
      <c r="AF1112" s="283"/>
    </row>
    <row r="1113" spans="2:32" hidden="1">
      <c r="B1113" s="267"/>
      <c r="C1113" s="219"/>
      <c r="D1113" s="219"/>
      <c r="E1113" s="219"/>
      <c r="F1113" s="219"/>
      <c r="G1113" s="222"/>
      <c r="H1113" s="227"/>
      <c r="I1113" s="227"/>
      <c r="J1113" s="217"/>
      <c r="K1113" s="217"/>
      <c r="L1113" s="217"/>
      <c r="M1113" s="231"/>
      <c r="N1113" s="235"/>
      <c r="O1113" s="239"/>
      <c r="P1113" s="245"/>
      <c r="Q1113" s="246"/>
      <c r="R1113" s="302"/>
      <c r="S1113" s="251"/>
      <c r="T1113" s="302"/>
      <c r="U1113" s="251"/>
      <c r="V1113" s="302"/>
      <c r="W1113" s="251"/>
      <c r="X1113" s="255"/>
      <c r="Y1113" s="302"/>
      <c r="Z1113" s="259"/>
      <c r="AA1113" s="251"/>
      <c r="AB1113" s="302"/>
      <c r="AC1113" s="306"/>
      <c r="AD1113" s="261"/>
      <c r="AE1113" s="261"/>
      <c r="AF1113" s="282"/>
    </row>
    <row r="1114" spans="2:32" hidden="1">
      <c r="B1114" s="266"/>
      <c r="C1114" s="220"/>
      <c r="D1114" s="220"/>
      <c r="E1114" s="220"/>
      <c r="F1114" s="220"/>
      <c r="G1114" s="223"/>
      <c r="H1114" s="226"/>
      <c r="I1114" s="226"/>
      <c r="J1114" s="216"/>
      <c r="K1114" s="216"/>
      <c r="L1114" s="216"/>
      <c r="M1114" s="230"/>
      <c r="N1114" s="234"/>
      <c r="O1114" s="238"/>
      <c r="P1114" s="243"/>
      <c r="Q1114" s="244"/>
      <c r="R1114" s="301"/>
      <c r="S1114" s="250"/>
      <c r="T1114" s="301"/>
      <c r="U1114" s="250"/>
      <c r="V1114" s="301"/>
      <c r="W1114" s="250"/>
      <c r="X1114" s="254"/>
      <c r="Y1114" s="301"/>
      <c r="Z1114" s="258"/>
      <c r="AA1114" s="250"/>
      <c r="AB1114" s="301"/>
      <c r="AC1114" s="305"/>
      <c r="AD1114" s="262"/>
      <c r="AE1114" s="262"/>
      <c r="AF1114" s="283"/>
    </row>
    <row r="1115" spans="2:32" hidden="1">
      <c r="B1115" s="267"/>
      <c r="C1115" s="219"/>
      <c r="D1115" s="219"/>
      <c r="E1115" s="219"/>
      <c r="F1115" s="219"/>
      <c r="G1115" s="222"/>
      <c r="H1115" s="227"/>
      <c r="I1115" s="227"/>
      <c r="J1115" s="217"/>
      <c r="K1115" s="217"/>
      <c r="L1115" s="217"/>
      <c r="M1115" s="231"/>
      <c r="N1115" s="235"/>
      <c r="O1115" s="239"/>
      <c r="P1115" s="245"/>
      <c r="Q1115" s="246"/>
      <c r="R1115" s="302"/>
      <c r="S1115" s="251"/>
      <c r="T1115" s="302"/>
      <c r="U1115" s="251"/>
      <c r="V1115" s="302"/>
      <c r="W1115" s="251"/>
      <c r="X1115" s="255"/>
      <c r="Y1115" s="302"/>
      <c r="Z1115" s="259"/>
      <c r="AA1115" s="251"/>
      <c r="AB1115" s="302"/>
      <c r="AC1115" s="306"/>
      <c r="AD1115" s="261"/>
      <c r="AE1115" s="261"/>
      <c r="AF1115" s="282"/>
    </row>
    <row r="1116" spans="2:32" hidden="1">
      <c r="B1116" s="266"/>
      <c r="C1116" s="220"/>
      <c r="D1116" s="220"/>
      <c r="E1116" s="220"/>
      <c r="F1116" s="220"/>
      <c r="G1116" s="223"/>
      <c r="H1116" s="226"/>
      <c r="I1116" s="226"/>
      <c r="J1116" s="216"/>
      <c r="K1116" s="216"/>
      <c r="L1116" s="216"/>
      <c r="M1116" s="230"/>
      <c r="N1116" s="234"/>
      <c r="O1116" s="238"/>
      <c r="P1116" s="243"/>
      <c r="Q1116" s="244"/>
      <c r="R1116" s="301"/>
      <c r="S1116" s="250"/>
      <c r="T1116" s="301"/>
      <c r="U1116" s="250"/>
      <c r="V1116" s="301"/>
      <c r="W1116" s="250"/>
      <c r="X1116" s="254"/>
      <c r="Y1116" s="301"/>
      <c r="Z1116" s="258"/>
      <c r="AA1116" s="250"/>
      <c r="AB1116" s="301"/>
      <c r="AC1116" s="305"/>
      <c r="AD1116" s="262"/>
      <c r="AE1116" s="262"/>
      <c r="AF1116" s="283"/>
    </row>
    <row r="1117" spans="2:32" hidden="1">
      <c r="B1117" s="267"/>
      <c r="C1117" s="219"/>
      <c r="D1117" s="219"/>
      <c r="E1117" s="219"/>
      <c r="F1117" s="219"/>
      <c r="G1117" s="222"/>
      <c r="H1117" s="227"/>
      <c r="I1117" s="227"/>
      <c r="J1117" s="217"/>
      <c r="K1117" s="217"/>
      <c r="L1117" s="217"/>
      <c r="M1117" s="231"/>
      <c r="N1117" s="235"/>
      <c r="O1117" s="239"/>
      <c r="P1117" s="245"/>
      <c r="Q1117" s="246"/>
      <c r="R1117" s="302"/>
      <c r="S1117" s="251"/>
      <c r="T1117" s="302"/>
      <c r="U1117" s="251"/>
      <c r="V1117" s="302"/>
      <c r="W1117" s="251"/>
      <c r="X1117" s="255"/>
      <c r="Y1117" s="302"/>
      <c r="Z1117" s="259"/>
      <c r="AA1117" s="251"/>
      <c r="AB1117" s="302"/>
      <c r="AC1117" s="306"/>
      <c r="AD1117" s="261"/>
      <c r="AE1117" s="261"/>
      <c r="AF1117" s="282"/>
    </row>
    <row r="1118" spans="2:32" hidden="1">
      <c r="B1118" s="266"/>
      <c r="C1118" s="220"/>
      <c r="D1118" s="220"/>
      <c r="E1118" s="220"/>
      <c r="F1118" s="220"/>
      <c r="G1118" s="223"/>
      <c r="H1118" s="226"/>
      <c r="I1118" s="226"/>
      <c r="J1118" s="216"/>
      <c r="K1118" s="216"/>
      <c r="L1118" s="216"/>
      <c r="M1118" s="230"/>
      <c r="N1118" s="234"/>
      <c r="O1118" s="238"/>
      <c r="P1118" s="243"/>
      <c r="Q1118" s="244"/>
      <c r="R1118" s="301"/>
      <c r="S1118" s="250"/>
      <c r="T1118" s="301"/>
      <c r="U1118" s="250"/>
      <c r="V1118" s="301"/>
      <c r="W1118" s="250"/>
      <c r="X1118" s="254"/>
      <c r="Y1118" s="301"/>
      <c r="Z1118" s="258"/>
      <c r="AA1118" s="250"/>
      <c r="AB1118" s="301"/>
      <c r="AC1118" s="305"/>
      <c r="AD1118" s="262"/>
      <c r="AE1118" s="262"/>
      <c r="AF1118" s="283"/>
    </row>
    <row r="1119" spans="2:32" hidden="1">
      <c r="B1119" s="267"/>
      <c r="C1119" s="219"/>
      <c r="D1119" s="219"/>
      <c r="E1119" s="219"/>
      <c r="F1119" s="219"/>
      <c r="G1119" s="222"/>
      <c r="H1119" s="227"/>
      <c r="I1119" s="227"/>
      <c r="J1119" s="217"/>
      <c r="K1119" s="217"/>
      <c r="L1119" s="217"/>
      <c r="M1119" s="231"/>
      <c r="N1119" s="235"/>
      <c r="O1119" s="239"/>
      <c r="P1119" s="245"/>
      <c r="Q1119" s="246"/>
      <c r="R1119" s="302"/>
      <c r="S1119" s="251"/>
      <c r="T1119" s="302"/>
      <c r="U1119" s="251"/>
      <c r="V1119" s="302"/>
      <c r="W1119" s="251"/>
      <c r="X1119" s="255"/>
      <c r="Y1119" s="302"/>
      <c r="Z1119" s="259"/>
      <c r="AA1119" s="251"/>
      <c r="AB1119" s="302"/>
      <c r="AC1119" s="306"/>
      <c r="AD1119" s="261"/>
      <c r="AE1119" s="261"/>
      <c r="AF1119" s="282"/>
    </row>
    <row r="1120" spans="2:32" hidden="1">
      <c r="B1120" s="266"/>
      <c r="C1120" s="220"/>
      <c r="D1120" s="220"/>
      <c r="E1120" s="220"/>
      <c r="F1120" s="220"/>
      <c r="G1120" s="223"/>
      <c r="H1120" s="226"/>
      <c r="I1120" s="226"/>
      <c r="J1120" s="216"/>
      <c r="K1120" s="216"/>
      <c r="L1120" s="216"/>
      <c r="M1120" s="230"/>
      <c r="N1120" s="234"/>
      <c r="O1120" s="238"/>
      <c r="P1120" s="243"/>
      <c r="Q1120" s="244"/>
      <c r="R1120" s="301"/>
      <c r="S1120" s="250"/>
      <c r="T1120" s="301"/>
      <c r="U1120" s="250"/>
      <c r="V1120" s="301"/>
      <c r="W1120" s="250"/>
      <c r="X1120" s="254"/>
      <c r="Y1120" s="301"/>
      <c r="Z1120" s="258"/>
      <c r="AA1120" s="250"/>
      <c r="AB1120" s="301"/>
      <c r="AC1120" s="305"/>
      <c r="AD1120" s="262"/>
      <c r="AE1120" s="262"/>
      <c r="AF1120" s="283"/>
    </row>
    <row r="1121" spans="2:32" hidden="1">
      <c r="B1121" s="267"/>
      <c r="C1121" s="219"/>
      <c r="D1121" s="219"/>
      <c r="E1121" s="219"/>
      <c r="F1121" s="219"/>
      <c r="G1121" s="222"/>
      <c r="H1121" s="227"/>
      <c r="I1121" s="227"/>
      <c r="J1121" s="217"/>
      <c r="K1121" s="217"/>
      <c r="L1121" s="217"/>
      <c r="M1121" s="231"/>
      <c r="N1121" s="235"/>
      <c r="O1121" s="239"/>
      <c r="P1121" s="245"/>
      <c r="Q1121" s="246"/>
      <c r="R1121" s="302"/>
      <c r="S1121" s="251"/>
      <c r="T1121" s="302"/>
      <c r="U1121" s="251"/>
      <c r="V1121" s="302"/>
      <c r="W1121" s="251"/>
      <c r="X1121" s="255"/>
      <c r="Y1121" s="302"/>
      <c r="Z1121" s="259"/>
      <c r="AA1121" s="251"/>
      <c r="AB1121" s="302"/>
      <c r="AC1121" s="306"/>
      <c r="AD1121" s="261"/>
      <c r="AE1121" s="261"/>
      <c r="AF1121" s="282"/>
    </row>
    <row r="1122" spans="2:32" hidden="1">
      <c r="B1122" s="266"/>
      <c r="C1122" s="220"/>
      <c r="D1122" s="220"/>
      <c r="E1122" s="220"/>
      <c r="F1122" s="220"/>
      <c r="G1122" s="223"/>
      <c r="H1122" s="226"/>
      <c r="I1122" s="226"/>
      <c r="J1122" s="216"/>
      <c r="K1122" s="216"/>
      <c r="L1122" s="216"/>
      <c r="M1122" s="230"/>
      <c r="N1122" s="234"/>
      <c r="O1122" s="238"/>
      <c r="P1122" s="243"/>
      <c r="Q1122" s="244"/>
      <c r="R1122" s="301"/>
      <c r="S1122" s="250"/>
      <c r="T1122" s="301"/>
      <c r="U1122" s="250"/>
      <c r="V1122" s="301"/>
      <c r="W1122" s="250"/>
      <c r="X1122" s="254"/>
      <c r="Y1122" s="301"/>
      <c r="Z1122" s="258"/>
      <c r="AA1122" s="250"/>
      <c r="AB1122" s="301"/>
      <c r="AC1122" s="305"/>
      <c r="AD1122" s="262"/>
      <c r="AE1122" s="262"/>
      <c r="AF1122" s="283"/>
    </row>
    <row r="1123" spans="2:32" hidden="1">
      <c r="B1123" s="267"/>
      <c r="C1123" s="219"/>
      <c r="D1123" s="219"/>
      <c r="E1123" s="219"/>
      <c r="F1123" s="219"/>
      <c r="G1123" s="222"/>
      <c r="H1123" s="227"/>
      <c r="I1123" s="227"/>
      <c r="J1123" s="217"/>
      <c r="K1123" s="217"/>
      <c r="L1123" s="217"/>
      <c r="M1123" s="231"/>
      <c r="N1123" s="235"/>
      <c r="O1123" s="239"/>
      <c r="P1123" s="245"/>
      <c r="Q1123" s="246"/>
      <c r="R1123" s="302"/>
      <c r="S1123" s="251"/>
      <c r="T1123" s="302"/>
      <c r="U1123" s="251"/>
      <c r="V1123" s="302"/>
      <c r="W1123" s="251"/>
      <c r="X1123" s="255"/>
      <c r="Y1123" s="302"/>
      <c r="Z1123" s="259"/>
      <c r="AA1123" s="251"/>
      <c r="AB1123" s="302"/>
      <c r="AC1123" s="306"/>
      <c r="AD1123" s="261"/>
      <c r="AE1123" s="261"/>
      <c r="AF1123" s="282"/>
    </row>
    <row r="1124" spans="2:32" hidden="1">
      <c r="B1124" s="266"/>
      <c r="C1124" s="220"/>
      <c r="D1124" s="220"/>
      <c r="E1124" s="220"/>
      <c r="F1124" s="220"/>
      <c r="G1124" s="223"/>
      <c r="H1124" s="226"/>
      <c r="I1124" s="226"/>
      <c r="J1124" s="216"/>
      <c r="K1124" s="216"/>
      <c r="L1124" s="216"/>
      <c r="M1124" s="230"/>
      <c r="N1124" s="234"/>
      <c r="O1124" s="238"/>
      <c r="P1124" s="243"/>
      <c r="Q1124" s="244"/>
      <c r="R1124" s="301"/>
      <c r="S1124" s="250"/>
      <c r="T1124" s="301"/>
      <c r="U1124" s="250"/>
      <c r="V1124" s="301"/>
      <c r="W1124" s="250"/>
      <c r="X1124" s="254"/>
      <c r="Y1124" s="301"/>
      <c r="Z1124" s="258"/>
      <c r="AA1124" s="250"/>
      <c r="AB1124" s="301"/>
      <c r="AC1124" s="305"/>
      <c r="AD1124" s="262"/>
      <c r="AE1124" s="262"/>
      <c r="AF1124" s="283"/>
    </row>
    <row r="1125" spans="2:32" hidden="1">
      <c r="B1125" s="267"/>
      <c r="C1125" s="219"/>
      <c r="D1125" s="219"/>
      <c r="E1125" s="219"/>
      <c r="F1125" s="219"/>
      <c r="G1125" s="222"/>
      <c r="H1125" s="227"/>
      <c r="I1125" s="227"/>
      <c r="J1125" s="217"/>
      <c r="K1125" s="217"/>
      <c r="L1125" s="217"/>
      <c r="M1125" s="231"/>
      <c r="N1125" s="235"/>
      <c r="O1125" s="239"/>
      <c r="P1125" s="245"/>
      <c r="Q1125" s="246"/>
      <c r="R1125" s="302"/>
      <c r="S1125" s="251"/>
      <c r="T1125" s="302"/>
      <c r="U1125" s="251"/>
      <c r="V1125" s="302"/>
      <c r="W1125" s="251"/>
      <c r="X1125" s="255"/>
      <c r="Y1125" s="302"/>
      <c r="Z1125" s="259"/>
      <c r="AA1125" s="251"/>
      <c r="AB1125" s="302"/>
      <c r="AC1125" s="306"/>
      <c r="AD1125" s="261"/>
      <c r="AE1125" s="261"/>
      <c r="AF1125" s="282"/>
    </row>
    <row r="1126" spans="2:32" hidden="1">
      <c r="B1126" s="266"/>
      <c r="C1126" s="220"/>
      <c r="D1126" s="220"/>
      <c r="E1126" s="220"/>
      <c r="F1126" s="220"/>
      <c r="G1126" s="223"/>
      <c r="H1126" s="226"/>
      <c r="I1126" s="226"/>
      <c r="J1126" s="216"/>
      <c r="K1126" s="216"/>
      <c r="L1126" s="216"/>
      <c r="M1126" s="230"/>
      <c r="N1126" s="234"/>
      <c r="O1126" s="238"/>
      <c r="P1126" s="243"/>
      <c r="Q1126" s="244"/>
      <c r="R1126" s="301"/>
      <c r="S1126" s="250"/>
      <c r="T1126" s="301"/>
      <c r="U1126" s="250"/>
      <c r="V1126" s="301"/>
      <c r="W1126" s="250"/>
      <c r="X1126" s="254"/>
      <c r="Y1126" s="301"/>
      <c r="Z1126" s="258"/>
      <c r="AA1126" s="250"/>
      <c r="AB1126" s="301"/>
      <c r="AC1126" s="305"/>
      <c r="AD1126" s="262"/>
      <c r="AE1126" s="262"/>
      <c r="AF1126" s="283"/>
    </row>
    <row r="1127" spans="2:32" hidden="1">
      <c r="B1127" s="267"/>
      <c r="C1127" s="219"/>
      <c r="D1127" s="219"/>
      <c r="E1127" s="219"/>
      <c r="F1127" s="219"/>
      <c r="G1127" s="222"/>
      <c r="H1127" s="227"/>
      <c r="I1127" s="227"/>
      <c r="J1127" s="217"/>
      <c r="K1127" s="217"/>
      <c r="L1127" s="217"/>
      <c r="M1127" s="231"/>
      <c r="N1127" s="235"/>
      <c r="O1127" s="239"/>
      <c r="P1127" s="245"/>
      <c r="Q1127" s="246"/>
      <c r="R1127" s="302"/>
      <c r="S1127" s="251"/>
      <c r="T1127" s="302"/>
      <c r="U1127" s="251"/>
      <c r="V1127" s="302"/>
      <c r="W1127" s="251"/>
      <c r="X1127" s="255"/>
      <c r="Y1127" s="302"/>
      <c r="Z1127" s="259"/>
      <c r="AA1127" s="251"/>
      <c r="AB1127" s="302"/>
      <c r="AC1127" s="306"/>
      <c r="AD1127" s="261"/>
      <c r="AE1127" s="261"/>
      <c r="AF1127" s="282"/>
    </row>
    <row r="1128" spans="2:32" hidden="1">
      <c r="B1128" s="266"/>
      <c r="C1128" s="220"/>
      <c r="D1128" s="220"/>
      <c r="E1128" s="220"/>
      <c r="F1128" s="220"/>
      <c r="G1128" s="223"/>
      <c r="H1128" s="226"/>
      <c r="I1128" s="226"/>
      <c r="J1128" s="216"/>
      <c r="K1128" s="216"/>
      <c r="L1128" s="216"/>
      <c r="M1128" s="230"/>
      <c r="N1128" s="234"/>
      <c r="O1128" s="238"/>
      <c r="P1128" s="243"/>
      <c r="Q1128" s="244"/>
      <c r="R1128" s="301"/>
      <c r="S1128" s="250"/>
      <c r="T1128" s="301"/>
      <c r="U1128" s="250"/>
      <c r="V1128" s="301"/>
      <c r="W1128" s="250"/>
      <c r="X1128" s="254"/>
      <c r="Y1128" s="301"/>
      <c r="Z1128" s="258"/>
      <c r="AA1128" s="250"/>
      <c r="AB1128" s="301"/>
      <c r="AC1128" s="305"/>
      <c r="AD1128" s="262"/>
      <c r="AE1128" s="262"/>
      <c r="AF1128" s="283"/>
    </row>
    <row r="1129" spans="2:32" hidden="1">
      <c r="B1129" s="267"/>
      <c r="C1129" s="219"/>
      <c r="D1129" s="219"/>
      <c r="E1129" s="219"/>
      <c r="F1129" s="219"/>
      <c r="G1129" s="222"/>
      <c r="H1129" s="227"/>
      <c r="I1129" s="227"/>
      <c r="J1129" s="217"/>
      <c r="K1129" s="217"/>
      <c r="L1129" s="217"/>
      <c r="M1129" s="231"/>
      <c r="N1129" s="235"/>
      <c r="O1129" s="239"/>
      <c r="P1129" s="245"/>
      <c r="Q1129" s="246"/>
      <c r="R1129" s="302"/>
      <c r="S1129" s="251"/>
      <c r="T1129" s="302"/>
      <c r="U1129" s="251"/>
      <c r="V1129" s="302"/>
      <c r="W1129" s="251"/>
      <c r="X1129" s="255"/>
      <c r="Y1129" s="302"/>
      <c r="Z1129" s="259"/>
      <c r="AA1129" s="251"/>
      <c r="AB1129" s="302"/>
      <c r="AC1129" s="306"/>
      <c r="AD1129" s="261"/>
      <c r="AE1129" s="261"/>
      <c r="AF1129" s="282"/>
    </row>
    <row r="1130" spans="2:32" hidden="1">
      <c r="B1130" s="266"/>
      <c r="C1130" s="220"/>
      <c r="D1130" s="220"/>
      <c r="E1130" s="220"/>
      <c r="F1130" s="220"/>
      <c r="G1130" s="223"/>
      <c r="H1130" s="226"/>
      <c r="I1130" s="226"/>
      <c r="J1130" s="216"/>
      <c r="K1130" s="216"/>
      <c r="L1130" s="216"/>
      <c r="M1130" s="230"/>
      <c r="N1130" s="234"/>
      <c r="O1130" s="238"/>
      <c r="P1130" s="243"/>
      <c r="Q1130" s="244"/>
      <c r="R1130" s="301"/>
      <c r="S1130" s="250"/>
      <c r="T1130" s="301"/>
      <c r="U1130" s="250"/>
      <c r="V1130" s="301"/>
      <c r="W1130" s="250"/>
      <c r="X1130" s="254"/>
      <c r="Y1130" s="301"/>
      <c r="Z1130" s="258"/>
      <c r="AA1130" s="250"/>
      <c r="AB1130" s="301"/>
      <c r="AC1130" s="305"/>
      <c r="AD1130" s="262"/>
      <c r="AE1130" s="262"/>
      <c r="AF1130" s="283"/>
    </row>
    <row r="1131" spans="2:32" hidden="1">
      <c r="B1131" s="267"/>
      <c r="C1131" s="219"/>
      <c r="D1131" s="219"/>
      <c r="E1131" s="219"/>
      <c r="F1131" s="219"/>
      <c r="G1131" s="222"/>
      <c r="H1131" s="227"/>
      <c r="I1131" s="227"/>
      <c r="J1131" s="217"/>
      <c r="K1131" s="217"/>
      <c r="L1131" s="217"/>
      <c r="M1131" s="231"/>
      <c r="N1131" s="235"/>
      <c r="O1131" s="239"/>
      <c r="P1131" s="245"/>
      <c r="Q1131" s="246"/>
      <c r="R1131" s="302"/>
      <c r="S1131" s="251"/>
      <c r="T1131" s="302"/>
      <c r="U1131" s="251"/>
      <c r="V1131" s="302"/>
      <c r="W1131" s="251"/>
      <c r="X1131" s="255"/>
      <c r="Y1131" s="302"/>
      <c r="Z1131" s="259"/>
      <c r="AA1131" s="251"/>
      <c r="AB1131" s="302"/>
      <c r="AC1131" s="306"/>
      <c r="AD1131" s="261"/>
      <c r="AE1131" s="261"/>
      <c r="AF1131" s="282"/>
    </row>
    <row r="1132" spans="2:32" hidden="1">
      <c r="B1132" s="266"/>
      <c r="C1132" s="220"/>
      <c r="D1132" s="220"/>
      <c r="E1132" s="220"/>
      <c r="F1132" s="220"/>
      <c r="G1132" s="223"/>
      <c r="H1132" s="226"/>
      <c r="I1132" s="226"/>
      <c r="J1132" s="216"/>
      <c r="K1132" s="216"/>
      <c r="L1132" s="216"/>
      <c r="M1132" s="230"/>
      <c r="N1132" s="234"/>
      <c r="O1132" s="238"/>
      <c r="P1132" s="243"/>
      <c r="Q1132" s="244"/>
      <c r="R1132" s="301"/>
      <c r="S1132" s="250"/>
      <c r="T1132" s="301"/>
      <c r="U1132" s="250"/>
      <c r="V1132" s="301"/>
      <c r="W1132" s="250"/>
      <c r="X1132" s="254"/>
      <c r="Y1132" s="301"/>
      <c r="Z1132" s="258"/>
      <c r="AA1132" s="250"/>
      <c r="AB1132" s="301"/>
      <c r="AC1132" s="305"/>
      <c r="AD1132" s="262"/>
      <c r="AE1132" s="262"/>
      <c r="AF1132" s="283"/>
    </row>
    <row r="1133" spans="2:32" hidden="1">
      <c r="B1133" s="267"/>
      <c r="C1133" s="219"/>
      <c r="D1133" s="219"/>
      <c r="E1133" s="219"/>
      <c r="F1133" s="219"/>
      <c r="G1133" s="222"/>
      <c r="H1133" s="227"/>
      <c r="I1133" s="227"/>
      <c r="J1133" s="217"/>
      <c r="K1133" s="217"/>
      <c r="L1133" s="217"/>
      <c r="M1133" s="231"/>
      <c r="N1133" s="235"/>
      <c r="O1133" s="239"/>
      <c r="P1133" s="245"/>
      <c r="Q1133" s="246"/>
      <c r="R1133" s="302"/>
      <c r="S1133" s="251"/>
      <c r="T1133" s="302"/>
      <c r="U1133" s="251"/>
      <c r="V1133" s="302"/>
      <c r="W1133" s="251"/>
      <c r="X1133" s="255"/>
      <c r="Y1133" s="302"/>
      <c r="Z1133" s="259"/>
      <c r="AA1133" s="251"/>
      <c r="AB1133" s="302"/>
      <c r="AC1133" s="306"/>
      <c r="AD1133" s="261"/>
      <c r="AE1133" s="261"/>
      <c r="AF1133" s="282"/>
    </row>
    <row r="1134" spans="2:32" hidden="1">
      <c r="B1134" s="266"/>
      <c r="C1134" s="220"/>
      <c r="D1134" s="220"/>
      <c r="E1134" s="220"/>
      <c r="F1134" s="220"/>
      <c r="G1134" s="223"/>
      <c r="H1134" s="226"/>
      <c r="I1134" s="226"/>
      <c r="J1134" s="216"/>
      <c r="K1134" s="216"/>
      <c r="L1134" s="216"/>
      <c r="M1134" s="230"/>
      <c r="N1134" s="234"/>
      <c r="O1134" s="238"/>
      <c r="P1134" s="243"/>
      <c r="Q1134" s="244"/>
      <c r="R1134" s="301"/>
      <c r="S1134" s="250"/>
      <c r="T1134" s="301"/>
      <c r="U1134" s="250"/>
      <c r="V1134" s="301"/>
      <c r="W1134" s="250"/>
      <c r="X1134" s="254"/>
      <c r="Y1134" s="301"/>
      <c r="Z1134" s="258"/>
      <c r="AA1134" s="250"/>
      <c r="AB1134" s="301"/>
      <c r="AC1134" s="305"/>
      <c r="AD1134" s="262"/>
      <c r="AE1134" s="262"/>
      <c r="AF1134" s="283"/>
    </row>
    <row r="1135" spans="2:32" hidden="1">
      <c r="B1135" s="267"/>
      <c r="C1135" s="219"/>
      <c r="D1135" s="219"/>
      <c r="E1135" s="219"/>
      <c r="F1135" s="219"/>
      <c r="G1135" s="222"/>
      <c r="H1135" s="227"/>
      <c r="I1135" s="227"/>
      <c r="J1135" s="217"/>
      <c r="K1135" s="217"/>
      <c r="L1135" s="217"/>
      <c r="M1135" s="231"/>
      <c r="N1135" s="235"/>
      <c r="O1135" s="239"/>
      <c r="P1135" s="245"/>
      <c r="Q1135" s="246"/>
      <c r="R1135" s="302"/>
      <c r="S1135" s="251"/>
      <c r="T1135" s="302"/>
      <c r="U1135" s="251"/>
      <c r="V1135" s="302"/>
      <c r="W1135" s="251"/>
      <c r="X1135" s="255"/>
      <c r="Y1135" s="302"/>
      <c r="Z1135" s="259"/>
      <c r="AA1135" s="251"/>
      <c r="AB1135" s="302"/>
      <c r="AC1135" s="306"/>
      <c r="AD1135" s="261"/>
      <c r="AE1135" s="261"/>
      <c r="AF1135" s="282"/>
    </row>
    <row r="1136" spans="2:32" hidden="1">
      <c r="B1136" s="266"/>
      <c r="C1136" s="220"/>
      <c r="D1136" s="220"/>
      <c r="E1136" s="220"/>
      <c r="F1136" s="220"/>
      <c r="G1136" s="223"/>
      <c r="H1136" s="226"/>
      <c r="I1136" s="226"/>
      <c r="J1136" s="216"/>
      <c r="K1136" s="216"/>
      <c r="L1136" s="216"/>
      <c r="M1136" s="230"/>
      <c r="N1136" s="234"/>
      <c r="O1136" s="238"/>
      <c r="P1136" s="243"/>
      <c r="Q1136" s="244"/>
      <c r="R1136" s="301"/>
      <c r="S1136" s="250"/>
      <c r="T1136" s="301"/>
      <c r="U1136" s="250"/>
      <c r="V1136" s="301"/>
      <c r="W1136" s="250"/>
      <c r="X1136" s="254"/>
      <c r="Y1136" s="301"/>
      <c r="Z1136" s="258"/>
      <c r="AA1136" s="250"/>
      <c r="AB1136" s="301"/>
      <c r="AC1136" s="305"/>
      <c r="AD1136" s="262"/>
      <c r="AE1136" s="262"/>
      <c r="AF1136" s="283"/>
    </row>
    <row r="1137" spans="2:32" hidden="1">
      <c r="B1137" s="267"/>
      <c r="C1137" s="219"/>
      <c r="D1137" s="219"/>
      <c r="E1137" s="219"/>
      <c r="F1137" s="219"/>
      <c r="G1137" s="222"/>
      <c r="H1137" s="227"/>
      <c r="I1137" s="227"/>
      <c r="J1137" s="217"/>
      <c r="K1137" s="217"/>
      <c r="L1137" s="217"/>
      <c r="M1137" s="231"/>
      <c r="N1137" s="235"/>
      <c r="O1137" s="239"/>
      <c r="P1137" s="245"/>
      <c r="Q1137" s="246"/>
      <c r="R1137" s="302"/>
      <c r="S1137" s="251"/>
      <c r="T1137" s="302"/>
      <c r="U1137" s="251"/>
      <c r="V1137" s="302"/>
      <c r="W1137" s="251"/>
      <c r="X1137" s="255"/>
      <c r="Y1137" s="302"/>
      <c r="Z1137" s="259"/>
      <c r="AA1137" s="251"/>
      <c r="AB1137" s="302"/>
      <c r="AC1137" s="306"/>
      <c r="AD1137" s="261"/>
      <c r="AE1137" s="261"/>
      <c r="AF1137" s="282"/>
    </row>
    <row r="1138" spans="2:32" hidden="1">
      <c r="B1138" s="266"/>
      <c r="C1138" s="220"/>
      <c r="D1138" s="220"/>
      <c r="E1138" s="220"/>
      <c r="F1138" s="220"/>
      <c r="G1138" s="223"/>
      <c r="H1138" s="226"/>
      <c r="I1138" s="226"/>
      <c r="J1138" s="216"/>
      <c r="K1138" s="216"/>
      <c r="L1138" s="216"/>
      <c r="M1138" s="230"/>
      <c r="N1138" s="234"/>
      <c r="O1138" s="238"/>
      <c r="P1138" s="243"/>
      <c r="Q1138" s="244"/>
      <c r="R1138" s="301"/>
      <c r="S1138" s="250"/>
      <c r="T1138" s="301"/>
      <c r="U1138" s="250"/>
      <c r="V1138" s="301"/>
      <c r="W1138" s="250"/>
      <c r="X1138" s="254"/>
      <c r="Y1138" s="301"/>
      <c r="Z1138" s="258"/>
      <c r="AA1138" s="250"/>
      <c r="AB1138" s="301"/>
      <c r="AC1138" s="305"/>
      <c r="AD1138" s="262"/>
      <c r="AE1138" s="262"/>
      <c r="AF1138" s="283"/>
    </row>
    <row r="1139" spans="2:32" hidden="1">
      <c r="B1139" s="267"/>
      <c r="C1139" s="219"/>
      <c r="D1139" s="219"/>
      <c r="E1139" s="219"/>
      <c r="F1139" s="219"/>
      <c r="G1139" s="222"/>
      <c r="H1139" s="227"/>
      <c r="I1139" s="227"/>
      <c r="J1139" s="217"/>
      <c r="K1139" s="217"/>
      <c r="L1139" s="217"/>
      <c r="M1139" s="231"/>
      <c r="N1139" s="235"/>
      <c r="O1139" s="239"/>
      <c r="P1139" s="245"/>
      <c r="Q1139" s="246"/>
      <c r="R1139" s="302"/>
      <c r="S1139" s="251"/>
      <c r="T1139" s="302"/>
      <c r="U1139" s="251"/>
      <c r="V1139" s="302"/>
      <c r="W1139" s="251"/>
      <c r="X1139" s="255"/>
      <c r="Y1139" s="302"/>
      <c r="Z1139" s="259"/>
      <c r="AA1139" s="251"/>
      <c r="AB1139" s="302"/>
      <c r="AC1139" s="306"/>
      <c r="AD1139" s="261"/>
      <c r="AE1139" s="261"/>
      <c r="AF1139" s="282"/>
    </row>
    <row r="1140" spans="2:32" hidden="1">
      <c r="B1140" s="266"/>
      <c r="C1140" s="220"/>
      <c r="D1140" s="220"/>
      <c r="E1140" s="220"/>
      <c r="F1140" s="220"/>
      <c r="G1140" s="223"/>
      <c r="H1140" s="226"/>
      <c r="I1140" s="226"/>
      <c r="J1140" s="216"/>
      <c r="K1140" s="216"/>
      <c r="L1140" s="216"/>
      <c r="M1140" s="230"/>
      <c r="N1140" s="234"/>
      <c r="O1140" s="238"/>
      <c r="P1140" s="243"/>
      <c r="Q1140" s="244"/>
      <c r="R1140" s="301"/>
      <c r="S1140" s="250"/>
      <c r="T1140" s="301"/>
      <c r="U1140" s="250"/>
      <c r="V1140" s="301"/>
      <c r="W1140" s="250"/>
      <c r="X1140" s="254"/>
      <c r="Y1140" s="301"/>
      <c r="Z1140" s="258"/>
      <c r="AA1140" s="250"/>
      <c r="AB1140" s="301"/>
      <c r="AC1140" s="305"/>
      <c r="AD1140" s="262"/>
      <c r="AE1140" s="262"/>
      <c r="AF1140" s="283"/>
    </row>
    <row r="1141" spans="2:32" hidden="1">
      <c r="B1141" s="267"/>
      <c r="C1141" s="219"/>
      <c r="D1141" s="219"/>
      <c r="E1141" s="219"/>
      <c r="F1141" s="219"/>
      <c r="G1141" s="222"/>
      <c r="H1141" s="227"/>
      <c r="I1141" s="227"/>
      <c r="J1141" s="217"/>
      <c r="K1141" s="217"/>
      <c r="L1141" s="217"/>
      <c r="M1141" s="231"/>
      <c r="N1141" s="235"/>
      <c r="O1141" s="239"/>
      <c r="P1141" s="245"/>
      <c r="Q1141" s="246"/>
      <c r="R1141" s="302"/>
      <c r="S1141" s="251"/>
      <c r="T1141" s="302"/>
      <c r="U1141" s="251"/>
      <c r="V1141" s="302"/>
      <c r="W1141" s="251"/>
      <c r="X1141" s="255"/>
      <c r="Y1141" s="302"/>
      <c r="Z1141" s="259"/>
      <c r="AA1141" s="251"/>
      <c r="AB1141" s="302"/>
      <c r="AC1141" s="306"/>
      <c r="AD1141" s="261"/>
      <c r="AE1141" s="261"/>
      <c r="AF1141" s="282"/>
    </row>
    <row r="1142" spans="2:32" hidden="1">
      <c r="B1142" s="266"/>
      <c r="C1142" s="220"/>
      <c r="D1142" s="220"/>
      <c r="E1142" s="220"/>
      <c r="F1142" s="220"/>
      <c r="G1142" s="223"/>
      <c r="H1142" s="226"/>
      <c r="I1142" s="226"/>
      <c r="J1142" s="216"/>
      <c r="K1142" s="216"/>
      <c r="L1142" s="216"/>
      <c r="M1142" s="230"/>
      <c r="N1142" s="234"/>
      <c r="O1142" s="238"/>
      <c r="P1142" s="243"/>
      <c r="Q1142" s="244"/>
      <c r="R1142" s="301"/>
      <c r="S1142" s="250"/>
      <c r="T1142" s="301"/>
      <c r="U1142" s="250"/>
      <c r="V1142" s="301"/>
      <c r="W1142" s="250"/>
      <c r="X1142" s="254"/>
      <c r="Y1142" s="301"/>
      <c r="Z1142" s="258"/>
      <c r="AA1142" s="250"/>
      <c r="AB1142" s="301"/>
      <c r="AC1142" s="305"/>
      <c r="AD1142" s="262"/>
      <c r="AE1142" s="262"/>
      <c r="AF1142" s="283"/>
    </row>
    <row r="1143" spans="2:32" hidden="1">
      <c r="B1143" s="267"/>
      <c r="C1143" s="219"/>
      <c r="D1143" s="219"/>
      <c r="E1143" s="219"/>
      <c r="F1143" s="219"/>
      <c r="G1143" s="222"/>
      <c r="H1143" s="227"/>
      <c r="I1143" s="227"/>
      <c r="J1143" s="217"/>
      <c r="K1143" s="217"/>
      <c r="L1143" s="217"/>
      <c r="M1143" s="231"/>
      <c r="N1143" s="235"/>
      <c r="O1143" s="239"/>
      <c r="P1143" s="245"/>
      <c r="Q1143" s="246"/>
      <c r="R1143" s="302"/>
      <c r="S1143" s="251"/>
      <c r="T1143" s="302"/>
      <c r="U1143" s="251"/>
      <c r="V1143" s="302"/>
      <c r="W1143" s="251"/>
      <c r="X1143" s="255"/>
      <c r="Y1143" s="302"/>
      <c r="Z1143" s="259"/>
      <c r="AA1143" s="251"/>
      <c r="AB1143" s="302"/>
      <c r="AC1143" s="306"/>
      <c r="AD1143" s="261"/>
      <c r="AE1143" s="261"/>
      <c r="AF1143" s="282"/>
    </row>
    <row r="1144" spans="2:32" hidden="1">
      <c r="B1144" s="266"/>
      <c r="C1144" s="220"/>
      <c r="D1144" s="220"/>
      <c r="E1144" s="220"/>
      <c r="F1144" s="220"/>
      <c r="G1144" s="223"/>
      <c r="H1144" s="226"/>
      <c r="I1144" s="226"/>
      <c r="J1144" s="216"/>
      <c r="K1144" s="216"/>
      <c r="L1144" s="216"/>
      <c r="M1144" s="230"/>
      <c r="N1144" s="234"/>
      <c r="O1144" s="238"/>
      <c r="P1144" s="243"/>
      <c r="Q1144" s="244"/>
      <c r="R1144" s="301"/>
      <c r="S1144" s="250"/>
      <c r="T1144" s="301"/>
      <c r="U1144" s="250"/>
      <c r="V1144" s="301"/>
      <c r="W1144" s="250"/>
      <c r="X1144" s="254"/>
      <c r="Y1144" s="301"/>
      <c r="Z1144" s="258"/>
      <c r="AA1144" s="250"/>
      <c r="AB1144" s="301"/>
      <c r="AC1144" s="305"/>
      <c r="AD1144" s="262"/>
      <c r="AE1144" s="262"/>
      <c r="AF1144" s="283"/>
    </row>
    <row r="1145" spans="2:32" hidden="1">
      <c r="B1145" s="267"/>
      <c r="C1145" s="219"/>
      <c r="D1145" s="219"/>
      <c r="E1145" s="219"/>
      <c r="F1145" s="219"/>
      <c r="G1145" s="222"/>
      <c r="H1145" s="227"/>
      <c r="I1145" s="227"/>
      <c r="J1145" s="217"/>
      <c r="K1145" s="217"/>
      <c r="L1145" s="217"/>
      <c r="M1145" s="231"/>
      <c r="N1145" s="235"/>
      <c r="O1145" s="239"/>
      <c r="P1145" s="245"/>
      <c r="Q1145" s="246"/>
      <c r="R1145" s="302"/>
      <c r="S1145" s="251"/>
      <c r="T1145" s="302"/>
      <c r="U1145" s="251"/>
      <c r="V1145" s="302"/>
      <c r="W1145" s="251"/>
      <c r="X1145" s="255"/>
      <c r="Y1145" s="302"/>
      <c r="Z1145" s="259"/>
      <c r="AA1145" s="251"/>
      <c r="AB1145" s="302"/>
      <c r="AC1145" s="306"/>
      <c r="AD1145" s="261"/>
      <c r="AE1145" s="261"/>
      <c r="AF1145" s="282"/>
    </row>
    <row r="1146" spans="2:32" hidden="1">
      <c r="B1146" s="266"/>
      <c r="C1146" s="220"/>
      <c r="D1146" s="220"/>
      <c r="E1146" s="220"/>
      <c r="F1146" s="220"/>
      <c r="G1146" s="223"/>
      <c r="H1146" s="226"/>
      <c r="I1146" s="226"/>
      <c r="J1146" s="216"/>
      <c r="K1146" s="216"/>
      <c r="L1146" s="216"/>
      <c r="M1146" s="230"/>
      <c r="N1146" s="234"/>
      <c r="O1146" s="238"/>
      <c r="P1146" s="243"/>
      <c r="Q1146" s="244"/>
      <c r="R1146" s="301"/>
      <c r="S1146" s="250"/>
      <c r="T1146" s="301"/>
      <c r="U1146" s="250"/>
      <c r="V1146" s="301"/>
      <c r="W1146" s="250"/>
      <c r="X1146" s="254"/>
      <c r="Y1146" s="301"/>
      <c r="Z1146" s="258"/>
      <c r="AA1146" s="250"/>
      <c r="AB1146" s="301"/>
      <c r="AC1146" s="305"/>
      <c r="AD1146" s="262"/>
      <c r="AE1146" s="262"/>
      <c r="AF1146" s="283"/>
    </row>
    <row r="1147" spans="2:32" hidden="1">
      <c r="B1147" s="267"/>
      <c r="C1147" s="219"/>
      <c r="D1147" s="219"/>
      <c r="E1147" s="219"/>
      <c r="F1147" s="219"/>
      <c r="G1147" s="222"/>
      <c r="H1147" s="227"/>
      <c r="I1147" s="227"/>
      <c r="J1147" s="217"/>
      <c r="K1147" s="217"/>
      <c r="L1147" s="217"/>
      <c r="M1147" s="231"/>
      <c r="N1147" s="235"/>
      <c r="O1147" s="239"/>
      <c r="P1147" s="245"/>
      <c r="Q1147" s="246"/>
      <c r="R1147" s="302"/>
      <c r="S1147" s="251"/>
      <c r="T1147" s="302"/>
      <c r="U1147" s="251"/>
      <c r="V1147" s="302"/>
      <c r="W1147" s="251"/>
      <c r="X1147" s="255"/>
      <c r="Y1147" s="302"/>
      <c r="Z1147" s="259"/>
      <c r="AA1147" s="251"/>
      <c r="AB1147" s="302"/>
      <c r="AC1147" s="306"/>
      <c r="AD1147" s="261"/>
      <c r="AE1147" s="261"/>
      <c r="AF1147" s="282"/>
    </row>
    <row r="1148" spans="2:32" hidden="1">
      <c r="B1148" s="266"/>
      <c r="C1148" s="220"/>
      <c r="D1148" s="220"/>
      <c r="E1148" s="220"/>
      <c r="F1148" s="220"/>
      <c r="G1148" s="223"/>
      <c r="H1148" s="226"/>
      <c r="I1148" s="226"/>
      <c r="J1148" s="216"/>
      <c r="K1148" s="216"/>
      <c r="L1148" s="216"/>
      <c r="M1148" s="230"/>
      <c r="N1148" s="234"/>
      <c r="O1148" s="238"/>
      <c r="P1148" s="243"/>
      <c r="Q1148" s="244"/>
      <c r="R1148" s="301"/>
      <c r="S1148" s="250"/>
      <c r="T1148" s="301"/>
      <c r="U1148" s="250"/>
      <c r="V1148" s="301"/>
      <c r="W1148" s="250"/>
      <c r="X1148" s="254"/>
      <c r="Y1148" s="301"/>
      <c r="Z1148" s="258"/>
      <c r="AA1148" s="250"/>
      <c r="AB1148" s="301"/>
      <c r="AC1148" s="305"/>
      <c r="AD1148" s="262"/>
      <c r="AE1148" s="262"/>
      <c r="AF1148" s="283"/>
    </row>
    <row r="1149" spans="2:32" hidden="1">
      <c r="B1149" s="267"/>
      <c r="C1149" s="219"/>
      <c r="D1149" s="219"/>
      <c r="E1149" s="219"/>
      <c r="F1149" s="219"/>
      <c r="G1149" s="222"/>
      <c r="H1149" s="227"/>
      <c r="I1149" s="227"/>
      <c r="J1149" s="217"/>
      <c r="K1149" s="217"/>
      <c r="L1149" s="217"/>
      <c r="M1149" s="231"/>
      <c r="N1149" s="235"/>
      <c r="O1149" s="239"/>
      <c r="P1149" s="245"/>
      <c r="Q1149" s="246"/>
      <c r="R1149" s="302"/>
      <c r="S1149" s="251"/>
      <c r="T1149" s="302"/>
      <c r="U1149" s="251"/>
      <c r="V1149" s="302"/>
      <c r="W1149" s="251"/>
      <c r="X1149" s="255"/>
      <c r="Y1149" s="302"/>
      <c r="Z1149" s="259"/>
      <c r="AA1149" s="251"/>
      <c r="AB1149" s="302"/>
      <c r="AC1149" s="306"/>
      <c r="AD1149" s="261"/>
      <c r="AE1149" s="261"/>
      <c r="AF1149" s="282"/>
    </row>
    <row r="1150" spans="2:32" hidden="1">
      <c r="B1150" s="266"/>
      <c r="C1150" s="220"/>
      <c r="D1150" s="220"/>
      <c r="E1150" s="220"/>
      <c r="F1150" s="220"/>
      <c r="G1150" s="223"/>
      <c r="H1150" s="226"/>
      <c r="I1150" s="226"/>
      <c r="J1150" s="216"/>
      <c r="K1150" s="216"/>
      <c r="L1150" s="216"/>
      <c r="M1150" s="230"/>
      <c r="N1150" s="234"/>
      <c r="O1150" s="238"/>
      <c r="P1150" s="243"/>
      <c r="Q1150" s="244"/>
      <c r="R1150" s="301"/>
      <c r="S1150" s="250"/>
      <c r="T1150" s="301"/>
      <c r="U1150" s="250"/>
      <c r="V1150" s="301"/>
      <c r="W1150" s="250"/>
      <c r="X1150" s="254"/>
      <c r="Y1150" s="301"/>
      <c r="Z1150" s="258"/>
      <c r="AA1150" s="250"/>
      <c r="AB1150" s="301"/>
      <c r="AC1150" s="305"/>
      <c r="AD1150" s="262"/>
      <c r="AE1150" s="262"/>
      <c r="AF1150" s="283"/>
    </row>
    <row r="1151" spans="2:32" hidden="1">
      <c r="B1151" s="267"/>
      <c r="C1151" s="219"/>
      <c r="D1151" s="219"/>
      <c r="E1151" s="219"/>
      <c r="F1151" s="219"/>
      <c r="G1151" s="222"/>
      <c r="H1151" s="227"/>
      <c r="I1151" s="227"/>
      <c r="J1151" s="217"/>
      <c r="K1151" s="217"/>
      <c r="L1151" s="217"/>
      <c r="M1151" s="231"/>
      <c r="N1151" s="235"/>
      <c r="O1151" s="239"/>
      <c r="P1151" s="245"/>
      <c r="Q1151" s="246"/>
      <c r="R1151" s="302"/>
      <c r="S1151" s="251"/>
      <c r="T1151" s="302"/>
      <c r="U1151" s="251"/>
      <c r="V1151" s="302"/>
      <c r="W1151" s="251"/>
      <c r="X1151" s="255"/>
      <c r="Y1151" s="302"/>
      <c r="Z1151" s="259"/>
      <c r="AA1151" s="251"/>
      <c r="AB1151" s="302"/>
      <c r="AC1151" s="306"/>
      <c r="AD1151" s="261"/>
      <c r="AE1151" s="261"/>
      <c r="AF1151" s="282"/>
    </row>
    <row r="1152" spans="2:32" hidden="1">
      <c r="B1152" s="266"/>
      <c r="C1152" s="220"/>
      <c r="D1152" s="220"/>
      <c r="E1152" s="220"/>
      <c r="F1152" s="220"/>
      <c r="G1152" s="223"/>
      <c r="H1152" s="226"/>
      <c r="I1152" s="226"/>
      <c r="J1152" s="216"/>
      <c r="K1152" s="216"/>
      <c r="L1152" s="216"/>
      <c r="M1152" s="230"/>
      <c r="N1152" s="234"/>
      <c r="O1152" s="238"/>
      <c r="P1152" s="243"/>
      <c r="Q1152" s="244"/>
      <c r="R1152" s="301"/>
      <c r="S1152" s="250"/>
      <c r="T1152" s="301"/>
      <c r="U1152" s="250"/>
      <c r="V1152" s="301"/>
      <c r="W1152" s="250"/>
      <c r="X1152" s="254"/>
      <c r="Y1152" s="301"/>
      <c r="Z1152" s="258"/>
      <c r="AA1152" s="250"/>
      <c r="AB1152" s="301"/>
      <c r="AC1152" s="305"/>
      <c r="AD1152" s="262"/>
      <c r="AE1152" s="262"/>
      <c r="AF1152" s="283"/>
    </row>
    <row r="1153" spans="2:32" hidden="1">
      <c r="B1153" s="267"/>
      <c r="C1153" s="219"/>
      <c r="D1153" s="219"/>
      <c r="E1153" s="219"/>
      <c r="F1153" s="219"/>
      <c r="G1153" s="222"/>
      <c r="H1153" s="227"/>
      <c r="I1153" s="227"/>
      <c r="J1153" s="217"/>
      <c r="K1153" s="217"/>
      <c r="L1153" s="217"/>
      <c r="M1153" s="231"/>
      <c r="N1153" s="235"/>
      <c r="O1153" s="239"/>
      <c r="P1153" s="245"/>
      <c r="Q1153" s="246"/>
      <c r="R1153" s="302"/>
      <c r="S1153" s="251"/>
      <c r="T1153" s="302"/>
      <c r="U1153" s="251"/>
      <c r="V1153" s="302"/>
      <c r="W1153" s="251"/>
      <c r="X1153" s="255"/>
      <c r="Y1153" s="302"/>
      <c r="Z1153" s="259"/>
      <c r="AA1153" s="251"/>
      <c r="AB1153" s="302"/>
      <c r="AC1153" s="306"/>
      <c r="AD1153" s="261"/>
      <c r="AE1153" s="261"/>
      <c r="AF1153" s="282"/>
    </row>
    <row r="1154" spans="2:32" hidden="1">
      <c r="B1154" s="266"/>
      <c r="C1154" s="220"/>
      <c r="D1154" s="220"/>
      <c r="E1154" s="220"/>
      <c r="F1154" s="220"/>
      <c r="G1154" s="223"/>
      <c r="H1154" s="226"/>
      <c r="I1154" s="226"/>
      <c r="J1154" s="216"/>
      <c r="K1154" s="216"/>
      <c r="L1154" s="216"/>
      <c r="M1154" s="230"/>
      <c r="N1154" s="234"/>
      <c r="O1154" s="238"/>
      <c r="P1154" s="243"/>
      <c r="Q1154" s="244"/>
      <c r="R1154" s="301"/>
      <c r="S1154" s="250"/>
      <c r="T1154" s="301"/>
      <c r="U1154" s="250"/>
      <c r="V1154" s="301"/>
      <c r="W1154" s="250"/>
      <c r="X1154" s="254"/>
      <c r="Y1154" s="301"/>
      <c r="Z1154" s="258"/>
      <c r="AA1154" s="250"/>
      <c r="AB1154" s="301"/>
      <c r="AC1154" s="305"/>
      <c r="AD1154" s="262"/>
      <c r="AE1154" s="262"/>
      <c r="AF1154" s="283"/>
    </row>
    <row r="1155" spans="2:32" hidden="1">
      <c r="B1155" s="267"/>
      <c r="C1155" s="219"/>
      <c r="D1155" s="219"/>
      <c r="E1155" s="219"/>
      <c r="F1155" s="219"/>
      <c r="G1155" s="222"/>
      <c r="H1155" s="227"/>
      <c r="I1155" s="227"/>
      <c r="J1155" s="217"/>
      <c r="K1155" s="217"/>
      <c r="L1155" s="217"/>
      <c r="M1155" s="231"/>
      <c r="N1155" s="235"/>
      <c r="O1155" s="239"/>
      <c r="P1155" s="245"/>
      <c r="Q1155" s="246"/>
      <c r="R1155" s="302"/>
      <c r="S1155" s="251"/>
      <c r="T1155" s="302"/>
      <c r="U1155" s="251"/>
      <c r="V1155" s="302"/>
      <c r="W1155" s="251"/>
      <c r="X1155" s="255"/>
      <c r="Y1155" s="302"/>
      <c r="Z1155" s="259"/>
      <c r="AA1155" s="251"/>
      <c r="AB1155" s="302"/>
      <c r="AC1155" s="306"/>
      <c r="AD1155" s="261"/>
      <c r="AE1155" s="261"/>
      <c r="AF1155" s="282"/>
    </row>
    <row r="1156" spans="2:32" hidden="1">
      <c r="B1156" s="266"/>
      <c r="C1156" s="220"/>
      <c r="D1156" s="220"/>
      <c r="E1156" s="220"/>
      <c r="F1156" s="220"/>
      <c r="G1156" s="223"/>
      <c r="H1156" s="226"/>
      <c r="I1156" s="226"/>
      <c r="J1156" s="216"/>
      <c r="K1156" s="216"/>
      <c r="L1156" s="216"/>
      <c r="M1156" s="230"/>
      <c r="N1156" s="234"/>
      <c r="O1156" s="238"/>
      <c r="P1156" s="243"/>
      <c r="Q1156" s="244"/>
      <c r="R1156" s="301"/>
      <c r="S1156" s="250"/>
      <c r="T1156" s="301"/>
      <c r="U1156" s="250"/>
      <c r="V1156" s="301"/>
      <c r="W1156" s="250"/>
      <c r="X1156" s="254"/>
      <c r="Y1156" s="301"/>
      <c r="Z1156" s="258"/>
      <c r="AA1156" s="250"/>
      <c r="AB1156" s="301"/>
      <c r="AC1156" s="305"/>
      <c r="AD1156" s="262"/>
      <c r="AE1156" s="262"/>
      <c r="AF1156" s="283"/>
    </row>
    <row r="1157" spans="2:32" hidden="1">
      <c r="B1157" s="267"/>
      <c r="C1157" s="219"/>
      <c r="D1157" s="219"/>
      <c r="E1157" s="219"/>
      <c r="F1157" s="219"/>
      <c r="G1157" s="222"/>
      <c r="H1157" s="227"/>
      <c r="I1157" s="227"/>
      <c r="J1157" s="217"/>
      <c r="K1157" s="217"/>
      <c r="L1157" s="217"/>
      <c r="M1157" s="231"/>
      <c r="N1157" s="235"/>
      <c r="O1157" s="239"/>
      <c r="P1157" s="245"/>
      <c r="Q1157" s="246"/>
      <c r="R1157" s="302"/>
      <c r="S1157" s="251"/>
      <c r="T1157" s="302"/>
      <c r="U1157" s="251"/>
      <c r="V1157" s="302"/>
      <c r="W1157" s="251"/>
      <c r="X1157" s="255"/>
      <c r="Y1157" s="302"/>
      <c r="Z1157" s="259"/>
      <c r="AA1157" s="251"/>
      <c r="AB1157" s="302"/>
      <c r="AC1157" s="306"/>
      <c r="AD1157" s="261"/>
      <c r="AE1157" s="261"/>
      <c r="AF1157" s="282"/>
    </row>
    <row r="1158" spans="2:32" hidden="1">
      <c r="B1158" s="266"/>
      <c r="C1158" s="220"/>
      <c r="D1158" s="220"/>
      <c r="E1158" s="220"/>
      <c r="F1158" s="220"/>
      <c r="G1158" s="223"/>
      <c r="H1158" s="226"/>
      <c r="I1158" s="226"/>
      <c r="J1158" s="216"/>
      <c r="K1158" s="216"/>
      <c r="L1158" s="216"/>
      <c r="M1158" s="230"/>
      <c r="N1158" s="234"/>
      <c r="O1158" s="238"/>
      <c r="P1158" s="243"/>
      <c r="Q1158" s="244"/>
      <c r="R1158" s="301"/>
      <c r="S1158" s="250"/>
      <c r="T1158" s="301"/>
      <c r="U1158" s="250"/>
      <c r="V1158" s="301"/>
      <c r="W1158" s="250"/>
      <c r="X1158" s="254"/>
      <c r="Y1158" s="301"/>
      <c r="Z1158" s="258"/>
      <c r="AA1158" s="250"/>
      <c r="AB1158" s="301"/>
      <c r="AC1158" s="305"/>
      <c r="AD1158" s="262"/>
      <c r="AE1158" s="262"/>
      <c r="AF1158" s="283"/>
    </row>
    <row r="1159" spans="2:32" hidden="1">
      <c r="B1159" s="267"/>
      <c r="C1159" s="219"/>
      <c r="D1159" s="219"/>
      <c r="E1159" s="219"/>
      <c r="F1159" s="219"/>
      <c r="G1159" s="222"/>
      <c r="H1159" s="227"/>
      <c r="I1159" s="227"/>
      <c r="J1159" s="217"/>
      <c r="K1159" s="217"/>
      <c r="L1159" s="217"/>
      <c r="M1159" s="231"/>
      <c r="N1159" s="235"/>
      <c r="O1159" s="239"/>
      <c r="P1159" s="245"/>
      <c r="Q1159" s="246"/>
      <c r="R1159" s="302"/>
      <c r="S1159" s="251"/>
      <c r="T1159" s="302"/>
      <c r="U1159" s="251"/>
      <c r="V1159" s="302"/>
      <c r="W1159" s="251"/>
      <c r="X1159" s="255"/>
      <c r="Y1159" s="302"/>
      <c r="Z1159" s="259"/>
      <c r="AA1159" s="251"/>
      <c r="AB1159" s="302"/>
      <c r="AC1159" s="306"/>
      <c r="AD1159" s="261"/>
      <c r="AE1159" s="261"/>
      <c r="AF1159" s="282"/>
    </row>
    <row r="1160" spans="2:32" hidden="1">
      <c r="B1160" s="266"/>
      <c r="C1160" s="220"/>
      <c r="D1160" s="220"/>
      <c r="E1160" s="220"/>
      <c r="F1160" s="220"/>
      <c r="G1160" s="223"/>
      <c r="H1160" s="226"/>
      <c r="I1160" s="226"/>
      <c r="J1160" s="216"/>
      <c r="K1160" s="216"/>
      <c r="L1160" s="216"/>
      <c r="M1160" s="230"/>
      <c r="N1160" s="234"/>
      <c r="O1160" s="238"/>
      <c r="P1160" s="243"/>
      <c r="Q1160" s="244"/>
      <c r="R1160" s="301"/>
      <c r="S1160" s="250"/>
      <c r="T1160" s="301"/>
      <c r="U1160" s="250"/>
      <c r="V1160" s="301"/>
      <c r="W1160" s="250"/>
      <c r="X1160" s="254"/>
      <c r="Y1160" s="301"/>
      <c r="Z1160" s="258"/>
      <c r="AA1160" s="250"/>
      <c r="AB1160" s="301"/>
      <c r="AC1160" s="305"/>
      <c r="AD1160" s="262"/>
      <c r="AE1160" s="262"/>
      <c r="AF1160" s="283"/>
    </row>
    <row r="1161" spans="2:32" hidden="1">
      <c r="B1161" s="267"/>
      <c r="C1161" s="219"/>
      <c r="D1161" s="219"/>
      <c r="E1161" s="219"/>
      <c r="F1161" s="219"/>
      <c r="G1161" s="222"/>
      <c r="H1161" s="227"/>
      <c r="I1161" s="227"/>
      <c r="J1161" s="217"/>
      <c r="K1161" s="217"/>
      <c r="L1161" s="217"/>
      <c r="M1161" s="231"/>
      <c r="N1161" s="235"/>
      <c r="O1161" s="239"/>
      <c r="P1161" s="245"/>
      <c r="Q1161" s="246"/>
      <c r="R1161" s="302"/>
      <c r="S1161" s="251"/>
      <c r="T1161" s="302"/>
      <c r="U1161" s="251"/>
      <c r="V1161" s="302"/>
      <c r="W1161" s="251"/>
      <c r="X1161" s="255"/>
      <c r="Y1161" s="302"/>
      <c r="Z1161" s="259"/>
      <c r="AA1161" s="251"/>
      <c r="AB1161" s="302"/>
      <c r="AC1161" s="306"/>
      <c r="AD1161" s="261"/>
      <c r="AE1161" s="261"/>
      <c r="AF1161" s="282"/>
    </row>
    <row r="1162" spans="2:32" hidden="1">
      <c r="B1162" s="266"/>
      <c r="C1162" s="220"/>
      <c r="D1162" s="220"/>
      <c r="E1162" s="220"/>
      <c r="F1162" s="220"/>
      <c r="G1162" s="223"/>
      <c r="H1162" s="226"/>
      <c r="I1162" s="226"/>
      <c r="J1162" s="216"/>
      <c r="K1162" s="216"/>
      <c r="L1162" s="216"/>
      <c r="M1162" s="230"/>
      <c r="N1162" s="234"/>
      <c r="O1162" s="238"/>
      <c r="P1162" s="243"/>
      <c r="Q1162" s="244"/>
      <c r="R1162" s="301"/>
      <c r="S1162" s="250"/>
      <c r="T1162" s="301"/>
      <c r="U1162" s="250"/>
      <c r="V1162" s="301"/>
      <c r="W1162" s="250"/>
      <c r="X1162" s="254"/>
      <c r="Y1162" s="301"/>
      <c r="Z1162" s="258"/>
      <c r="AA1162" s="250"/>
      <c r="AB1162" s="301"/>
      <c r="AC1162" s="305"/>
      <c r="AD1162" s="262"/>
      <c r="AE1162" s="262"/>
      <c r="AF1162" s="283"/>
    </row>
    <row r="1163" spans="2:32" hidden="1">
      <c r="B1163" s="267"/>
      <c r="C1163" s="219"/>
      <c r="D1163" s="219"/>
      <c r="E1163" s="219"/>
      <c r="F1163" s="219"/>
      <c r="G1163" s="222"/>
      <c r="H1163" s="227"/>
      <c r="I1163" s="227"/>
      <c r="J1163" s="217"/>
      <c r="K1163" s="217"/>
      <c r="L1163" s="217"/>
      <c r="M1163" s="231"/>
      <c r="N1163" s="235"/>
      <c r="O1163" s="239"/>
      <c r="P1163" s="245"/>
      <c r="Q1163" s="246"/>
      <c r="R1163" s="302"/>
      <c r="S1163" s="251"/>
      <c r="T1163" s="302"/>
      <c r="U1163" s="251"/>
      <c r="V1163" s="302"/>
      <c r="W1163" s="251"/>
      <c r="X1163" s="255"/>
      <c r="Y1163" s="302"/>
      <c r="Z1163" s="259"/>
      <c r="AA1163" s="251"/>
      <c r="AB1163" s="302"/>
      <c r="AC1163" s="306"/>
      <c r="AD1163" s="261"/>
      <c r="AE1163" s="261"/>
      <c r="AF1163" s="282"/>
    </row>
    <row r="1164" spans="2:32" hidden="1">
      <c r="B1164" s="266"/>
      <c r="C1164" s="220"/>
      <c r="D1164" s="220"/>
      <c r="E1164" s="220"/>
      <c r="F1164" s="220"/>
      <c r="G1164" s="223"/>
      <c r="H1164" s="226"/>
      <c r="I1164" s="226"/>
      <c r="J1164" s="216"/>
      <c r="K1164" s="216"/>
      <c r="L1164" s="216"/>
      <c r="M1164" s="230"/>
      <c r="N1164" s="234"/>
      <c r="O1164" s="238"/>
      <c r="P1164" s="243"/>
      <c r="Q1164" s="244"/>
      <c r="R1164" s="301"/>
      <c r="S1164" s="250"/>
      <c r="T1164" s="301"/>
      <c r="U1164" s="250"/>
      <c r="V1164" s="301"/>
      <c r="W1164" s="250"/>
      <c r="X1164" s="254"/>
      <c r="Y1164" s="301"/>
      <c r="Z1164" s="258"/>
      <c r="AA1164" s="250"/>
      <c r="AB1164" s="301"/>
      <c r="AC1164" s="305"/>
      <c r="AD1164" s="262"/>
      <c r="AE1164" s="262"/>
      <c r="AF1164" s="283"/>
    </row>
    <row r="1165" spans="2:32" hidden="1">
      <c r="B1165" s="267"/>
      <c r="C1165" s="219"/>
      <c r="D1165" s="219"/>
      <c r="E1165" s="219"/>
      <c r="F1165" s="219"/>
      <c r="G1165" s="222"/>
      <c r="H1165" s="227"/>
      <c r="I1165" s="227"/>
      <c r="J1165" s="217"/>
      <c r="K1165" s="217"/>
      <c r="L1165" s="217"/>
      <c r="M1165" s="231"/>
      <c r="N1165" s="235"/>
      <c r="O1165" s="239"/>
      <c r="P1165" s="245"/>
      <c r="Q1165" s="246"/>
      <c r="R1165" s="302"/>
      <c r="S1165" s="251"/>
      <c r="T1165" s="302"/>
      <c r="U1165" s="251"/>
      <c r="V1165" s="302"/>
      <c r="W1165" s="251"/>
      <c r="X1165" s="255"/>
      <c r="Y1165" s="302"/>
      <c r="Z1165" s="259"/>
      <c r="AA1165" s="251"/>
      <c r="AB1165" s="302"/>
      <c r="AC1165" s="306"/>
      <c r="AD1165" s="261"/>
      <c r="AE1165" s="261"/>
      <c r="AF1165" s="282"/>
    </row>
    <row r="1166" spans="2:32" hidden="1">
      <c r="B1166" s="266"/>
      <c r="C1166" s="220"/>
      <c r="D1166" s="220"/>
      <c r="E1166" s="220"/>
      <c r="F1166" s="220"/>
      <c r="G1166" s="223"/>
      <c r="H1166" s="226"/>
      <c r="I1166" s="226"/>
      <c r="J1166" s="216"/>
      <c r="K1166" s="216"/>
      <c r="L1166" s="216"/>
      <c r="M1166" s="230"/>
      <c r="N1166" s="234"/>
      <c r="O1166" s="238"/>
      <c r="P1166" s="243"/>
      <c r="Q1166" s="244"/>
      <c r="R1166" s="301"/>
      <c r="S1166" s="250"/>
      <c r="T1166" s="301"/>
      <c r="U1166" s="250"/>
      <c r="V1166" s="301"/>
      <c r="W1166" s="250"/>
      <c r="X1166" s="254"/>
      <c r="Y1166" s="301"/>
      <c r="Z1166" s="258"/>
      <c r="AA1166" s="250"/>
      <c r="AB1166" s="301"/>
      <c r="AC1166" s="305"/>
      <c r="AD1166" s="262"/>
      <c r="AE1166" s="262"/>
      <c r="AF1166" s="283"/>
    </row>
    <row r="1167" spans="2:32" hidden="1">
      <c r="B1167" s="267"/>
      <c r="C1167" s="219"/>
      <c r="D1167" s="219"/>
      <c r="E1167" s="219"/>
      <c r="F1167" s="219"/>
      <c r="G1167" s="222"/>
      <c r="H1167" s="227"/>
      <c r="I1167" s="227"/>
      <c r="J1167" s="217"/>
      <c r="K1167" s="217"/>
      <c r="L1167" s="217"/>
      <c r="M1167" s="231"/>
      <c r="N1167" s="235"/>
      <c r="O1167" s="239"/>
      <c r="P1167" s="245"/>
      <c r="Q1167" s="246"/>
      <c r="R1167" s="302"/>
      <c r="S1167" s="251"/>
      <c r="T1167" s="302"/>
      <c r="U1167" s="251"/>
      <c r="V1167" s="302"/>
      <c r="W1167" s="251"/>
      <c r="X1167" s="255"/>
      <c r="Y1167" s="302"/>
      <c r="Z1167" s="259"/>
      <c r="AA1167" s="251"/>
      <c r="AB1167" s="302"/>
      <c r="AC1167" s="306"/>
      <c r="AD1167" s="261"/>
      <c r="AE1167" s="261"/>
      <c r="AF1167" s="282"/>
    </row>
    <row r="1168" spans="2:32" hidden="1">
      <c r="B1168" s="266"/>
      <c r="C1168" s="220"/>
      <c r="D1168" s="220"/>
      <c r="E1168" s="220"/>
      <c r="F1168" s="220"/>
      <c r="G1168" s="223"/>
      <c r="H1168" s="226"/>
      <c r="I1168" s="226"/>
      <c r="J1168" s="216"/>
      <c r="K1168" s="216"/>
      <c r="L1168" s="216"/>
      <c r="M1168" s="230"/>
      <c r="N1168" s="234"/>
      <c r="O1168" s="238"/>
      <c r="P1168" s="243"/>
      <c r="Q1168" s="244"/>
      <c r="R1168" s="301"/>
      <c r="S1168" s="250"/>
      <c r="T1168" s="301"/>
      <c r="U1168" s="250"/>
      <c r="V1168" s="301"/>
      <c r="W1168" s="250"/>
      <c r="X1168" s="254"/>
      <c r="Y1168" s="301"/>
      <c r="Z1168" s="258"/>
      <c r="AA1168" s="250"/>
      <c r="AB1168" s="301"/>
      <c r="AC1168" s="305"/>
      <c r="AD1168" s="262"/>
      <c r="AE1168" s="262"/>
      <c r="AF1168" s="283"/>
    </row>
    <row r="1169" spans="2:32" hidden="1">
      <c r="B1169" s="267"/>
      <c r="C1169" s="219"/>
      <c r="D1169" s="219"/>
      <c r="E1169" s="219"/>
      <c r="F1169" s="219"/>
      <c r="G1169" s="222"/>
      <c r="H1169" s="227"/>
      <c r="I1169" s="227"/>
      <c r="J1169" s="217"/>
      <c r="K1169" s="217"/>
      <c r="L1169" s="217"/>
      <c r="M1169" s="231"/>
      <c r="N1169" s="235"/>
      <c r="O1169" s="239"/>
      <c r="P1169" s="245"/>
      <c r="Q1169" s="246"/>
      <c r="R1169" s="302"/>
      <c r="S1169" s="251"/>
      <c r="T1169" s="302"/>
      <c r="U1169" s="251"/>
      <c r="V1169" s="302"/>
      <c r="W1169" s="251"/>
      <c r="X1169" s="255"/>
      <c r="Y1169" s="302"/>
      <c r="Z1169" s="259"/>
      <c r="AA1169" s="251"/>
      <c r="AB1169" s="302"/>
      <c r="AC1169" s="306"/>
      <c r="AD1169" s="261"/>
      <c r="AE1169" s="261"/>
      <c r="AF1169" s="282"/>
    </row>
    <row r="1170" spans="2:32" hidden="1">
      <c r="B1170" s="266"/>
      <c r="C1170" s="220"/>
      <c r="D1170" s="220"/>
      <c r="E1170" s="220"/>
      <c r="F1170" s="220"/>
      <c r="G1170" s="223"/>
      <c r="H1170" s="226"/>
      <c r="I1170" s="226"/>
      <c r="J1170" s="216"/>
      <c r="K1170" s="216"/>
      <c r="L1170" s="216"/>
      <c r="M1170" s="230"/>
      <c r="N1170" s="234"/>
      <c r="O1170" s="238"/>
      <c r="P1170" s="243"/>
      <c r="Q1170" s="244"/>
      <c r="R1170" s="301"/>
      <c r="S1170" s="250"/>
      <c r="T1170" s="301"/>
      <c r="U1170" s="250"/>
      <c r="V1170" s="301"/>
      <c r="W1170" s="250"/>
      <c r="X1170" s="254"/>
      <c r="Y1170" s="301"/>
      <c r="Z1170" s="258"/>
      <c r="AA1170" s="250"/>
      <c r="AB1170" s="301"/>
      <c r="AC1170" s="305"/>
      <c r="AD1170" s="262"/>
      <c r="AE1170" s="262"/>
      <c r="AF1170" s="283"/>
    </row>
    <row r="1171" spans="2:32" hidden="1">
      <c r="B1171" s="267"/>
      <c r="C1171" s="219"/>
      <c r="D1171" s="219"/>
      <c r="E1171" s="219"/>
      <c r="F1171" s="219"/>
      <c r="G1171" s="222"/>
      <c r="H1171" s="227"/>
      <c r="I1171" s="227"/>
      <c r="J1171" s="217"/>
      <c r="K1171" s="217"/>
      <c r="L1171" s="217"/>
      <c r="M1171" s="231"/>
      <c r="N1171" s="235"/>
      <c r="O1171" s="239"/>
      <c r="P1171" s="245"/>
      <c r="Q1171" s="246"/>
      <c r="R1171" s="302"/>
      <c r="S1171" s="251"/>
      <c r="T1171" s="302"/>
      <c r="U1171" s="251"/>
      <c r="V1171" s="302"/>
      <c r="W1171" s="251"/>
      <c r="X1171" s="255"/>
      <c r="Y1171" s="302"/>
      <c r="Z1171" s="259"/>
      <c r="AA1171" s="251"/>
      <c r="AB1171" s="302"/>
      <c r="AC1171" s="306"/>
      <c r="AD1171" s="261"/>
      <c r="AE1171" s="261"/>
      <c r="AF1171" s="282"/>
    </row>
    <row r="1172" spans="2:32" hidden="1">
      <c r="B1172" s="266"/>
      <c r="C1172" s="220"/>
      <c r="D1172" s="220"/>
      <c r="E1172" s="220"/>
      <c r="F1172" s="220"/>
      <c r="G1172" s="223"/>
      <c r="H1172" s="226"/>
      <c r="I1172" s="226"/>
      <c r="J1172" s="216"/>
      <c r="K1172" s="216"/>
      <c r="L1172" s="216"/>
      <c r="M1172" s="230"/>
      <c r="N1172" s="234"/>
      <c r="O1172" s="238"/>
      <c r="P1172" s="243"/>
      <c r="Q1172" s="244"/>
      <c r="R1172" s="301"/>
      <c r="S1172" s="250"/>
      <c r="T1172" s="301"/>
      <c r="U1172" s="250"/>
      <c r="V1172" s="301"/>
      <c r="W1172" s="250"/>
      <c r="X1172" s="254"/>
      <c r="Y1172" s="301"/>
      <c r="Z1172" s="258"/>
      <c r="AA1172" s="250"/>
      <c r="AB1172" s="301"/>
      <c r="AC1172" s="305"/>
      <c r="AD1172" s="262"/>
      <c r="AE1172" s="262"/>
      <c r="AF1172" s="283"/>
    </row>
    <row r="1173" spans="2:32" hidden="1">
      <c r="B1173" s="267"/>
      <c r="C1173" s="219"/>
      <c r="D1173" s="219"/>
      <c r="E1173" s="219"/>
      <c r="F1173" s="219"/>
      <c r="G1173" s="222"/>
      <c r="H1173" s="227"/>
      <c r="I1173" s="227"/>
      <c r="J1173" s="217"/>
      <c r="K1173" s="217"/>
      <c r="L1173" s="217"/>
      <c r="M1173" s="231"/>
      <c r="N1173" s="235"/>
      <c r="O1173" s="239"/>
      <c r="P1173" s="245"/>
      <c r="Q1173" s="246"/>
      <c r="R1173" s="302"/>
      <c r="S1173" s="251"/>
      <c r="T1173" s="302"/>
      <c r="U1173" s="251"/>
      <c r="V1173" s="302"/>
      <c r="W1173" s="251"/>
      <c r="X1173" s="255"/>
      <c r="Y1173" s="302"/>
      <c r="Z1173" s="259"/>
      <c r="AA1173" s="251"/>
      <c r="AB1173" s="302"/>
      <c r="AC1173" s="306"/>
      <c r="AD1173" s="261"/>
      <c r="AE1173" s="261"/>
      <c r="AF1173" s="282"/>
    </row>
    <row r="1174" spans="2:32" hidden="1">
      <c r="B1174" s="266"/>
      <c r="C1174" s="220"/>
      <c r="D1174" s="220"/>
      <c r="E1174" s="220"/>
      <c r="F1174" s="220"/>
      <c r="G1174" s="223"/>
      <c r="H1174" s="226"/>
      <c r="I1174" s="226"/>
      <c r="J1174" s="216"/>
      <c r="K1174" s="216"/>
      <c r="L1174" s="216"/>
      <c r="M1174" s="230"/>
      <c r="N1174" s="234"/>
      <c r="O1174" s="238"/>
      <c r="P1174" s="243"/>
      <c r="Q1174" s="244"/>
      <c r="R1174" s="301"/>
      <c r="S1174" s="250"/>
      <c r="T1174" s="301"/>
      <c r="U1174" s="250"/>
      <c r="V1174" s="301"/>
      <c r="W1174" s="250"/>
      <c r="X1174" s="254"/>
      <c r="Y1174" s="301"/>
      <c r="Z1174" s="258"/>
      <c r="AA1174" s="250"/>
      <c r="AB1174" s="301"/>
      <c r="AC1174" s="305"/>
      <c r="AD1174" s="262"/>
      <c r="AE1174" s="262"/>
      <c r="AF1174" s="283"/>
    </row>
    <row r="1175" spans="2:32" hidden="1">
      <c r="B1175" s="267"/>
      <c r="C1175" s="219"/>
      <c r="D1175" s="219"/>
      <c r="E1175" s="219"/>
      <c r="F1175" s="219"/>
      <c r="G1175" s="222"/>
      <c r="H1175" s="227"/>
      <c r="I1175" s="227"/>
      <c r="J1175" s="217"/>
      <c r="K1175" s="217"/>
      <c r="L1175" s="217"/>
      <c r="M1175" s="231"/>
      <c r="N1175" s="235"/>
      <c r="O1175" s="239"/>
      <c r="P1175" s="245"/>
      <c r="Q1175" s="246"/>
      <c r="R1175" s="302"/>
      <c r="S1175" s="251"/>
      <c r="T1175" s="302"/>
      <c r="U1175" s="251"/>
      <c r="V1175" s="302"/>
      <c r="W1175" s="251"/>
      <c r="X1175" s="255"/>
      <c r="Y1175" s="302"/>
      <c r="Z1175" s="259"/>
      <c r="AA1175" s="251"/>
      <c r="AB1175" s="302"/>
      <c r="AC1175" s="306"/>
      <c r="AD1175" s="261"/>
      <c r="AE1175" s="261"/>
      <c r="AF1175" s="282"/>
    </row>
    <row r="1176" spans="2:32" hidden="1">
      <c r="B1176" s="266"/>
      <c r="C1176" s="220"/>
      <c r="D1176" s="220"/>
      <c r="E1176" s="220"/>
      <c r="F1176" s="220"/>
      <c r="G1176" s="223"/>
      <c r="H1176" s="226"/>
      <c r="I1176" s="226"/>
      <c r="J1176" s="216"/>
      <c r="K1176" s="216"/>
      <c r="L1176" s="216"/>
      <c r="M1176" s="230"/>
      <c r="N1176" s="234"/>
      <c r="O1176" s="238"/>
      <c r="P1176" s="243"/>
      <c r="Q1176" s="244"/>
      <c r="R1176" s="301"/>
      <c r="S1176" s="250"/>
      <c r="T1176" s="301"/>
      <c r="U1176" s="250"/>
      <c r="V1176" s="301"/>
      <c r="W1176" s="250"/>
      <c r="X1176" s="254"/>
      <c r="Y1176" s="301"/>
      <c r="Z1176" s="258"/>
      <c r="AA1176" s="250"/>
      <c r="AB1176" s="301"/>
      <c r="AC1176" s="305"/>
      <c r="AD1176" s="262"/>
      <c r="AE1176" s="262"/>
      <c r="AF1176" s="283"/>
    </row>
    <row r="1177" spans="2:32" hidden="1">
      <c r="B1177" s="267"/>
      <c r="C1177" s="219"/>
      <c r="D1177" s="219"/>
      <c r="E1177" s="219"/>
      <c r="F1177" s="219"/>
      <c r="G1177" s="222"/>
      <c r="H1177" s="227"/>
      <c r="I1177" s="227"/>
      <c r="J1177" s="217"/>
      <c r="K1177" s="217"/>
      <c r="L1177" s="217"/>
      <c r="M1177" s="231"/>
      <c r="N1177" s="235"/>
      <c r="O1177" s="239"/>
      <c r="P1177" s="245"/>
      <c r="Q1177" s="246"/>
      <c r="R1177" s="302"/>
      <c r="S1177" s="251"/>
      <c r="T1177" s="302"/>
      <c r="U1177" s="251"/>
      <c r="V1177" s="302"/>
      <c r="W1177" s="251"/>
      <c r="X1177" s="255"/>
      <c r="Y1177" s="302"/>
      <c r="Z1177" s="259"/>
      <c r="AA1177" s="251"/>
      <c r="AB1177" s="302"/>
      <c r="AC1177" s="306"/>
      <c r="AD1177" s="261"/>
      <c r="AE1177" s="261"/>
      <c r="AF1177" s="282"/>
    </row>
    <row r="1178" spans="2:32" hidden="1">
      <c r="B1178" s="266"/>
      <c r="C1178" s="220"/>
      <c r="D1178" s="220"/>
      <c r="E1178" s="220"/>
      <c r="F1178" s="220"/>
      <c r="G1178" s="223"/>
      <c r="H1178" s="226"/>
      <c r="I1178" s="226"/>
      <c r="J1178" s="216"/>
      <c r="K1178" s="216"/>
      <c r="L1178" s="216"/>
      <c r="M1178" s="230"/>
      <c r="N1178" s="234"/>
      <c r="O1178" s="238"/>
      <c r="P1178" s="243"/>
      <c r="Q1178" s="244"/>
      <c r="R1178" s="301"/>
      <c r="S1178" s="250"/>
      <c r="T1178" s="301"/>
      <c r="U1178" s="250"/>
      <c r="V1178" s="301"/>
      <c r="W1178" s="250"/>
      <c r="X1178" s="254"/>
      <c r="Y1178" s="301"/>
      <c r="Z1178" s="258"/>
      <c r="AA1178" s="250"/>
      <c r="AB1178" s="301"/>
      <c r="AC1178" s="305"/>
      <c r="AD1178" s="262"/>
      <c r="AE1178" s="262"/>
      <c r="AF1178" s="283"/>
    </row>
    <row r="1179" spans="2:32" hidden="1">
      <c r="B1179" s="267"/>
      <c r="C1179" s="219"/>
      <c r="D1179" s="219"/>
      <c r="E1179" s="219"/>
      <c r="F1179" s="219"/>
      <c r="G1179" s="222"/>
      <c r="H1179" s="227"/>
      <c r="I1179" s="227"/>
      <c r="J1179" s="217"/>
      <c r="K1179" s="217"/>
      <c r="L1179" s="217"/>
      <c r="M1179" s="231"/>
      <c r="N1179" s="235"/>
      <c r="O1179" s="239"/>
      <c r="P1179" s="245"/>
      <c r="Q1179" s="246"/>
      <c r="R1179" s="302"/>
      <c r="S1179" s="251"/>
      <c r="T1179" s="302"/>
      <c r="U1179" s="251"/>
      <c r="V1179" s="302"/>
      <c r="W1179" s="251"/>
      <c r="X1179" s="255"/>
      <c r="Y1179" s="302"/>
      <c r="Z1179" s="259"/>
      <c r="AA1179" s="251"/>
      <c r="AB1179" s="302"/>
      <c r="AC1179" s="306"/>
      <c r="AD1179" s="261"/>
      <c r="AE1179" s="261"/>
      <c r="AF1179" s="282"/>
    </row>
    <row r="1180" spans="2:32" hidden="1">
      <c r="B1180" s="266"/>
      <c r="C1180" s="220"/>
      <c r="D1180" s="220"/>
      <c r="E1180" s="220"/>
      <c r="F1180" s="220"/>
      <c r="G1180" s="223"/>
      <c r="H1180" s="226"/>
      <c r="I1180" s="226"/>
      <c r="J1180" s="216"/>
      <c r="K1180" s="216"/>
      <c r="L1180" s="216"/>
      <c r="M1180" s="230"/>
      <c r="N1180" s="234"/>
      <c r="O1180" s="238"/>
      <c r="P1180" s="243"/>
      <c r="Q1180" s="244"/>
      <c r="R1180" s="301"/>
      <c r="S1180" s="250"/>
      <c r="T1180" s="301"/>
      <c r="U1180" s="250"/>
      <c r="V1180" s="301"/>
      <c r="W1180" s="250"/>
      <c r="X1180" s="254"/>
      <c r="Y1180" s="301"/>
      <c r="Z1180" s="258"/>
      <c r="AA1180" s="250"/>
      <c r="AB1180" s="301"/>
      <c r="AC1180" s="305"/>
      <c r="AD1180" s="262"/>
      <c r="AE1180" s="262"/>
      <c r="AF1180" s="283"/>
    </row>
    <row r="1181" spans="2:32" hidden="1">
      <c r="B1181" s="267"/>
      <c r="C1181" s="219"/>
      <c r="D1181" s="219"/>
      <c r="E1181" s="219"/>
      <c r="F1181" s="219"/>
      <c r="G1181" s="222"/>
      <c r="H1181" s="227"/>
      <c r="I1181" s="227"/>
      <c r="J1181" s="217"/>
      <c r="K1181" s="217"/>
      <c r="L1181" s="217"/>
      <c r="M1181" s="231"/>
      <c r="N1181" s="235"/>
      <c r="O1181" s="239"/>
      <c r="P1181" s="245"/>
      <c r="Q1181" s="246"/>
      <c r="R1181" s="302"/>
      <c r="S1181" s="251"/>
      <c r="T1181" s="302"/>
      <c r="U1181" s="251"/>
      <c r="V1181" s="302"/>
      <c r="W1181" s="251"/>
      <c r="X1181" s="255"/>
      <c r="Y1181" s="302"/>
      <c r="Z1181" s="259"/>
      <c r="AA1181" s="251"/>
      <c r="AB1181" s="302"/>
      <c r="AC1181" s="306"/>
      <c r="AD1181" s="261"/>
      <c r="AE1181" s="261"/>
      <c r="AF1181" s="282"/>
    </row>
    <row r="1182" spans="2:32" hidden="1">
      <c r="B1182" s="266"/>
      <c r="C1182" s="220"/>
      <c r="D1182" s="220"/>
      <c r="E1182" s="220"/>
      <c r="F1182" s="220"/>
      <c r="G1182" s="223"/>
      <c r="H1182" s="226"/>
      <c r="I1182" s="226"/>
      <c r="J1182" s="216"/>
      <c r="K1182" s="216"/>
      <c r="L1182" s="216"/>
      <c r="M1182" s="230"/>
      <c r="N1182" s="234"/>
      <c r="O1182" s="238"/>
      <c r="P1182" s="243"/>
      <c r="Q1182" s="244"/>
      <c r="R1182" s="301"/>
      <c r="S1182" s="250"/>
      <c r="T1182" s="301"/>
      <c r="U1182" s="250"/>
      <c r="V1182" s="301"/>
      <c r="W1182" s="250"/>
      <c r="X1182" s="254"/>
      <c r="Y1182" s="301"/>
      <c r="Z1182" s="258"/>
      <c r="AA1182" s="250"/>
      <c r="AB1182" s="301"/>
      <c r="AC1182" s="305"/>
      <c r="AD1182" s="262"/>
      <c r="AE1182" s="262"/>
      <c r="AF1182" s="283"/>
    </row>
    <row r="1183" spans="2:32" hidden="1">
      <c r="B1183" s="267"/>
      <c r="C1183" s="219"/>
      <c r="D1183" s="219"/>
      <c r="E1183" s="219"/>
      <c r="F1183" s="219"/>
      <c r="G1183" s="222"/>
      <c r="H1183" s="227"/>
      <c r="I1183" s="227"/>
      <c r="J1183" s="217"/>
      <c r="K1183" s="217"/>
      <c r="L1183" s="217"/>
      <c r="M1183" s="231"/>
      <c r="N1183" s="235"/>
      <c r="O1183" s="239"/>
      <c r="P1183" s="245"/>
      <c r="Q1183" s="246"/>
      <c r="R1183" s="302"/>
      <c r="S1183" s="251"/>
      <c r="T1183" s="302"/>
      <c r="U1183" s="251"/>
      <c r="V1183" s="302"/>
      <c r="W1183" s="251"/>
      <c r="X1183" s="255"/>
      <c r="Y1183" s="302"/>
      <c r="Z1183" s="259"/>
      <c r="AA1183" s="251"/>
      <c r="AB1183" s="302"/>
      <c r="AC1183" s="306"/>
      <c r="AD1183" s="261"/>
      <c r="AE1183" s="261"/>
      <c r="AF1183" s="282"/>
    </row>
    <row r="1184" spans="2:32" hidden="1">
      <c r="B1184" s="266"/>
      <c r="C1184" s="220"/>
      <c r="D1184" s="220"/>
      <c r="E1184" s="220"/>
      <c r="F1184" s="220"/>
      <c r="G1184" s="223"/>
      <c r="H1184" s="226"/>
      <c r="I1184" s="226"/>
      <c r="J1184" s="216"/>
      <c r="K1184" s="216"/>
      <c r="L1184" s="216"/>
      <c r="M1184" s="230"/>
      <c r="N1184" s="234"/>
      <c r="O1184" s="238"/>
      <c r="P1184" s="243"/>
      <c r="Q1184" s="244"/>
      <c r="R1184" s="301"/>
      <c r="S1184" s="250"/>
      <c r="T1184" s="301"/>
      <c r="U1184" s="250"/>
      <c r="V1184" s="301"/>
      <c r="W1184" s="250"/>
      <c r="X1184" s="254"/>
      <c r="Y1184" s="301"/>
      <c r="Z1184" s="258"/>
      <c r="AA1184" s="250"/>
      <c r="AB1184" s="301"/>
      <c r="AC1184" s="305"/>
      <c r="AD1184" s="262"/>
      <c r="AE1184" s="262"/>
      <c r="AF1184" s="283"/>
    </row>
    <row r="1185" spans="2:32" hidden="1">
      <c r="B1185" s="267"/>
      <c r="C1185" s="219"/>
      <c r="D1185" s="219"/>
      <c r="E1185" s="219"/>
      <c r="F1185" s="219"/>
      <c r="G1185" s="222"/>
      <c r="H1185" s="227"/>
      <c r="I1185" s="227"/>
      <c r="J1185" s="217"/>
      <c r="K1185" s="217"/>
      <c r="L1185" s="217"/>
      <c r="M1185" s="231"/>
      <c r="N1185" s="235"/>
      <c r="O1185" s="239"/>
      <c r="P1185" s="245"/>
      <c r="Q1185" s="246"/>
      <c r="R1185" s="302"/>
      <c r="S1185" s="251"/>
      <c r="T1185" s="302"/>
      <c r="U1185" s="251"/>
      <c r="V1185" s="302"/>
      <c r="W1185" s="251"/>
      <c r="X1185" s="255"/>
      <c r="Y1185" s="302"/>
      <c r="Z1185" s="259"/>
      <c r="AA1185" s="251"/>
      <c r="AB1185" s="302"/>
      <c r="AC1185" s="306"/>
      <c r="AD1185" s="261"/>
      <c r="AE1185" s="261"/>
      <c r="AF1185" s="282"/>
    </row>
    <row r="1186" spans="2:32" hidden="1">
      <c r="B1186" s="266"/>
      <c r="C1186" s="220"/>
      <c r="D1186" s="220"/>
      <c r="E1186" s="220"/>
      <c r="F1186" s="220"/>
      <c r="G1186" s="223"/>
      <c r="H1186" s="226"/>
      <c r="I1186" s="226"/>
      <c r="J1186" s="216"/>
      <c r="K1186" s="216"/>
      <c r="L1186" s="216"/>
      <c r="M1186" s="230"/>
      <c r="N1186" s="234"/>
      <c r="O1186" s="238"/>
      <c r="P1186" s="243"/>
      <c r="Q1186" s="244"/>
      <c r="R1186" s="301"/>
      <c r="S1186" s="250"/>
      <c r="T1186" s="301"/>
      <c r="U1186" s="250"/>
      <c r="V1186" s="301"/>
      <c r="W1186" s="250"/>
      <c r="X1186" s="254"/>
      <c r="Y1186" s="301"/>
      <c r="Z1186" s="258"/>
      <c r="AA1186" s="250"/>
      <c r="AB1186" s="301"/>
      <c r="AC1186" s="305"/>
      <c r="AD1186" s="262"/>
      <c r="AE1186" s="262"/>
      <c r="AF1186" s="283"/>
    </row>
    <row r="1187" spans="2:32" hidden="1">
      <c r="B1187" s="267"/>
      <c r="C1187" s="219"/>
      <c r="D1187" s="219"/>
      <c r="E1187" s="219"/>
      <c r="F1187" s="219"/>
      <c r="G1187" s="222"/>
      <c r="H1187" s="227"/>
      <c r="I1187" s="227"/>
      <c r="J1187" s="217"/>
      <c r="K1187" s="217"/>
      <c r="L1187" s="217"/>
      <c r="M1187" s="231"/>
      <c r="N1187" s="235"/>
      <c r="O1187" s="239"/>
      <c r="P1187" s="245"/>
      <c r="Q1187" s="246"/>
      <c r="R1187" s="302"/>
      <c r="S1187" s="251"/>
      <c r="T1187" s="302"/>
      <c r="U1187" s="251"/>
      <c r="V1187" s="302"/>
      <c r="W1187" s="251"/>
      <c r="X1187" s="255"/>
      <c r="Y1187" s="302"/>
      <c r="Z1187" s="259"/>
      <c r="AA1187" s="251"/>
      <c r="AB1187" s="302"/>
      <c r="AC1187" s="306"/>
      <c r="AD1187" s="261"/>
      <c r="AE1187" s="261"/>
      <c r="AF1187" s="282"/>
    </row>
    <row r="1188" spans="2:32" hidden="1">
      <c r="B1188" s="266"/>
      <c r="C1188" s="220"/>
      <c r="D1188" s="220"/>
      <c r="E1188" s="220"/>
      <c r="F1188" s="220"/>
      <c r="G1188" s="223"/>
      <c r="H1188" s="226"/>
      <c r="I1188" s="226"/>
      <c r="J1188" s="216"/>
      <c r="K1188" s="216"/>
      <c r="L1188" s="216"/>
      <c r="M1188" s="230"/>
      <c r="N1188" s="234"/>
      <c r="O1188" s="238"/>
      <c r="P1188" s="243"/>
      <c r="Q1188" s="244"/>
      <c r="R1188" s="301"/>
      <c r="S1188" s="250"/>
      <c r="T1188" s="301"/>
      <c r="U1188" s="250"/>
      <c r="V1188" s="301"/>
      <c r="W1188" s="250"/>
      <c r="X1188" s="254"/>
      <c r="Y1188" s="301"/>
      <c r="Z1188" s="258"/>
      <c r="AA1188" s="250"/>
      <c r="AB1188" s="301"/>
      <c r="AC1188" s="305"/>
      <c r="AD1188" s="262"/>
      <c r="AE1188" s="262"/>
      <c r="AF1188" s="283"/>
    </row>
    <row r="1189" spans="2:32" hidden="1">
      <c r="B1189" s="267"/>
      <c r="C1189" s="219"/>
      <c r="D1189" s="219"/>
      <c r="E1189" s="219"/>
      <c r="F1189" s="219"/>
      <c r="G1189" s="222"/>
      <c r="H1189" s="227"/>
      <c r="I1189" s="227"/>
      <c r="J1189" s="217"/>
      <c r="K1189" s="217"/>
      <c r="L1189" s="217"/>
      <c r="M1189" s="231"/>
      <c r="N1189" s="235"/>
      <c r="O1189" s="239"/>
      <c r="P1189" s="245"/>
      <c r="Q1189" s="246"/>
      <c r="R1189" s="302"/>
      <c r="S1189" s="251"/>
      <c r="T1189" s="302"/>
      <c r="U1189" s="251"/>
      <c r="V1189" s="302"/>
      <c r="W1189" s="251"/>
      <c r="X1189" s="255"/>
      <c r="Y1189" s="302"/>
      <c r="Z1189" s="259"/>
      <c r="AA1189" s="251"/>
      <c r="AB1189" s="302"/>
      <c r="AC1189" s="306"/>
      <c r="AD1189" s="261"/>
      <c r="AE1189" s="261"/>
      <c r="AF1189" s="282"/>
    </row>
    <row r="1190" spans="2:32" hidden="1">
      <c r="B1190" s="266"/>
      <c r="C1190" s="220"/>
      <c r="D1190" s="220"/>
      <c r="E1190" s="220"/>
      <c r="F1190" s="220"/>
      <c r="G1190" s="223"/>
      <c r="H1190" s="226"/>
      <c r="I1190" s="226"/>
      <c r="J1190" s="216"/>
      <c r="K1190" s="216"/>
      <c r="L1190" s="216"/>
      <c r="M1190" s="230"/>
      <c r="N1190" s="234"/>
      <c r="O1190" s="238"/>
      <c r="P1190" s="243"/>
      <c r="Q1190" s="244"/>
      <c r="R1190" s="301"/>
      <c r="S1190" s="250"/>
      <c r="T1190" s="301"/>
      <c r="U1190" s="250"/>
      <c r="V1190" s="301"/>
      <c r="W1190" s="250"/>
      <c r="X1190" s="254"/>
      <c r="Y1190" s="301"/>
      <c r="Z1190" s="258"/>
      <c r="AA1190" s="250"/>
      <c r="AB1190" s="301"/>
      <c r="AC1190" s="305"/>
      <c r="AD1190" s="262"/>
      <c r="AE1190" s="262"/>
      <c r="AF1190" s="283"/>
    </row>
    <row r="1191" spans="2:32" hidden="1">
      <c r="B1191" s="267"/>
      <c r="C1191" s="219"/>
      <c r="D1191" s="219"/>
      <c r="E1191" s="219"/>
      <c r="F1191" s="219"/>
      <c r="G1191" s="222"/>
      <c r="H1191" s="227"/>
      <c r="I1191" s="227"/>
      <c r="J1191" s="217"/>
      <c r="K1191" s="217"/>
      <c r="L1191" s="217"/>
      <c r="M1191" s="231"/>
      <c r="N1191" s="235"/>
      <c r="O1191" s="239"/>
      <c r="P1191" s="245"/>
      <c r="Q1191" s="246"/>
      <c r="R1191" s="302"/>
      <c r="S1191" s="251"/>
      <c r="T1191" s="302"/>
      <c r="U1191" s="251"/>
      <c r="V1191" s="302"/>
      <c r="W1191" s="251"/>
      <c r="X1191" s="255"/>
      <c r="Y1191" s="302"/>
      <c r="Z1191" s="259"/>
      <c r="AA1191" s="251"/>
      <c r="AB1191" s="302"/>
      <c r="AC1191" s="306"/>
      <c r="AD1191" s="261"/>
      <c r="AE1191" s="261"/>
      <c r="AF1191" s="282"/>
    </row>
    <row r="1192" spans="2:32" hidden="1">
      <c r="B1192" s="266"/>
      <c r="C1192" s="220"/>
      <c r="D1192" s="220"/>
      <c r="E1192" s="220"/>
      <c r="F1192" s="220"/>
      <c r="G1192" s="223"/>
      <c r="H1192" s="226"/>
      <c r="I1192" s="226"/>
      <c r="J1192" s="216"/>
      <c r="K1192" s="216"/>
      <c r="L1192" s="216"/>
      <c r="M1192" s="230"/>
      <c r="N1192" s="234"/>
      <c r="O1192" s="238"/>
      <c r="P1192" s="243"/>
      <c r="Q1192" s="244"/>
      <c r="R1192" s="301"/>
      <c r="S1192" s="250"/>
      <c r="T1192" s="301"/>
      <c r="U1192" s="250"/>
      <c r="V1192" s="301"/>
      <c r="W1192" s="250"/>
      <c r="X1192" s="254"/>
      <c r="Y1192" s="301"/>
      <c r="Z1192" s="258"/>
      <c r="AA1192" s="250"/>
      <c r="AB1192" s="301"/>
      <c r="AC1192" s="305"/>
      <c r="AD1192" s="262"/>
      <c r="AE1192" s="262"/>
      <c r="AF1192" s="283"/>
    </row>
    <row r="1193" spans="2:32" hidden="1">
      <c r="B1193" s="267"/>
      <c r="C1193" s="219"/>
      <c r="D1193" s="219"/>
      <c r="E1193" s="219"/>
      <c r="F1193" s="219"/>
      <c r="G1193" s="222"/>
      <c r="H1193" s="227"/>
      <c r="I1193" s="227"/>
      <c r="J1193" s="217"/>
      <c r="K1193" s="217"/>
      <c r="L1193" s="217"/>
      <c r="M1193" s="231"/>
      <c r="N1193" s="235"/>
      <c r="O1193" s="239"/>
      <c r="P1193" s="245"/>
      <c r="Q1193" s="246"/>
      <c r="R1193" s="302"/>
      <c r="S1193" s="251"/>
      <c r="T1193" s="302"/>
      <c r="U1193" s="251"/>
      <c r="V1193" s="302"/>
      <c r="W1193" s="251"/>
      <c r="X1193" s="255"/>
      <c r="Y1193" s="302"/>
      <c r="Z1193" s="259"/>
      <c r="AA1193" s="251"/>
      <c r="AB1193" s="302"/>
      <c r="AC1193" s="306"/>
      <c r="AD1193" s="261"/>
      <c r="AE1193" s="261"/>
      <c r="AF1193" s="282"/>
    </row>
    <row r="1194" spans="2:32" hidden="1">
      <c r="B1194" s="266"/>
      <c r="C1194" s="220"/>
      <c r="D1194" s="220"/>
      <c r="E1194" s="220"/>
      <c r="F1194" s="220"/>
      <c r="G1194" s="223"/>
      <c r="H1194" s="226"/>
      <c r="I1194" s="226"/>
      <c r="J1194" s="216"/>
      <c r="K1194" s="216"/>
      <c r="L1194" s="216"/>
      <c r="M1194" s="230"/>
      <c r="N1194" s="234"/>
      <c r="O1194" s="238"/>
      <c r="P1194" s="243"/>
      <c r="Q1194" s="244"/>
      <c r="R1194" s="301"/>
      <c r="S1194" s="250"/>
      <c r="T1194" s="301"/>
      <c r="U1194" s="250"/>
      <c r="V1194" s="301"/>
      <c r="W1194" s="250"/>
      <c r="X1194" s="254"/>
      <c r="Y1194" s="301"/>
      <c r="Z1194" s="258"/>
      <c r="AA1194" s="250"/>
      <c r="AB1194" s="301"/>
      <c r="AC1194" s="305"/>
      <c r="AD1194" s="262"/>
      <c r="AE1194" s="262"/>
      <c r="AF1194" s="283"/>
    </row>
    <row r="1195" spans="2:32" hidden="1">
      <c r="B1195" s="267"/>
      <c r="C1195" s="219"/>
      <c r="D1195" s="219"/>
      <c r="E1195" s="219"/>
      <c r="F1195" s="219"/>
      <c r="G1195" s="222"/>
      <c r="H1195" s="227"/>
      <c r="I1195" s="227"/>
      <c r="J1195" s="217"/>
      <c r="K1195" s="217"/>
      <c r="L1195" s="217"/>
      <c r="M1195" s="231"/>
      <c r="N1195" s="235"/>
      <c r="O1195" s="239"/>
      <c r="P1195" s="245"/>
      <c r="Q1195" s="246"/>
      <c r="R1195" s="302"/>
      <c r="S1195" s="251"/>
      <c r="T1195" s="302"/>
      <c r="U1195" s="251"/>
      <c r="V1195" s="302"/>
      <c r="W1195" s="251"/>
      <c r="X1195" s="255"/>
      <c r="Y1195" s="302"/>
      <c r="Z1195" s="259"/>
      <c r="AA1195" s="251"/>
      <c r="AB1195" s="302"/>
      <c r="AC1195" s="306"/>
      <c r="AD1195" s="261"/>
      <c r="AE1195" s="261"/>
      <c r="AF1195" s="282"/>
    </row>
    <row r="1196" spans="2:32" hidden="1">
      <c r="B1196" s="266"/>
      <c r="C1196" s="220"/>
      <c r="D1196" s="220"/>
      <c r="E1196" s="220"/>
      <c r="F1196" s="220"/>
      <c r="G1196" s="223"/>
      <c r="H1196" s="226"/>
      <c r="I1196" s="226"/>
      <c r="J1196" s="216"/>
      <c r="K1196" s="216"/>
      <c r="L1196" s="216"/>
      <c r="M1196" s="230"/>
      <c r="N1196" s="234"/>
      <c r="O1196" s="238"/>
      <c r="P1196" s="243"/>
      <c r="Q1196" s="244"/>
      <c r="R1196" s="301"/>
      <c r="S1196" s="250"/>
      <c r="T1196" s="301"/>
      <c r="U1196" s="250"/>
      <c r="V1196" s="301"/>
      <c r="W1196" s="250"/>
      <c r="X1196" s="254"/>
      <c r="Y1196" s="301"/>
      <c r="Z1196" s="258"/>
      <c r="AA1196" s="250"/>
      <c r="AB1196" s="301"/>
      <c r="AC1196" s="305"/>
      <c r="AD1196" s="262"/>
      <c r="AE1196" s="262"/>
      <c r="AF1196" s="283"/>
    </row>
    <row r="1197" spans="2:32" hidden="1">
      <c r="B1197" s="267"/>
      <c r="C1197" s="219"/>
      <c r="D1197" s="219"/>
      <c r="E1197" s="219"/>
      <c r="F1197" s="219"/>
      <c r="G1197" s="222"/>
      <c r="H1197" s="227"/>
      <c r="I1197" s="227"/>
      <c r="J1197" s="217"/>
      <c r="K1197" s="217"/>
      <c r="L1197" s="217"/>
      <c r="M1197" s="231"/>
      <c r="N1197" s="235"/>
      <c r="O1197" s="239"/>
      <c r="P1197" s="245"/>
      <c r="Q1197" s="246"/>
      <c r="R1197" s="302"/>
      <c r="S1197" s="251"/>
      <c r="T1197" s="302"/>
      <c r="U1197" s="251"/>
      <c r="V1197" s="302"/>
      <c r="W1197" s="251"/>
      <c r="X1197" s="255"/>
      <c r="Y1197" s="302"/>
      <c r="Z1197" s="259"/>
      <c r="AA1197" s="251"/>
      <c r="AB1197" s="302"/>
      <c r="AC1197" s="306"/>
      <c r="AD1197" s="261"/>
      <c r="AE1197" s="261"/>
      <c r="AF1197" s="282"/>
    </row>
    <row r="1198" spans="2:32" hidden="1">
      <c r="B1198" s="266"/>
      <c r="C1198" s="220"/>
      <c r="D1198" s="220"/>
      <c r="E1198" s="220"/>
      <c r="F1198" s="220"/>
      <c r="G1198" s="223"/>
      <c r="H1198" s="226"/>
      <c r="I1198" s="226"/>
      <c r="J1198" s="216"/>
      <c r="K1198" s="216"/>
      <c r="L1198" s="216"/>
      <c r="M1198" s="230"/>
      <c r="N1198" s="234"/>
      <c r="O1198" s="238"/>
      <c r="P1198" s="243"/>
      <c r="Q1198" s="244"/>
      <c r="R1198" s="301"/>
      <c r="S1198" s="250"/>
      <c r="T1198" s="301"/>
      <c r="U1198" s="250"/>
      <c r="V1198" s="301"/>
      <c r="W1198" s="250"/>
      <c r="X1198" s="254"/>
      <c r="Y1198" s="301"/>
      <c r="Z1198" s="258"/>
      <c r="AA1198" s="250"/>
      <c r="AB1198" s="301"/>
      <c r="AC1198" s="305"/>
      <c r="AD1198" s="262"/>
      <c r="AE1198" s="262"/>
      <c r="AF1198" s="283"/>
    </row>
    <row r="1199" spans="2:32" hidden="1">
      <c r="B1199" s="267"/>
      <c r="C1199" s="219"/>
      <c r="D1199" s="219"/>
      <c r="E1199" s="219"/>
      <c r="F1199" s="219"/>
      <c r="G1199" s="222"/>
      <c r="H1199" s="227"/>
      <c r="I1199" s="227"/>
      <c r="J1199" s="217"/>
      <c r="K1199" s="217"/>
      <c r="L1199" s="217"/>
      <c r="M1199" s="231"/>
      <c r="N1199" s="235"/>
      <c r="O1199" s="239"/>
      <c r="P1199" s="245"/>
      <c r="Q1199" s="246"/>
      <c r="R1199" s="302"/>
      <c r="S1199" s="251"/>
      <c r="T1199" s="302"/>
      <c r="U1199" s="251"/>
      <c r="V1199" s="302"/>
      <c r="W1199" s="251"/>
      <c r="X1199" s="255"/>
      <c r="Y1199" s="302"/>
      <c r="Z1199" s="259"/>
      <c r="AA1199" s="251"/>
      <c r="AB1199" s="302"/>
      <c r="AC1199" s="306"/>
      <c r="AD1199" s="261"/>
      <c r="AE1199" s="261"/>
      <c r="AF1199" s="282"/>
    </row>
    <row r="1200" spans="2:32">
      <c r="B1200" s="268"/>
      <c r="C1200" s="269"/>
      <c r="D1200" s="269"/>
      <c r="E1200" s="269"/>
      <c r="F1200" s="269"/>
      <c r="G1200" s="270"/>
      <c r="H1200" s="271"/>
      <c r="I1200" s="271"/>
      <c r="J1200" s="272"/>
      <c r="K1200" s="272"/>
      <c r="L1200" s="272"/>
      <c r="M1200" s="273"/>
      <c r="N1200" s="274"/>
      <c r="O1200" s="275"/>
      <c r="P1200" s="276"/>
      <c r="Q1200" s="277"/>
      <c r="R1200" s="308"/>
      <c r="S1200" s="278"/>
      <c r="T1200" s="308"/>
      <c r="U1200" s="278"/>
      <c r="V1200" s="308"/>
      <c r="W1200" s="278"/>
      <c r="X1200" s="279"/>
      <c r="Y1200" s="308"/>
      <c r="Z1200" s="280"/>
      <c r="AA1200" s="278"/>
      <c r="AB1200" s="308"/>
      <c r="AC1200" s="309"/>
      <c r="AD1200" s="281"/>
      <c r="AE1200" s="281"/>
      <c r="AF1200" s="284"/>
    </row>
    <row r="1201" spans="2:32">
      <c r="B1201" s="361" t="s">
        <v>931</v>
      </c>
      <c r="C1201" s="361"/>
      <c r="D1201" s="361"/>
      <c r="E1201" s="361"/>
      <c r="F1201" s="361"/>
      <c r="G1201" s="361"/>
      <c r="H1201" s="361"/>
      <c r="I1201" s="361"/>
      <c r="J1201" s="361"/>
      <c r="K1201" s="361"/>
      <c r="L1201" s="361"/>
      <c r="M1201" s="361"/>
      <c r="N1201" s="361"/>
      <c r="O1201" s="361"/>
      <c r="P1201" s="361"/>
      <c r="Q1201" s="361"/>
      <c r="R1201" s="361"/>
      <c r="S1201" s="361"/>
      <c r="T1201" s="361"/>
      <c r="U1201" s="361"/>
      <c r="V1201" s="361"/>
      <c r="W1201" s="361"/>
      <c r="X1201" s="361"/>
      <c r="Y1201" s="361"/>
      <c r="Z1201" s="361"/>
      <c r="AA1201" s="361"/>
      <c r="AB1201" s="361"/>
      <c r="AC1201" s="361"/>
      <c r="AD1201" s="361"/>
      <c r="AE1201" s="361"/>
      <c r="AF1201" s="361"/>
    </row>
  </sheetData>
  <autoFilter ref="B10:AF10"/>
  <mergeCells count="7">
    <mergeCell ref="B1201:AF1201"/>
    <mergeCell ref="R3:U4"/>
    <mergeCell ref="R5:U5"/>
    <mergeCell ref="P7:T7"/>
    <mergeCell ref="AD7:AF8"/>
    <mergeCell ref="Z8:AC8"/>
    <mergeCell ref="P8:Y8"/>
  </mergeCells>
  <phoneticPr fontId="4" type="noConversion"/>
  <conditionalFormatting sqref="R11 T11 V11 Y11">
    <cfRule type="cellIs" dxfId="4763" priority="4757" operator="between">
      <formula>-0.05</formula>
      <formula>0.05</formula>
    </cfRule>
    <cfRule type="containsText" dxfId="4762" priority="4758" operator="containsText" text="NA">
      <formula>NOT(ISERROR(SEARCH("NA",R11)))</formula>
    </cfRule>
    <cfRule type="cellIs" dxfId="4761" priority="4759" operator="lessThan">
      <formula>-0.05</formula>
    </cfRule>
    <cfRule type="cellIs" dxfId="4760" priority="4760" operator="greaterThan">
      <formula>0.05</formula>
    </cfRule>
  </conditionalFormatting>
  <conditionalFormatting sqref="R12 T12 V12 Y12">
    <cfRule type="cellIs" dxfId="4759" priority="4753" operator="between">
      <formula>-0.05</formula>
      <formula>0.05</formula>
    </cfRule>
    <cfRule type="containsText" dxfId="4758" priority="4754" operator="containsText" text="NA">
      <formula>NOT(ISERROR(SEARCH("NA",R12)))</formula>
    </cfRule>
    <cfRule type="cellIs" dxfId="4757" priority="4755" operator="lessThan">
      <formula>-0.05</formula>
    </cfRule>
    <cfRule type="cellIs" dxfId="4756" priority="4756" operator="greaterThan">
      <formula>0.05</formula>
    </cfRule>
  </conditionalFormatting>
  <conditionalFormatting sqref="R13 T13 V13 Y13">
    <cfRule type="cellIs" dxfId="4755" priority="4749" operator="between">
      <formula>-0.05</formula>
      <formula>0.05</formula>
    </cfRule>
    <cfRule type="containsText" dxfId="4754" priority="4750" operator="containsText" text="NA">
      <formula>NOT(ISERROR(SEARCH("NA",R13)))</formula>
    </cfRule>
    <cfRule type="cellIs" dxfId="4753" priority="4751" operator="lessThan">
      <formula>-0.05</formula>
    </cfRule>
    <cfRule type="cellIs" dxfId="4752" priority="4752" operator="greaterThan">
      <formula>0.05</formula>
    </cfRule>
  </conditionalFormatting>
  <conditionalFormatting sqref="R14 T14 V14 Y14">
    <cfRule type="cellIs" dxfId="4751" priority="4745" operator="between">
      <formula>-0.05</formula>
      <formula>0.05</formula>
    </cfRule>
    <cfRule type="containsText" dxfId="4750" priority="4746" operator="containsText" text="NA">
      <formula>NOT(ISERROR(SEARCH("NA",R14)))</formula>
    </cfRule>
    <cfRule type="cellIs" dxfId="4749" priority="4747" operator="lessThan">
      <formula>-0.05</formula>
    </cfRule>
    <cfRule type="cellIs" dxfId="4748" priority="4748" operator="greaterThan">
      <formula>0.05</formula>
    </cfRule>
  </conditionalFormatting>
  <conditionalFormatting sqref="R15 T15 V15 Y15">
    <cfRule type="cellIs" dxfId="4747" priority="4741" operator="between">
      <formula>-0.05</formula>
      <formula>0.05</formula>
    </cfRule>
    <cfRule type="containsText" dxfId="4746" priority="4742" operator="containsText" text="NA">
      <formula>NOT(ISERROR(SEARCH("NA",R15)))</formula>
    </cfRule>
    <cfRule type="cellIs" dxfId="4745" priority="4743" operator="lessThan">
      <formula>-0.05</formula>
    </cfRule>
    <cfRule type="cellIs" dxfId="4744" priority="4744" operator="greaterThan">
      <formula>0.05</formula>
    </cfRule>
  </conditionalFormatting>
  <conditionalFormatting sqref="R16 T16 V16 Y16">
    <cfRule type="cellIs" dxfId="4743" priority="4737" operator="between">
      <formula>-0.05</formula>
      <formula>0.05</formula>
    </cfRule>
    <cfRule type="containsText" dxfId="4742" priority="4738" operator="containsText" text="NA">
      <formula>NOT(ISERROR(SEARCH("NA",R16)))</formula>
    </cfRule>
    <cfRule type="cellIs" dxfId="4741" priority="4739" operator="lessThan">
      <formula>-0.05</formula>
    </cfRule>
    <cfRule type="cellIs" dxfId="4740" priority="4740" operator="greaterThan">
      <formula>0.05</formula>
    </cfRule>
  </conditionalFormatting>
  <conditionalFormatting sqref="R17 T17 V17 Y17">
    <cfRule type="cellIs" dxfId="4739" priority="4733" operator="between">
      <formula>-0.05</formula>
      <formula>0.05</formula>
    </cfRule>
    <cfRule type="containsText" dxfId="4738" priority="4734" operator="containsText" text="NA">
      <formula>NOT(ISERROR(SEARCH("NA",R17)))</formula>
    </cfRule>
    <cfRule type="cellIs" dxfId="4737" priority="4735" operator="lessThan">
      <formula>-0.05</formula>
    </cfRule>
    <cfRule type="cellIs" dxfId="4736" priority="4736" operator="greaterThan">
      <formula>0.05</formula>
    </cfRule>
  </conditionalFormatting>
  <conditionalFormatting sqref="R18 T18 V18 Y18">
    <cfRule type="cellIs" dxfId="4735" priority="4729" operator="between">
      <formula>-0.05</formula>
      <formula>0.05</formula>
    </cfRule>
    <cfRule type="containsText" dxfId="4734" priority="4730" operator="containsText" text="NA">
      <formula>NOT(ISERROR(SEARCH("NA",R18)))</formula>
    </cfRule>
    <cfRule type="cellIs" dxfId="4733" priority="4731" operator="lessThan">
      <formula>-0.05</formula>
    </cfRule>
    <cfRule type="cellIs" dxfId="4732" priority="4732" operator="greaterThan">
      <formula>0.05</formula>
    </cfRule>
  </conditionalFormatting>
  <conditionalFormatting sqref="R19 T19 V19 Y19">
    <cfRule type="cellIs" dxfId="4731" priority="4725" operator="between">
      <formula>-0.05</formula>
      <formula>0.05</formula>
    </cfRule>
    <cfRule type="containsText" dxfId="4730" priority="4726" operator="containsText" text="NA">
      <formula>NOT(ISERROR(SEARCH("NA",R19)))</formula>
    </cfRule>
    <cfRule type="cellIs" dxfId="4729" priority="4727" operator="lessThan">
      <formula>-0.05</formula>
    </cfRule>
    <cfRule type="cellIs" dxfId="4728" priority="4728" operator="greaterThan">
      <formula>0.05</formula>
    </cfRule>
  </conditionalFormatting>
  <conditionalFormatting sqref="R20 T20 V20 Y20">
    <cfRule type="cellIs" dxfId="4727" priority="4721" operator="between">
      <formula>-0.05</formula>
      <formula>0.05</formula>
    </cfRule>
    <cfRule type="containsText" dxfId="4726" priority="4722" operator="containsText" text="NA">
      <formula>NOT(ISERROR(SEARCH("NA",R20)))</formula>
    </cfRule>
    <cfRule type="cellIs" dxfId="4725" priority="4723" operator="lessThan">
      <formula>-0.05</formula>
    </cfRule>
    <cfRule type="cellIs" dxfId="4724" priority="4724" operator="greaterThan">
      <formula>0.05</formula>
    </cfRule>
  </conditionalFormatting>
  <conditionalFormatting sqref="R21 T21 V21 Y21">
    <cfRule type="cellIs" dxfId="4723" priority="4717" operator="between">
      <formula>-0.05</formula>
      <formula>0.05</formula>
    </cfRule>
    <cfRule type="containsText" dxfId="4722" priority="4718" operator="containsText" text="NA">
      <formula>NOT(ISERROR(SEARCH("NA",R21)))</formula>
    </cfRule>
    <cfRule type="cellIs" dxfId="4721" priority="4719" operator="lessThan">
      <formula>-0.05</formula>
    </cfRule>
    <cfRule type="cellIs" dxfId="4720" priority="4720" operator="greaterThan">
      <formula>0.05</formula>
    </cfRule>
  </conditionalFormatting>
  <conditionalFormatting sqref="R22 T22 V22 Y22">
    <cfRule type="cellIs" dxfId="4719" priority="4713" operator="between">
      <formula>-0.05</formula>
      <formula>0.05</formula>
    </cfRule>
    <cfRule type="containsText" dxfId="4718" priority="4714" operator="containsText" text="NA">
      <formula>NOT(ISERROR(SEARCH("NA",R22)))</formula>
    </cfRule>
    <cfRule type="cellIs" dxfId="4717" priority="4715" operator="lessThan">
      <formula>-0.05</formula>
    </cfRule>
    <cfRule type="cellIs" dxfId="4716" priority="4716" operator="greaterThan">
      <formula>0.05</formula>
    </cfRule>
  </conditionalFormatting>
  <conditionalFormatting sqref="R23 T23 V23 Y23">
    <cfRule type="cellIs" dxfId="4715" priority="4709" operator="between">
      <formula>-0.05</formula>
      <formula>0.05</formula>
    </cfRule>
    <cfRule type="containsText" dxfId="4714" priority="4710" operator="containsText" text="NA">
      <formula>NOT(ISERROR(SEARCH("NA",R23)))</formula>
    </cfRule>
    <cfRule type="cellIs" dxfId="4713" priority="4711" operator="lessThan">
      <formula>-0.05</formula>
    </cfRule>
    <cfRule type="cellIs" dxfId="4712" priority="4712" operator="greaterThan">
      <formula>0.05</formula>
    </cfRule>
  </conditionalFormatting>
  <conditionalFormatting sqref="R24 T24 V24 Y24">
    <cfRule type="cellIs" dxfId="4711" priority="4705" operator="between">
      <formula>-0.05</formula>
      <formula>0.05</formula>
    </cfRule>
    <cfRule type="containsText" dxfId="4710" priority="4706" operator="containsText" text="NA">
      <formula>NOT(ISERROR(SEARCH("NA",R24)))</formula>
    </cfRule>
    <cfRule type="cellIs" dxfId="4709" priority="4707" operator="lessThan">
      <formula>-0.05</formula>
    </cfRule>
    <cfRule type="cellIs" dxfId="4708" priority="4708" operator="greaterThan">
      <formula>0.05</formula>
    </cfRule>
  </conditionalFormatting>
  <conditionalFormatting sqref="R25 T25 V25 Y25">
    <cfRule type="cellIs" dxfId="4707" priority="4701" operator="between">
      <formula>-0.05</formula>
      <formula>0.05</formula>
    </cfRule>
    <cfRule type="containsText" dxfId="4706" priority="4702" operator="containsText" text="NA">
      <formula>NOT(ISERROR(SEARCH("NA",R25)))</formula>
    </cfRule>
    <cfRule type="cellIs" dxfId="4705" priority="4703" operator="lessThan">
      <formula>-0.05</formula>
    </cfRule>
    <cfRule type="cellIs" dxfId="4704" priority="4704" operator="greaterThan">
      <formula>0.05</formula>
    </cfRule>
  </conditionalFormatting>
  <conditionalFormatting sqref="R26 T26 V26 Y26">
    <cfRule type="cellIs" dxfId="4703" priority="4697" operator="between">
      <formula>-0.05</formula>
      <formula>0.05</formula>
    </cfRule>
    <cfRule type="containsText" dxfId="4702" priority="4698" operator="containsText" text="NA">
      <formula>NOT(ISERROR(SEARCH("NA",R26)))</formula>
    </cfRule>
    <cfRule type="cellIs" dxfId="4701" priority="4699" operator="lessThan">
      <formula>-0.05</formula>
    </cfRule>
    <cfRule type="cellIs" dxfId="4700" priority="4700" operator="greaterThan">
      <formula>0.05</formula>
    </cfRule>
  </conditionalFormatting>
  <conditionalFormatting sqref="R27 T27 V27 Y27">
    <cfRule type="cellIs" dxfId="4699" priority="4693" operator="between">
      <formula>-0.05</formula>
      <formula>0.05</formula>
    </cfRule>
    <cfRule type="containsText" dxfId="4698" priority="4694" operator="containsText" text="NA">
      <formula>NOT(ISERROR(SEARCH("NA",R27)))</formula>
    </cfRule>
    <cfRule type="cellIs" dxfId="4697" priority="4695" operator="lessThan">
      <formula>-0.05</formula>
    </cfRule>
    <cfRule type="cellIs" dxfId="4696" priority="4696" operator="greaterThan">
      <formula>0.05</formula>
    </cfRule>
  </conditionalFormatting>
  <conditionalFormatting sqref="R28 T28 V28 Y28">
    <cfRule type="cellIs" dxfId="4695" priority="4689" operator="between">
      <formula>-0.05</formula>
      <formula>0.05</formula>
    </cfRule>
    <cfRule type="containsText" dxfId="4694" priority="4690" operator="containsText" text="NA">
      <formula>NOT(ISERROR(SEARCH("NA",R28)))</formula>
    </cfRule>
    <cfRule type="cellIs" dxfId="4693" priority="4691" operator="lessThan">
      <formula>-0.05</formula>
    </cfRule>
    <cfRule type="cellIs" dxfId="4692" priority="4692" operator="greaterThan">
      <formula>0.05</formula>
    </cfRule>
  </conditionalFormatting>
  <conditionalFormatting sqref="R29 T29 V29 Y29">
    <cfRule type="cellIs" dxfId="4691" priority="4685" operator="between">
      <formula>-0.05</formula>
      <formula>0.05</formula>
    </cfRule>
    <cfRule type="containsText" dxfId="4690" priority="4686" operator="containsText" text="NA">
      <formula>NOT(ISERROR(SEARCH("NA",R29)))</formula>
    </cfRule>
    <cfRule type="cellIs" dxfId="4689" priority="4687" operator="lessThan">
      <formula>-0.05</formula>
    </cfRule>
    <cfRule type="cellIs" dxfId="4688" priority="4688" operator="greaterThan">
      <formula>0.05</formula>
    </cfRule>
  </conditionalFormatting>
  <conditionalFormatting sqref="R30 T30 V30 Y30">
    <cfRule type="cellIs" dxfId="4687" priority="4681" operator="between">
      <formula>-0.05</formula>
      <formula>0.05</formula>
    </cfRule>
    <cfRule type="containsText" dxfId="4686" priority="4682" operator="containsText" text="NA">
      <formula>NOT(ISERROR(SEARCH("NA",R30)))</formula>
    </cfRule>
    <cfRule type="cellIs" dxfId="4685" priority="4683" operator="lessThan">
      <formula>-0.05</formula>
    </cfRule>
    <cfRule type="cellIs" dxfId="4684" priority="4684" operator="greaterThan">
      <formula>0.05</formula>
    </cfRule>
  </conditionalFormatting>
  <conditionalFormatting sqref="R31 T31 V31 Y31">
    <cfRule type="cellIs" dxfId="4683" priority="4677" operator="between">
      <formula>-0.05</formula>
      <formula>0.05</formula>
    </cfRule>
    <cfRule type="containsText" dxfId="4682" priority="4678" operator="containsText" text="NA">
      <formula>NOT(ISERROR(SEARCH("NA",R31)))</formula>
    </cfRule>
    <cfRule type="cellIs" dxfId="4681" priority="4679" operator="lessThan">
      <formula>-0.05</formula>
    </cfRule>
    <cfRule type="cellIs" dxfId="4680" priority="4680" operator="greaterThan">
      <formula>0.05</formula>
    </cfRule>
  </conditionalFormatting>
  <conditionalFormatting sqref="R32 T32 V32 Y32">
    <cfRule type="cellIs" dxfId="4679" priority="4673" operator="between">
      <formula>-0.05</formula>
      <formula>0.05</formula>
    </cfRule>
    <cfRule type="containsText" dxfId="4678" priority="4674" operator="containsText" text="NA">
      <formula>NOT(ISERROR(SEARCH("NA",R32)))</formula>
    </cfRule>
    <cfRule type="cellIs" dxfId="4677" priority="4675" operator="lessThan">
      <formula>-0.05</formula>
    </cfRule>
    <cfRule type="cellIs" dxfId="4676" priority="4676" operator="greaterThan">
      <formula>0.05</formula>
    </cfRule>
  </conditionalFormatting>
  <conditionalFormatting sqref="R33 T33 V33 Y33">
    <cfRule type="cellIs" dxfId="4675" priority="4669" operator="between">
      <formula>-0.05</formula>
      <formula>0.05</formula>
    </cfRule>
    <cfRule type="containsText" dxfId="4674" priority="4670" operator="containsText" text="NA">
      <formula>NOT(ISERROR(SEARCH("NA",R33)))</formula>
    </cfRule>
    <cfRule type="cellIs" dxfId="4673" priority="4671" operator="lessThan">
      <formula>-0.05</formula>
    </cfRule>
    <cfRule type="cellIs" dxfId="4672" priority="4672" operator="greaterThan">
      <formula>0.05</formula>
    </cfRule>
  </conditionalFormatting>
  <conditionalFormatting sqref="R34 T34 V34 Y34">
    <cfRule type="cellIs" dxfId="4671" priority="4665" operator="between">
      <formula>-0.05</formula>
      <formula>0.05</formula>
    </cfRule>
    <cfRule type="containsText" dxfId="4670" priority="4666" operator="containsText" text="NA">
      <formula>NOT(ISERROR(SEARCH("NA",R34)))</formula>
    </cfRule>
    <cfRule type="cellIs" dxfId="4669" priority="4667" operator="lessThan">
      <formula>-0.05</formula>
    </cfRule>
    <cfRule type="cellIs" dxfId="4668" priority="4668" operator="greaterThan">
      <formula>0.05</formula>
    </cfRule>
  </conditionalFormatting>
  <conditionalFormatting sqref="R35 T35 V35 Y35">
    <cfRule type="cellIs" dxfId="4667" priority="4661" operator="between">
      <formula>-0.05</formula>
      <formula>0.05</formula>
    </cfRule>
    <cfRule type="containsText" dxfId="4666" priority="4662" operator="containsText" text="NA">
      <formula>NOT(ISERROR(SEARCH("NA",R35)))</formula>
    </cfRule>
    <cfRule type="cellIs" dxfId="4665" priority="4663" operator="lessThan">
      <formula>-0.05</formula>
    </cfRule>
    <cfRule type="cellIs" dxfId="4664" priority="4664" operator="greaterThan">
      <formula>0.05</formula>
    </cfRule>
  </conditionalFormatting>
  <conditionalFormatting sqref="R36 T36 V36 Y36">
    <cfRule type="cellIs" dxfId="4663" priority="4657" operator="between">
      <formula>-0.05</formula>
      <formula>0.05</formula>
    </cfRule>
    <cfRule type="containsText" dxfId="4662" priority="4658" operator="containsText" text="NA">
      <formula>NOT(ISERROR(SEARCH("NA",R36)))</formula>
    </cfRule>
    <cfRule type="cellIs" dxfId="4661" priority="4659" operator="lessThan">
      <formula>-0.05</formula>
    </cfRule>
    <cfRule type="cellIs" dxfId="4660" priority="4660" operator="greaterThan">
      <formula>0.05</formula>
    </cfRule>
  </conditionalFormatting>
  <conditionalFormatting sqref="R37 T37 V37 Y37">
    <cfRule type="cellIs" dxfId="4659" priority="4653" operator="between">
      <formula>-0.05</formula>
      <formula>0.05</formula>
    </cfRule>
    <cfRule type="containsText" dxfId="4658" priority="4654" operator="containsText" text="NA">
      <formula>NOT(ISERROR(SEARCH("NA",R37)))</formula>
    </cfRule>
    <cfRule type="cellIs" dxfId="4657" priority="4655" operator="lessThan">
      <formula>-0.05</formula>
    </cfRule>
    <cfRule type="cellIs" dxfId="4656" priority="4656" operator="greaterThan">
      <formula>0.05</formula>
    </cfRule>
  </conditionalFormatting>
  <conditionalFormatting sqref="R38 T38 V38 Y38">
    <cfRule type="cellIs" dxfId="4655" priority="4649" operator="between">
      <formula>-0.05</formula>
      <formula>0.05</formula>
    </cfRule>
    <cfRule type="containsText" dxfId="4654" priority="4650" operator="containsText" text="NA">
      <formula>NOT(ISERROR(SEARCH("NA",R38)))</formula>
    </cfRule>
    <cfRule type="cellIs" dxfId="4653" priority="4651" operator="lessThan">
      <formula>-0.05</formula>
    </cfRule>
    <cfRule type="cellIs" dxfId="4652" priority="4652" operator="greaterThan">
      <formula>0.05</formula>
    </cfRule>
  </conditionalFormatting>
  <conditionalFormatting sqref="R39 T39 V39 Y39">
    <cfRule type="cellIs" dxfId="4651" priority="4645" operator="between">
      <formula>-0.05</formula>
      <formula>0.05</formula>
    </cfRule>
    <cfRule type="containsText" dxfId="4650" priority="4646" operator="containsText" text="NA">
      <formula>NOT(ISERROR(SEARCH("NA",R39)))</formula>
    </cfRule>
    <cfRule type="cellIs" dxfId="4649" priority="4647" operator="lessThan">
      <formula>-0.05</formula>
    </cfRule>
    <cfRule type="cellIs" dxfId="4648" priority="4648" operator="greaterThan">
      <formula>0.05</formula>
    </cfRule>
  </conditionalFormatting>
  <conditionalFormatting sqref="R40 T40 V40 Y40">
    <cfRule type="cellIs" dxfId="4647" priority="4641" operator="between">
      <formula>-0.05</formula>
      <formula>0.05</formula>
    </cfRule>
    <cfRule type="containsText" dxfId="4646" priority="4642" operator="containsText" text="NA">
      <formula>NOT(ISERROR(SEARCH("NA",R40)))</formula>
    </cfRule>
    <cfRule type="cellIs" dxfId="4645" priority="4643" operator="lessThan">
      <formula>-0.05</formula>
    </cfRule>
    <cfRule type="cellIs" dxfId="4644" priority="4644" operator="greaterThan">
      <formula>0.05</formula>
    </cfRule>
  </conditionalFormatting>
  <conditionalFormatting sqref="R41 T41 V41 Y41">
    <cfRule type="cellIs" dxfId="4643" priority="4637" operator="between">
      <formula>-0.05</formula>
      <formula>0.05</formula>
    </cfRule>
    <cfRule type="containsText" dxfId="4642" priority="4638" operator="containsText" text="NA">
      <formula>NOT(ISERROR(SEARCH("NA",R41)))</formula>
    </cfRule>
    <cfRule type="cellIs" dxfId="4641" priority="4639" operator="lessThan">
      <formula>-0.05</formula>
    </cfRule>
    <cfRule type="cellIs" dxfId="4640" priority="4640" operator="greaterThan">
      <formula>0.05</formula>
    </cfRule>
  </conditionalFormatting>
  <conditionalFormatting sqref="R42 T42 V42 Y42">
    <cfRule type="cellIs" dxfId="4639" priority="4633" operator="between">
      <formula>-0.05</formula>
      <formula>0.05</formula>
    </cfRule>
    <cfRule type="containsText" dxfId="4638" priority="4634" operator="containsText" text="NA">
      <formula>NOT(ISERROR(SEARCH("NA",R42)))</formula>
    </cfRule>
    <cfRule type="cellIs" dxfId="4637" priority="4635" operator="lessThan">
      <formula>-0.05</formula>
    </cfRule>
    <cfRule type="cellIs" dxfId="4636" priority="4636" operator="greaterThan">
      <formula>0.05</formula>
    </cfRule>
  </conditionalFormatting>
  <conditionalFormatting sqref="R43 T43 V43 Y43">
    <cfRule type="cellIs" dxfId="4635" priority="4629" operator="between">
      <formula>-0.05</formula>
      <formula>0.05</formula>
    </cfRule>
    <cfRule type="containsText" dxfId="4634" priority="4630" operator="containsText" text="NA">
      <formula>NOT(ISERROR(SEARCH("NA",R43)))</formula>
    </cfRule>
    <cfRule type="cellIs" dxfId="4633" priority="4631" operator="lessThan">
      <formula>-0.05</formula>
    </cfRule>
    <cfRule type="cellIs" dxfId="4632" priority="4632" operator="greaterThan">
      <formula>0.05</formula>
    </cfRule>
  </conditionalFormatting>
  <conditionalFormatting sqref="R44 T44 V44 Y44">
    <cfRule type="cellIs" dxfId="4631" priority="4625" operator="between">
      <formula>-0.05</formula>
      <formula>0.05</formula>
    </cfRule>
    <cfRule type="containsText" dxfId="4630" priority="4626" operator="containsText" text="NA">
      <formula>NOT(ISERROR(SEARCH("NA",R44)))</formula>
    </cfRule>
    <cfRule type="cellIs" dxfId="4629" priority="4627" operator="lessThan">
      <formula>-0.05</formula>
    </cfRule>
    <cfRule type="cellIs" dxfId="4628" priority="4628" operator="greaterThan">
      <formula>0.05</formula>
    </cfRule>
  </conditionalFormatting>
  <conditionalFormatting sqref="R45 T45 V45 Y45">
    <cfRule type="cellIs" dxfId="4627" priority="4621" operator="between">
      <formula>-0.05</formula>
      <formula>0.05</formula>
    </cfRule>
    <cfRule type="containsText" dxfId="4626" priority="4622" operator="containsText" text="NA">
      <formula>NOT(ISERROR(SEARCH("NA",R45)))</formula>
    </cfRule>
    <cfRule type="cellIs" dxfId="4625" priority="4623" operator="lessThan">
      <formula>-0.05</formula>
    </cfRule>
    <cfRule type="cellIs" dxfId="4624" priority="4624" operator="greaterThan">
      <formula>0.05</formula>
    </cfRule>
  </conditionalFormatting>
  <conditionalFormatting sqref="R46 T46 V46 Y46">
    <cfRule type="cellIs" dxfId="4623" priority="4617" operator="between">
      <formula>-0.05</formula>
      <formula>0.05</formula>
    </cfRule>
    <cfRule type="containsText" dxfId="4622" priority="4618" operator="containsText" text="NA">
      <formula>NOT(ISERROR(SEARCH("NA",R46)))</formula>
    </cfRule>
    <cfRule type="cellIs" dxfId="4621" priority="4619" operator="lessThan">
      <formula>-0.05</formula>
    </cfRule>
    <cfRule type="cellIs" dxfId="4620" priority="4620" operator="greaterThan">
      <formula>0.05</formula>
    </cfRule>
  </conditionalFormatting>
  <conditionalFormatting sqref="R47 T47 V47 Y47">
    <cfRule type="cellIs" dxfId="4619" priority="4613" operator="between">
      <formula>-0.05</formula>
      <formula>0.05</formula>
    </cfRule>
    <cfRule type="containsText" dxfId="4618" priority="4614" operator="containsText" text="NA">
      <formula>NOT(ISERROR(SEARCH("NA",R47)))</formula>
    </cfRule>
    <cfRule type="cellIs" dxfId="4617" priority="4615" operator="lessThan">
      <formula>-0.05</formula>
    </cfRule>
    <cfRule type="cellIs" dxfId="4616" priority="4616" operator="greaterThan">
      <formula>0.05</formula>
    </cfRule>
  </conditionalFormatting>
  <conditionalFormatting sqref="R48 T48 V48 Y48">
    <cfRule type="cellIs" dxfId="4615" priority="4609" operator="between">
      <formula>-0.05</formula>
      <formula>0.05</formula>
    </cfRule>
    <cfRule type="containsText" dxfId="4614" priority="4610" operator="containsText" text="NA">
      <formula>NOT(ISERROR(SEARCH("NA",R48)))</formula>
    </cfRule>
    <cfRule type="cellIs" dxfId="4613" priority="4611" operator="lessThan">
      <formula>-0.05</formula>
    </cfRule>
    <cfRule type="cellIs" dxfId="4612" priority="4612" operator="greaterThan">
      <formula>0.05</formula>
    </cfRule>
  </conditionalFormatting>
  <conditionalFormatting sqref="R49 T49 V49 Y49">
    <cfRule type="cellIs" dxfId="4611" priority="4605" operator="between">
      <formula>-0.05</formula>
      <formula>0.05</formula>
    </cfRule>
    <cfRule type="containsText" dxfId="4610" priority="4606" operator="containsText" text="NA">
      <formula>NOT(ISERROR(SEARCH("NA",R49)))</formula>
    </cfRule>
    <cfRule type="cellIs" dxfId="4609" priority="4607" operator="lessThan">
      <formula>-0.05</formula>
    </cfRule>
    <cfRule type="cellIs" dxfId="4608" priority="4608" operator="greaterThan">
      <formula>0.05</formula>
    </cfRule>
  </conditionalFormatting>
  <conditionalFormatting sqref="R50 T50 V50 Y50">
    <cfRule type="cellIs" dxfId="4607" priority="4601" operator="between">
      <formula>-0.05</formula>
      <formula>0.05</formula>
    </cfRule>
    <cfRule type="containsText" dxfId="4606" priority="4602" operator="containsText" text="NA">
      <formula>NOT(ISERROR(SEARCH("NA",R50)))</formula>
    </cfRule>
    <cfRule type="cellIs" dxfId="4605" priority="4603" operator="lessThan">
      <formula>-0.05</formula>
    </cfRule>
    <cfRule type="cellIs" dxfId="4604" priority="4604" operator="greaterThan">
      <formula>0.05</formula>
    </cfRule>
  </conditionalFormatting>
  <conditionalFormatting sqref="R51 T51 V51 Y51">
    <cfRule type="cellIs" dxfId="4603" priority="4597" operator="between">
      <formula>-0.05</formula>
      <formula>0.05</formula>
    </cfRule>
    <cfRule type="containsText" dxfId="4602" priority="4598" operator="containsText" text="NA">
      <formula>NOT(ISERROR(SEARCH("NA",R51)))</formula>
    </cfRule>
    <cfRule type="cellIs" dxfId="4601" priority="4599" operator="lessThan">
      <formula>-0.05</formula>
    </cfRule>
    <cfRule type="cellIs" dxfId="4600" priority="4600" operator="greaterThan">
      <formula>0.05</formula>
    </cfRule>
  </conditionalFormatting>
  <conditionalFormatting sqref="R52 T52 V52 Y52">
    <cfRule type="cellIs" dxfId="4599" priority="4593" operator="between">
      <formula>-0.05</formula>
      <formula>0.05</formula>
    </cfRule>
    <cfRule type="containsText" dxfId="4598" priority="4594" operator="containsText" text="NA">
      <formula>NOT(ISERROR(SEARCH("NA",R52)))</formula>
    </cfRule>
    <cfRule type="cellIs" dxfId="4597" priority="4595" operator="lessThan">
      <formula>-0.05</formula>
    </cfRule>
    <cfRule type="cellIs" dxfId="4596" priority="4596" operator="greaterThan">
      <formula>0.05</formula>
    </cfRule>
  </conditionalFormatting>
  <conditionalFormatting sqref="R53 T53 V53 Y53">
    <cfRule type="cellIs" dxfId="4595" priority="4589" operator="between">
      <formula>-0.05</formula>
      <formula>0.05</formula>
    </cfRule>
    <cfRule type="containsText" dxfId="4594" priority="4590" operator="containsText" text="NA">
      <formula>NOT(ISERROR(SEARCH("NA",R53)))</formula>
    </cfRule>
    <cfRule type="cellIs" dxfId="4593" priority="4591" operator="lessThan">
      <formula>-0.05</formula>
    </cfRule>
    <cfRule type="cellIs" dxfId="4592" priority="4592" operator="greaterThan">
      <formula>0.05</formula>
    </cfRule>
  </conditionalFormatting>
  <conditionalFormatting sqref="R54 T54 V54 Y54">
    <cfRule type="cellIs" dxfId="4591" priority="4585" operator="between">
      <formula>-0.05</formula>
      <formula>0.05</formula>
    </cfRule>
    <cfRule type="containsText" dxfId="4590" priority="4586" operator="containsText" text="NA">
      <formula>NOT(ISERROR(SEARCH("NA",R54)))</formula>
    </cfRule>
    <cfRule type="cellIs" dxfId="4589" priority="4587" operator="lessThan">
      <formula>-0.05</formula>
    </cfRule>
    <cfRule type="cellIs" dxfId="4588" priority="4588" operator="greaterThan">
      <formula>0.05</formula>
    </cfRule>
  </conditionalFormatting>
  <conditionalFormatting sqref="R55 T55 V55 Y55">
    <cfRule type="cellIs" dxfId="4587" priority="4581" operator="between">
      <formula>-0.05</formula>
      <formula>0.05</formula>
    </cfRule>
    <cfRule type="containsText" dxfId="4586" priority="4582" operator="containsText" text="NA">
      <formula>NOT(ISERROR(SEARCH("NA",R55)))</formula>
    </cfRule>
    <cfRule type="cellIs" dxfId="4585" priority="4583" operator="lessThan">
      <formula>-0.05</formula>
    </cfRule>
    <cfRule type="cellIs" dxfId="4584" priority="4584" operator="greaterThan">
      <formula>0.05</formula>
    </cfRule>
  </conditionalFormatting>
  <conditionalFormatting sqref="R56 T56 V56 Y56">
    <cfRule type="cellIs" dxfId="4583" priority="4577" operator="between">
      <formula>-0.05</formula>
      <formula>0.05</formula>
    </cfRule>
    <cfRule type="containsText" dxfId="4582" priority="4578" operator="containsText" text="NA">
      <formula>NOT(ISERROR(SEARCH("NA",R56)))</formula>
    </cfRule>
    <cfRule type="cellIs" dxfId="4581" priority="4579" operator="lessThan">
      <formula>-0.05</formula>
    </cfRule>
    <cfRule type="cellIs" dxfId="4580" priority="4580" operator="greaterThan">
      <formula>0.05</formula>
    </cfRule>
  </conditionalFormatting>
  <conditionalFormatting sqref="R57 T57 V57 Y57">
    <cfRule type="cellIs" dxfId="4579" priority="4573" operator="between">
      <formula>-0.05</formula>
      <formula>0.05</formula>
    </cfRule>
    <cfRule type="containsText" dxfId="4578" priority="4574" operator="containsText" text="NA">
      <formula>NOT(ISERROR(SEARCH("NA",R57)))</formula>
    </cfRule>
    <cfRule type="cellIs" dxfId="4577" priority="4575" operator="lessThan">
      <formula>-0.05</formula>
    </cfRule>
    <cfRule type="cellIs" dxfId="4576" priority="4576" operator="greaterThan">
      <formula>0.05</formula>
    </cfRule>
  </conditionalFormatting>
  <conditionalFormatting sqref="R58 T58 V58 Y58">
    <cfRule type="cellIs" dxfId="4575" priority="4569" operator="between">
      <formula>-0.05</formula>
      <formula>0.05</formula>
    </cfRule>
    <cfRule type="containsText" dxfId="4574" priority="4570" operator="containsText" text="NA">
      <formula>NOT(ISERROR(SEARCH("NA",R58)))</formula>
    </cfRule>
    <cfRule type="cellIs" dxfId="4573" priority="4571" operator="lessThan">
      <formula>-0.05</formula>
    </cfRule>
    <cfRule type="cellIs" dxfId="4572" priority="4572" operator="greaterThan">
      <formula>0.05</formula>
    </cfRule>
  </conditionalFormatting>
  <conditionalFormatting sqref="R59 T59 V59 Y59">
    <cfRule type="cellIs" dxfId="4571" priority="4565" operator="between">
      <formula>-0.05</formula>
      <formula>0.05</formula>
    </cfRule>
    <cfRule type="containsText" dxfId="4570" priority="4566" operator="containsText" text="NA">
      <formula>NOT(ISERROR(SEARCH("NA",R59)))</formula>
    </cfRule>
    <cfRule type="cellIs" dxfId="4569" priority="4567" operator="lessThan">
      <formula>-0.05</formula>
    </cfRule>
    <cfRule type="cellIs" dxfId="4568" priority="4568" operator="greaterThan">
      <formula>0.05</formula>
    </cfRule>
  </conditionalFormatting>
  <conditionalFormatting sqref="R60 T60 V60 Y60">
    <cfRule type="cellIs" dxfId="4567" priority="4561" operator="between">
      <formula>-0.05</formula>
      <formula>0.05</formula>
    </cfRule>
    <cfRule type="containsText" dxfId="4566" priority="4562" operator="containsText" text="NA">
      <formula>NOT(ISERROR(SEARCH("NA",R60)))</formula>
    </cfRule>
    <cfRule type="cellIs" dxfId="4565" priority="4563" operator="lessThan">
      <formula>-0.05</formula>
    </cfRule>
    <cfRule type="cellIs" dxfId="4564" priority="4564" operator="greaterThan">
      <formula>0.05</formula>
    </cfRule>
  </conditionalFormatting>
  <conditionalFormatting sqref="R61 T61 V61 Y61">
    <cfRule type="cellIs" dxfId="4563" priority="4557" operator="between">
      <formula>-0.05</formula>
      <formula>0.05</formula>
    </cfRule>
    <cfRule type="containsText" dxfId="4562" priority="4558" operator="containsText" text="NA">
      <formula>NOT(ISERROR(SEARCH("NA",R61)))</formula>
    </cfRule>
    <cfRule type="cellIs" dxfId="4561" priority="4559" operator="lessThan">
      <formula>-0.05</formula>
    </cfRule>
    <cfRule type="cellIs" dxfId="4560" priority="4560" operator="greaterThan">
      <formula>0.05</formula>
    </cfRule>
  </conditionalFormatting>
  <conditionalFormatting sqref="R62 T62 V62 Y62">
    <cfRule type="cellIs" dxfId="4559" priority="4553" operator="between">
      <formula>-0.05</formula>
      <formula>0.05</formula>
    </cfRule>
    <cfRule type="containsText" dxfId="4558" priority="4554" operator="containsText" text="NA">
      <formula>NOT(ISERROR(SEARCH("NA",R62)))</formula>
    </cfRule>
    <cfRule type="cellIs" dxfId="4557" priority="4555" operator="lessThan">
      <formula>-0.05</formula>
    </cfRule>
    <cfRule type="cellIs" dxfId="4556" priority="4556" operator="greaterThan">
      <formula>0.05</formula>
    </cfRule>
  </conditionalFormatting>
  <conditionalFormatting sqref="R63 T63 V63 Y63">
    <cfRule type="cellIs" dxfId="4555" priority="4549" operator="between">
      <formula>-0.05</formula>
      <formula>0.05</formula>
    </cfRule>
    <cfRule type="containsText" dxfId="4554" priority="4550" operator="containsText" text="NA">
      <formula>NOT(ISERROR(SEARCH("NA",R63)))</formula>
    </cfRule>
    <cfRule type="cellIs" dxfId="4553" priority="4551" operator="lessThan">
      <formula>-0.05</formula>
    </cfRule>
    <cfRule type="cellIs" dxfId="4552" priority="4552" operator="greaterThan">
      <formula>0.05</formula>
    </cfRule>
  </conditionalFormatting>
  <conditionalFormatting sqref="R64 T64 V64 Y64">
    <cfRule type="cellIs" dxfId="4551" priority="4545" operator="between">
      <formula>-0.05</formula>
      <formula>0.05</formula>
    </cfRule>
    <cfRule type="containsText" dxfId="4550" priority="4546" operator="containsText" text="NA">
      <formula>NOT(ISERROR(SEARCH("NA",R64)))</formula>
    </cfRule>
    <cfRule type="cellIs" dxfId="4549" priority="4547" operator="lessThan">
      <formula>-0.05</formula>
    </cfRule>
    <cfRule type="cellIs" dxfId="4548" priority="4548" operator="greaterThan">
      <formula>0.05</formula>
    </cfRule>
  </conditionalFormatting>
  <conditionalFormatting sqref="R65 T65 V65 Y65">
    <cfRule type="cellIs" dxfId="4547" priority="4541" operator="between">
      <formula>-0.05</formula>
      <formula>0.05</formula>
    </cfRule>
    <cfRule type="containsText" dxfId="4546" priority="4542" operator="containsText" text="NA">
      <formula>NOT(ISERROR(SEARCH("NA",R65)))</formula>
    </cfRule>
    <cfRule type="cellIs" dxfId="4545" priority="4543" operator="lessThan">
      <formula>-0.05</formula>
    </cfRule>
    <cfRule type="cellIs" dxfId="4544" priority="4544" operator="greaterThan">
      <formula>0.05</formula>
    </cfRule>
  </conditionalFormatting>
  <conditionalFormatting sqref="R66 T66 V66 Y66">
    <cfRule type="cellIs" dxfId="4543" priority="4537" operator="between">
      <formula>-0.05</formula>
      <formula>0.05</formula>
    </cfRule>
    <cfRule type="containsText" dxfId="4542" priority="4538" operator="containsText" text="NA">
      <formula>NOT(ISERROR(SEARCH("NA",R66)))</formula>
    </cfRule>
    <cfRule type="cellIs" dxfId="4541" priority="4539" operator="lessThan">
      <formula>-0.05</formula>
    </cfRule>
    <cfRule type="cellIs" dxfId="4540" priority="4540" operator="greaterThan">
      <formula>0.05</formula>
    </cfRule>
  </conditionalFormatting>
  <conditionalFormatting sqref="R67 T67 V67 Y67">
    <cfRule type="cellIs" dxfId="4539" priority="4533" operator="between">
      <formula>-0.05</formula>
      <formula>0.05</formula>
    </cfRule>
    <cfRule type="containsText" dxfId="4538" priority="4534" operator="containsText" text="NA">
      <formula>NOT(ISERROR(SEARCH("NA",R67)))</formula>
    </cfRule>
    <cfRule type="cellIs" dxfId="4537" priority="4535" operator="lessThan">
      <formula>-0.05</formula>
    </cfRule>
    <cfRule type="cellIs" dxfId="4536" priority="4536" operator="greaterThan">
      <formula>0.05</formula>
    </cfRule>
  </conditionalFormatting>
  <conditionalFormatting sqref="R68 T68 V68 Y68">
    <cfRule type="cellIs" dxfId="4535" priority="4529" operator="between">
      <formula>-0.05</formula>
      <formula>0.05</formula>
    </cfRule>
    <cfRule type="containsText" dxfId="4534" priority="4530" operator="containsText" text="NA">
      <formula>NOT(ISERROR(SEARCH("NA",R68)))</formula>
    </cfRule>
    <cfRule type="cellIs" dxfId="4533" priority="4531" operator="lessThan">
      <formula>-0.05</formula>
    </cfRule>
    <cfRule type="cellIs" dxfId="4532" priority="4532" operator="greaterThan">
      <formula>0.05</formula>
    </cfRule>
  </conditionalFormatting>
  <conditionalFormatting sqref="R69 T69 V69 Y69">
    <cfRule type="cellIs" dxfId="4531" priority="4525" operator="between">
      <formula>-0.05</formula>
      <formula>0.05</formula>
    </cfRule>
    <cfRule type="containsText" dxfId="4530" priority="4526" operator="containsText" text="NA">
      <formula>NOT(ISERROR(SEARCH("NA",R69)))</formula>
    </cfRule>
    <cfRule type="cellIs" dxfId="4529" priority="4527" operator="lessThan">
      <formula>-0.05</formula>
    </cfRule>
    <cfRule type="cellIs" dxfId="4528" priority="4528" operator="greaterThan">
      <formula>0.05</formula>
    </cfRule>
  </conditionalFormatting>
  <conditionalFormatting sqref="R70 T70 V70 Y70">
    <cfRule type="cellIs" dxfId="4527" priority="4521" operator="between">
      <formula>-0.05</formula>
      <formula>0.05</formula>
    </cfRule>
    <cfRule type="containsText" dxfId="4526" priority="4522" operator="containsText" text="NA">
      <formula>NOT(ISERROR(SEARCH("NA",R70)))</formula>
    </cfRule>
    <cfRule type="cellIs" dxfId="4525" priority="4523" operator="lessThan">
      <formula>-0.05</formula>
    </cfRule>
    <cfRule type="cellIs" dxfId="4524" priority="4524" operator="greaterThan">
      <formula>0.05</formula>
    </cfRule>
  </conditionalFormatting>
  <conditionalFormatting sqref="R71 T71 V71 Y71">
    <cfRule type="cellIs" dxfId="4523" priority="4517" operator="between">
      <formula>-0.05</formula>
      <formula>0.05</formula>
    </cfRule>
    <cfRule type="containsText" dxfId="4522" priority="4518" operator="containsText" text="NA">
      <formula>NOT(ISERROR(SEARCH("NA",R71)))</formula>
    </cfRule>
    <cfRule type="cellIs" dxfId="4521" priority="4519" operator="lessThan">
      <formula>-0.05</formula>
    </cfRule>
    <cfRule type="cellIs" dxfId="4520" priority="4520" operator="greaterThan">
      <formula>0.05</formula>
    </cfRule>
  </conditionalFormatting>
  <conditionalFormatting sqref="R72 T72 V72 Y72">
    <cfRule type="cellIs" dxfId="4519" priority="4513" operator="between">
      <formula>-0.05</formula>
      <formula>0.05</formula>
    </cfRule>
    <cfRule type="containsText" dxfId="4518" priority="4514" operator="containsText" text="NA">
      <formula>NOT(ISERROR(SEARCH("NA",R72)))</formula>
    </cfRule>
    <cfRule type="cellIs" dxfId="4517" priority="4515" operator="lessThan">
      <formula>-0.05</formula>
    </cfRule>
    <cfRule type="cellIs" dxfId="4516" priority="4516" operator="greaterThan">
      <formula>0.05</formula>
    </cfRule>
  </conditionalFormatting>
  <conditionalFormatting sqref="R73 T73 V73 Y73">
    <cfRule type="cellIs" dxfId="4515" priority="4509" operator="between">
      <formula>-0.05</formula>
      <formula>0.05</formula>
    </cfRule>
    <cfRule type="containsText" dxfId="4514" priority="4510" operator="containsText" text="NA">
      <formula>NOT(ISERROR(SEARCH("NA",R73)))</formula>
    </cfRule>
    <cfRule type="cellIs" dxfId="4513" priority="4511" operator="lessThan">
      <formula>-0.05</formula>
    </cfRule>
    <cfRule type="cellIs" dxfId="4512" priority="4512" operator="greaterThan">
      <formula>0.05</formula>
    </cfRule>
  </conditionalFormatting>
  <conditionalFormatting sqref="R74 T74 V74 Y74">
    <cfRule type="cellIs" dxfId="4511" priority="4505" operator="between">
      <formula>-0.05</formula>
      <formula>0.05</formula>
    </cfRule>
    <cfRule type="containsText" dxfId="4510" priority="4506" operator="containsText" text="NA">
      <formula>NOT(ISERROR(SEARCH("NA",R74)))</formula>
    </cfRule>
    <cfRule type="cellIs" dxfId="4509" priority="4507" operator="lessThan">
      <formula>-0.05</formula>
    </cfRule>
    <cfRule type="cellIs" dxfId="4508" priority="4508" operator="greaterThan">
      <formula>0.05</formula>
    </cfRule>
  </conditionalFormatting>
  <conditionalFormatting sqref="R75 T75 V75 Y75">
    <cfRule type="cellIs" dxfId="4507" priority="4501" operator="between">
      <formula>-0.05</formula>
      <formula>0.05</formula>
    </cfRule>
    <cfRule type="containsText" dxfId="4506" priority="4502" operator="containsText" text="NA">
      <formula>NOT(ISERROR(SEARCH("NA",R75)))</formula>
    </cfRule>
    <cfRule type="cellIs" dxfId="4505" priority="4503" operator="lessThan">
      <formula>-0.05</formula>
    </cfRule>
    <cfRule type="cellIs" dxfId="4504" priority="4504" operator="greaterThan">
      <formula>0.05</formula>
    </cfRule>
  </conditionalFormatting>
  <conditionalFormatting sqref="R76 T76 V76 Y76">
    <cfRule type="cellIs" dxfId="4503" priority="4497" operator="between">
      <formula>-0.05</formula>
      <formula>0.05</formula>
    </cfRule>
    <cfRule type="containsText" dxfId="4502" priority="4498" operator="containsText" text="NA">
      <formula>NOT(ISERROR(SEARCH("NA",R76)))</formula>
    </cfRule>
    <cfRule type="cellIs" dxfId="4501" priority="4499" operator="lessThan">
      <formula>-0.05</formula>
    </cfRule>
    <cfRule type="cellIs" dxfId="4500" priority="4500" operator="greaterThan">
      <formula>0.05</formula>
    </cfRule>
  </conditionalFormatting>
  <conditionalFormatting sqref="R77 T77 V77 Y77">
    <cfRule type="cellIs" dxfId="4499" priority="4493" operator="between">
      <formula>-0.05</formula>
      <formula>0.05</formula>
    </cfRule>
    <cfRule type="containsText" dxfId="4498" priority="4494" operator="containsText" text="NA">
      <formula>NOT(ISERROR(SEARCH("NA",R77)))</formula>
    </cfRule>
    <cfRule type="cellIs" dxfId="4497" priority="4495" operator="lessThan">
      <formula>-0.05</formula>
    </cfRule>
    <cfRule type="cellIs" dxfId="4496" priority="4496" operator="greaterThan">
      <formula>0.05</formula>
    </cfRule>
  </conditionalFormatting>
  <conditionalFormatting sqref="R78 T78 V78 Y78">
    <cfRule type="cellIs" dxfId="4495" priority="4489" operator="between">
      <formula>-0.05</formula>
      <formula>0.05</formula>
    </cfRule>
    <cfRule type="containsText" dxfId="4494" priority="4490" operator="containsText" text="NA">
      <formula>NOT(ISERROR(SEARCH("NA",R78)))</formula>
    </cfRule>
    <cfRule type="cellIs" dxfId="4493" priority="4491" operator="lessThan">
      <formula>-0.05</formula>
    </cfRule>
    <cfRule type="cellIs" dxfId="4492" priority="4492" operator="greaterThan">
      <formula>0.05</formula>
    </cfRule>
  </conditionalFormatting>
  <conditionalFormatting sqref="R79 T79 V79 Y79">
    <cfRule type="cellIs" dxfId="4491" priority="4485" operator="between">
      <formula>-0.05</formula>
      <formula>0.05</formula>
    </cfRule>
    <cfRule type="containsText" dxfId="4490" priority="4486" operator="containsText" text="NA">
      <formula>NOT(ISERROR(SEARCH("NA",R79)))</formula>
    </cfRule>
    <cfRule type="cellIs" dxfId="4489" priority="4487" operator="lessThan">
      <formula>-0.05</formula>
    </cfRule>
    <cfRule type="cellIs" dxfId="4488" priority="4488" operator="greaterThan">
      <formula>0.05</formula>
    </cfRule>
  </conditionalFormatting>
  <conditionalFormatting sqref="R80 T80 V80 Y80">
    <cfRule type="cellIs" dxfId="4487" priority="4481" operator="between">
      <formula>-0.05</formula>
      <formula>0.05</formula>
    </cfRule>
    <cfRule type="containsText" dxfId="4486" priority="4482" operator="containsText" text="NA">
      <formula>NOT(ISERROR(SEARCH("NA",R80)))</formula>
    </cfRule>
    <cfRule type="cellIs" dxfId="4485" priority="4483" operator="lessThan">
      <formula>-0.05</formula>
    </cfRule>
    <cfRule type="cellIs" dxfId="4484" priority="4484" operator="greaterThan">
      <formula>0.05</formula>
    </cfRule>
  </conditionalFormatting>
  <conditionalFormatting sqref="R81 T81 V81 Y81">
    <cfRule type="cellIs" dxfId="4483" priority="4477" operator="between">
      <formula>-0.05</formula>
      <formula>0.05</formula>
    </cfRule>
    <cfRule type="containsText" dxfId="4482" priority="4478" operator="containsText" text="NA">
      <formula>NOT(ISERROR(SEARCH("NA",R81)))</formula>
    </cfRule>
    <cfRule type="cellIs" dxfId="4481" priority="4479" operator="lessThan">
      <formula>-0.05</formula>
    </cfRule>
    <cfRule type="cellIs" dxfId="4480" priority="4480" operator="greaterThan">
      <formula>0.05</formula>
    </cfRule>
  </conditionalFormatting>
  <conditionalFormatting sqref="R82 T82 V82 Y82">
    <cfRule type="cellIs" dxfId="4479" priority="4473" operator="between">
      <formula>-0.05</formula>
      <formula>0.05</formula>
    </cfRule>
    <cfRule type="containsText" dxfId="4478" priority="4474" operator="containsText" text="NA">
      <formula>NOT(ISERROR(SEARCH("NA",R82)))</formula>
    </cfRule>
    <cfRule type="cellIs" dxfId="4477" priority="4475" operator="lessThan">
      <formula>-0.05</formula>
    </cfRule>
    <cfRule type="cellIs" dxfId="4476" priority="4476" operator="greaterThan">
      <formula>0.05</formula>
    </cfRule>
  </conditionalFormatting>
  <conditionalFormatting sqref="R83 T83 V83 Y83">
    <cfRule type="cellIs" dxfId="4475" priority="4469" operator="between">
      <formula>-0.05</formula>
      <formula>0.05</formula>
    </cfRule>
    <cfRule type="containsText" dxfId="4474" priority="4470" operator="containsText" text="NA">
      <formula>NOT(ISERROR(SEARCH("NA",R83)))</formula>
    </cfRule>
    <cfRule type="cellIs" dxfId="4473" priority="4471" operator="lessThan">
      <formula>-0.05</formula>
    </cfRule>
    <cfRule type="cellIs" dxfId="4472" priority="4472" operator="greaterThan">
      <formula>0.05</formula>
    </cfRule>
  </conditionalFormatting>
  <conditionalFormatting sqref="R84 T84 V84 Y84">
    <cfRule type="cellIs" dxfId="4471" priority="4465" operator="between">
      <formula>-0.05</formula>
      <formula>0.05</formula>
    </cfRule>
    <cfRule type="containsText" dxfId="4470" priority="4466" operator="containsText" text="NA">
      <formula>NOT(ISERROR(SEARCH("NA",R84)))</formula>
    </cfRule>
    <cfRule type="cellIs" dxfId="4469" priority="4467" operator="lessThan">
      <formula>-0.05</formula>
    </cfRule>
    <cfRule type="cellIs" dxfId="4468" priority="4468" operator="greaterThan">
      <formula>0.05</formula>
    </cfRule>
  </conditionalFormatting>
  <conditionalFormatting sqref="R85 T85 V85 Y85">
    <cfRule type="cellIs" dxfId="4467" priority="4461" operator="between">
      <formula>-0.05</formula>
      <formula>0.05</formula>
    </cfRule>
    <cfRule type="containsText" dxfId="4466" priority="4462" operator="containsText" text="NA">
      <formula>NOT(ISERROR(SEARCH("NA",R85)))</formula>
    </cfRule>
    <cfRule type="cellIs" dxfId="4465" priority="4463" operator="lessThan">
      <formula>-0.05</formula>
    </cfRule>
    <cfRule type="cellIs" dxfId="4464" priority="4464" operator="greaterThan">
      <formula>0.05</formula>
    </cfRule>
  </conditionalFormatting>
  <conditionalFormatting sqref="R86 T86 V86 Y86">
    <cfRule type="cellIs" dxfId="4463" priority="4457" operator="between">
      <formula>-0.05</formula>
      <formula>0.05</formula>
    </cfRule>
    <cfRule type="containsText" dxfId="4462" priority="4458" operator="containsText" text="NA">
      <formula>NOT(ISERROR(SEARCH("NA",R86)))</formula>
    </cfRule>
    <cfRule type="cellIs" dxfId="4461" priority="4459" operator="lessThan">
      <formula>-0.05</formula>
    </cfRule>
    <cfRule type="cellIs" dxfId="4460" priority="4460" operator="greaterThan">
      <formula>0.05</formula>
    </cfRule>
  </conditionalFormatting>
  <conditionalFormatting sqref="R87 T87 V87 Y87">
    <cfRule type="cellIs" dxfId="4459" priority="4453" operator="between">
      <formula>-0.05</formula>
      <formula>0.05</formula>
    </cfRule>
    <cfRule type="containsText" dxfId="4458" priority="4454" operator="containsText" text="NA">
      <formula>NOT(ISERROR(SEARCH("NA",R87)))</formula>
    </cfRule>
    <cfRule type="cellIs" dxfId="4457" priority="4455" operator="lessThan">
      <formula>-0.05</formula>
    </cfRule>
    <cfRule type="cellIs" dxfId="4456" priority="4456" operator="greaterThan">
      <formula>0.05</formula>
    </cfRule>
  </conditionalFormatting>
  <conditionalFormatting sqref="R88 T88 V88 Y88">
    <cfRule type="cellIs" dxfId="4455" priority="4449" operator="between">
      <formula>-0.05</formula>
      <formula>0.05</formula>
    </cfRule>
    <cfRule type="containsText" dxfId="4454" priority="4450" operator="containsText" text="NA">
      <formula>NOT(ISERROR(SEARCH("NA",R88)))</formula>
    </cfRule>
    <cfRule type="cellIs" dxfId="4453" priority="4451" operator="lessThan">
      <formula>-0.05</formula>
    </cfRule>
    <cfRule type="cellIs" dxfId="4452" priority="4452" operator="greaterThan">
      <formula>0.05</formula>
    </cfRule>
  </conditionalFormatting>
  <conditionalFormatting sqref="R89 T89 V89 Y89">
    <cfRule type="cellIs" dxfId="4451" priority="4445" operator="between">
      <formula>-0.05</formula>
      <formula>0.05</formula>
    </cfRule>
    <cfRule type="containsText" dxfId="4450" priority="4446" operator="containsText" text="NA">
      <formula>NOT(ISERROR(SEARCH("NA",R89)))</formula>
    </cfRule>
    <cfRule type="cellIs" dxfId="4449" priority="4447" operator="lessThan">
      <formula>-0.05</formula>
    </cfRule>
    <cfRule type="cellIs" dxfId="4448" priority="4448" operator="greaterThan">
      <formula>0.05</formula>
    </cfRule>
  </conditionalFormatting>
  <conditionalFormatting sqref="R90 T90 V90 Y90">
    <cfRule type="cellIs" dxfId="4447" priority="4441" operator="between">
      <formula>-0.05</formula>
      <formula>0.05</formula>
    </cfRule>
    <cfRule type="containsText" dxfId="4446" priority="4442" operator="containsText" text="NA">
      <formula>NOT(ISERROR(SEARCH("NA",R90)))</formula>
    </cfRule>
    <cfRule type="cellIs" dxfId="4445" priority="4443" operator="lessThan">
      <formula>-0.05</formula>
    </cfRule>
    <cfRule type="cellIs" dxfId="4444" priority="4444" operator="greaterThan">
      <formula>0.05</formula>
    </cfRule>
  </conditionalFormatting>
  <conditionalFormatting sqref="R91 T91 V91 Y91">
    <cfRule type="cellIs" dxfId="4443" priority="4437" operator="between">
      <formula>-0.05</formula>
      <formula>0.05</formula>
    </cfRule>
    <cfRule type="containsText" dxfId="4442" priority="4438" operator="containsText" text="NA">
      <formula>NOT(ISERROR(SEARCH("NA",R91)))</formula>
    </cfRule>
    <cfRule type="cellIs" dxfId="4441" priority="4439" operator="lessThan">
      <formula>-0.05</formula>
    </cfRule>
    <cfRule type="cellIs" dxfId="4440" priority="4440" operator="greaterThan">
      <formula>0.05</formula>
    </cfRule>
  </conditionalFormatting>
  <conditionalFormatting sqref="R92 T92 V92 Y92">
    <cfRule type="cellIs" dxfId="4439" priority="4433" operator="between">
      <formula>-0.05</formula>
      <formula>0.05</formula>
    </cfRule>
    <cfRule type="containsText" dxfId="4438" priority="4434" operator="containsText" text="NA">
      <formula>NOT(ISERROR(SEARCH("NA",R92)))</formula>
    </cfRule>
    <cfRule type="cellIs" dxfId="4437" priority="4435" operator="lessThan">
      <formula>-0.05</formula>
    </cfRule>
    <cfRule type="cellIs" dxfId="4436" priority="4436" operator="greaterThan">
      <formula>0.05</formula>
    </cfRule>
  </conditionalFormatting>
  <conditionalFormatting sqref="R93 T93 V93 Y93">
    <cfRule type="cellIs" dxfId="4435" priority="4429" operator="between">
      <formula>-0.05</formula>
      <formula>0.05</formula>
    </cfRule>
    <cfRule type="containsText" dxfId="4434" priority="4430" operator="containsText" text="NA">
      <formula>NOT(ISERROR(SEARCH("NA",R93)))</formula>
    </cfRule>
    <cfRule type="cellIs" dxfId="4433" priority="4431" operator="lessThan">
      <formula>-0.05</formula>
    </cfRule>
    <cfRule type="cellIs" dxfId="4432" priority="4432" operator="greaterThan">
      <formula>0.05</formula>
    </cfRule>
  </conditionalFormatting>
  <conditionalFormatting sqref="R94 T94 V94 Y94">
    <cfRule type="cellIs" dxfId="4431" priority="4425" operator="between">
      <formula>-0.05</formula>
      <formula>0.05</formula>
    </cfRule>
    <cfRule type="containsText" dxfId="4430" priority="4426" operator="containsText" text="NA">
      <formula>NOT(ISERROR(SEARCH("NA",R94)))</formula>
    </cfRule>
    <cfRule type="cellIs" dxfId="4429" priority="4427" operator="lessThan">
      <formula>-0.05</formula>
    </cfRule>
    <cfRule type="cellIs" dxfId="4428" priority="4428" operator="greaterThan">
      <formula>0.05</formula>
    </cfRule>
  </conditionalFormatting>
  <conditionalFormatting sqref="R95 T95 V95 Y95">
    <cfRule type="cellIs" dxfId="4427" priority="4421" operator="between">
      <formula>-0.05</formula>
      <formula>0.05</formula>
    </cfRule>
    <cfRule type="containsText" dxfId="4426" priority="4422" operator="containsText" text="NA">
      <formula>NOT(ISERROR(SEARCH("NA",R95)))</formula>
    </cfRule>
    <cfRule type="cellIs" dxfId="4425" priority="4423" operator="lessThan">
      <formula>-0.05</formula>
    </cfRule>
    <cfRule type="cellIs" dxfId="4424" priority="4424" operator="greaterThan">
      <formula>0.05</formula>
    </cfRule>
  </conditionalFormatting>
  <conditionalFormatting sqref="R96 T96 V96 Y96">
    <cfRule type="cellIs" dxfId="4423" priority="4417" operator="between">
      <formula>-0.05</formula>
      <formula>0.05</formula>
    </cfRule>
    <cfRule type="containsText" dxfId="4422" priority="4418" operator="containsText" text="NA">
      <formula>NOT(ISERROR(SEARCH("NA",R96)))</formula>
    </cfRule>
    <cfRule type="cellIs" dxfId="4421" priority="4419" operator="lessThan">
      <formula>-0.05</formula>
    </cfRule>
    <cfRule type="cellIs" dxfId="4420" priority="4420" operator="greaterThan">
      <formula>0.05</formula>
    </cfRule>
  </conditionalFormatting>
  <conditionalFormatting sqref="R97 T97 V97 Y97">
    <cfRule type="cellIs" dxfId="4419" priority="4413" operator="between">
      <formula>-0.05</formula>
      <formula>0.05</formula>
    </cfRule>
    <cfRule type="containsText" dxfId="4418" priority="4414" operator="containsText" text="NA">
      <formula>NOT(ISERROR(SEARCH("NA",R97)))</formula>
    </cfRule>
    <cfRule type="cellIs" dxfId="4417" priority="4415" operator="lessThan">
      <formula>-0.05</formula>
    </cfRule>
    <cfRule type="cellIs" dxfId="4416" priority="4416" operator="greaterThan">
      <formula>0.05</formula>
    </cfRule>
  </conditionalFormatting>
  <conditionalFormatting sqref="R98 T98 V98 Y98">
    <cfRule type="cellIs" dxfId="4415" priority="4409" operator="between">
      <formula>-0.05</formula>
      <formula>0.05</formula>
    </cfRule>
    <cfRule type="containsText" dxfId="4414" priority="4410" operator="containsText" text="NA">
      <formula>NOT(ISERROR(SEARCH("NA",R98)))</formula>
    </cfRule>
    <cfRule type="cellIs" dxfId="4413" priority="4411" operator="lessThan">
      <formula>-0.05</formula>
    </cfRule>
    <cfRule type="cellIs" dxfId="4412" priority="4412" operator="greaterThan">
      <formula>0.05</formula>
    </cfRule>
  </conditionalFormatting>
  <conditionalFormatting sqref="R99 T99 V99 Y99">
    <cfRule type="cellIs" dxfId="4411" priority="4405" operator="between">
      <formula>-0.05</formula>
      <formula>0.05</formula>
    </cfRule>
    <cfRule type="containsText" dxfId="4410" priority="4406" operator="containsText" text="NA">
      <formula>NOT(ISERROR(SEARCH("NA",R99)))</formula>
    </cfRule>
    <cfRule type="cellIs" dxfId="4409" priority="4407" operator="lessThan">
      <formula>-0.05</formula>
    </cfRule>
    <cfRule type="cellIs" dxfId="4408" priority="4408" operator="greaterThan">
      <formula>0.05</formula>
    </cfRule>
  </conditionalFormatting>
  <conditionalFormatting sqref="R100 T100 V100 Y100">
    <cfRule type="cellIs" dxfId="4407" priority="4401" operator="between">
      <formula>-0.05</formula>
      <formula>0.05</formula>
    </cfRule>
    <cfRule type="containsText" dxfId="4406" priority="4402" operator="containsText" text="NA">
      <formula>NOT(ISERROR(SEARCH("NA",R100)))</formula>
    </cfRule>
    <cfRule type="cellIs" dxfId="4405" priority="4403" operator="lessThan">
      <formula>-0.05</formula>
    </cfRule>
    <cfRule type="cellIs" dxfId="4404" priority="4404" operator="greaterThan">
      <formula>0.05</formula>
    </cfRule>
  </conditionalFormatting>
  <conditionalFormatting sqref="R101 T101 V101 Y101">
    <cfRule type="cellIs" dxfId="4403" priority="4397" operator="between">
      <formula>-0.05</formula>
      <formula>0.05</formula>
    </cfRule>
    <cfRule type="containsText" dxfId="4402" priority="4398" operator="containsText" text="NA">
      <formula>NOT(ISERROR(SEARCH("NA",R101)))</formula>
    </cfRule>
    <cfRule type="cellIs" dxfId="4401" priority="4399" operator="lessThan">
      <formula>-0.05</formula>
    </cfRule>
    <cfRule type="cellIs" dxfId="4400" priority="4400" operator="greaterThan">
      <formula>0.05</formula>
    </cfRule>
  </conditionalFormatting>
  <conditionalFormatting sqref="R102 T102 V102 Y102">
    <cfRule type="cellIs" dxfId="4399" priority="4393" operator="between">
      <formula>-0.05</formula>
      <formula>0.05</formula>
    </cfRule>
    <cfRule type="containsText" dxfId="4398" priority="4394" operator="containsText" text="NA">
      <formula>NOT(ISERROR(SEARCH("NA",R102)))</formula>
    </cfRule>
    <cfRule type="cellIs" dxfId="4397" priority="4395" operator="lessThan">
      <formula>-0.05</formula>
    </cfRule>
    <cfRule type="cellIs" dxfId="4396" priority="4396" operator="greaterThan">
      <formula>0.05</formula>
    </cfRule>
  </conditionalFormatting>
  <conditionalFormatting sqref="R103 T103 V103 Y103">
    <cfRule type="cellIs" dxfId="4395" priority="4389" operator="between">
      <formula>-0.05</formula>
      <formula>0.05</formula>
    </cfRule>
    <cfRule type="containsText" dxfId="4394" priority="4390" operator="containsText" text="NA">
      <formula>NOT(ISERROR(SEARCH("NA",R103)))</formula>
    </cfRule>
    <cfRule type="cellIs" dxfId="4393" priority="4391" operator="lessThan">
      <formula>-0.05</formula>
    </cfRule>
    <cfRule type="cellIs" dxfId="4392" priority="4392" operator="greaterThan">
      <formula>0.05</formula>
    </cfRule>
  </conditionalFormatting>
  <conditionalFormatting sqref="R104 T104 V104 Y104">
    <cfRule type="cellIs" dxfId="4391" priority="4385" operator="between">
      <formula>-0.05</formula>
      <formula>0.05</formula>
    </cfRule>
    <cfRule type="containsText" dxfId="4390" priority="4386" operator="containsText" text="NA">
      <formula>NOT(ISERROR(SEARCH("NA",R104)))</formula>
    </cfRule>
    <cfRule type="cellIs" dxfId="4389" priority="4387" operator="lessThan">
      <formula>-0.05</formula>
    </cfRule>
    <cfRule type="cellIs" dxfId="4388" priority="4388" operator="greaterThan">
      <formula>0.05</formula>
    </cfRule>
  </conditionalFormatting>
  <conditionalFormatting sqref="R105 T105 V105 Y105">
    <cfRule type="cellIs" dxfId="4387" priority="4381" operator="between">
      <formula>-0.05</formula>
      <formula>0.05</formula>
    </cfRule>
    <cfRule type="containsText" dxfId="4386" priority="4382" operator="containsText" text="NA">
      <formula>NOT(ISERROR(SEARCH("NA",R105)))</formula>
    </cfRule>
    <cfRule type="cellIs" dxfId="4385" priority="4383" operator="lessThan">
      <formula>-0.05</formula>
    </cfRule>
    <cfRule type="cellIs" dxfId="4384" priority="4384" operator="greaterThan">
      <formula>0.05</formula>
    </cfRule>
  </conditionalFormatting>
  <conditionalFormatting sqref="R106 T106 V106 Y106">
    <cfRule type="cellIs" dxfId="4383" priority="4377" operator="between">
      <formula>-0.05</formula>
      <formula>0.05</formula>
    </cfRule>
    <cfRule type="containsText" dxfId="4382" priority="4378" operator="containsText" text="NA">
      <formula>NOT(ISERROR(SEARCH("NA",R106)))</formula>
    </cfRule>
    <cfRule type="cellIs" dxfId="4381" priority="4379" operator="lessThan">
      <formula>-0.05</formula>
    </cfRule>
    <cfRule type="cellIs" dxfId="4380" priority="4380" operator="greaterThan">
      <formula>0.05</formula>
    </cfRule>
  </conditionalFormatting>
  <conditionalFormatting sqref="R107 T107 V107 Y107">
    <cfRule type="cellIs" dxfId="4379" priority="4373" operator="between">
      <formula>-0.05</formula>
      <formula>0.05</formula>
    </cfRule>
    <cfRule type="containsText" dxfId="4378" priority="4374" operator="containsText" text="NA">
      <formula>NOT(ISERROR(SEARCH("NA",R107)))</formula>
    </cfRule>
    <cfRule type="cellIs" dxfId="4377" priority="4375" operator="lessThan">
      <formula>-0.05</formula>
    </cfRule>
    <cfRule type="cellIs" dxfId="4376" priority="4376" operator="greaterThan">
      <formula>0.05</formula>
    </cfRule>
  </conditionalFormatting>
  <conditionalFormatting sqref="R108 T108 V108 Y108">
    <cfRule type="cellIs" dxfId="4375" priority="4369" operator="between">
      <formula>-0.05</formula>
      <formula>0.05</formula>
    </cfRule>
    <cfRule type="containsText" dxfId="4374" priority="4370" operator="containsText" text="NA">
      <formula>NOT(ISERROR(SEARCH("NA",R108)))</formula>
    </cfRule>
    <cfRule type="cellIs" dxfId="4373" priority="4371" operator="lessThan">
      <formula>-0.05</formula>
    </cfRule>
    <cfRule type="cellIs" dxfId="4372" priority="4372" operator="greaterThan">
      <formula>0.05</formula>
    </cfRule>
  </conditionalFormatting>
  <conditionalFormatting sqref="R109 T109 V109 Y109">
    <cfRule type="cellIs" dxfId="4371" priority="4365" operator="between">
      <formula>-0.05</formula>
      <formula>0.05</formula>
    </cfRule>
    <cfRule type="containsText" dxfId="4370" priority="4366" operator="containsText" text="NA">
      <formula>NOT(ISERROR(SEARCH("NA",R109)))</formula>
    </cfRule>
    <cfRule type="cellIs" dxfId="4369" priority="4367" operator="lessThan">
      <formula>-0.05</formula>
    </cfRule>
    <cfRule type="cellIs" dxfId="4368" priority="4368" operator="greaterThan">
      <formula>0.05</formula>
    </cfRule>
  </conditionalFormatting>
  <conditionalFormatting sqref="R110 T110 V110 Y110">
    <cfRule type="cellIs" dxfId="4367" priority="4361" operator="between">
      <formula>-0.05</formula>
      <formula>0.05</formula>
    </cfRule>
    <cfRule type="containsText" dxfId="4366" priority="4362" operator="containsText" text="NA">
      <formula>NOT(ISERROR(SEARCH("NA",R110)))</formula>
    </cfRule>
    <cfRule type="cellIs" dxfId="4365" priority="4363" operator="lessThan">
      <formula>-0.05</formula>
    </cfRule>
    <cfRule type="cellIs" dxfId="4364" priority="4364" operator="greaterThan">
      <formula>0.05</formula>
    </cfRule>
  </conditionalFormatting>
  <conditionalFormatting sqref="R111 T111 V111 Y111">
    <cfRule type="cellIs" dxfId="4363" priority="4357" operator="between">
      <formula>-0.05</formula>
      <formula>0.05</formula>
    </cfRule>
    <cfRule type="containsText" dxfId="4362" priority="4358" operator="containsText" text="NA">
      <formula>NOT(ISERROR(SEARCH("NA",R111)))</formula>
    </cfRule>
    <cfRule type="cellIs" dxfId="4361" priority="4359" operator="lessThan">
      <formula>-0.05</formula>
    </cfRule>
    <cfRule type="cellIs" dxfId="4360" priority="4360" operator="greaterThan">
      <formula>0.05</formula>
    </cfRule>
  </conditionalFormatting>
  <conditionalFormatting sqref="R112 T112 V112 Y112">
    <cfRule type="cellIs" dxfId="4359" priority="4353" operator="between">
      <formula>-0.05</formula>
      <formula>0.05</formula>
    </cfRule>
    <cfRule type="containsText" dxfId="4358" priority="4354" operator="containsText" text="NA">
      <formula>NOT(ISERROR(SEARCH("NA",R112)))</formula>
    </cfRule>
    <cfRule type="cellIs" dxfId="4357" priority="4355" operator="lessThan">
      <formula>-0.05</formula>
    </cfRule>
    <cfRule type="cellIs" dxfId="4356" priority="4356" operator="greaterThan">
      <formula>0.05</formula>
    </cfRule>
  </conditionalFormatting>
  <conditionalFormatting sqref="R113 T113 V113 Y113">
    <cfRule type="cellIs" dxfId="4355" priority="4349" operator="between">
      <formula>-0.05</formula>
      <formula>0.05</formula>
    </cfRule>
    <cfRule type="containsText" dxfId="4354" priority="4350" operator="containsText" text="NA">
      <formula>NOT(ISERROR(SEARCH("NA",R113)))</formula>
    </cfRule>
    <cfRule type="cellIs" dxfId="4353" priority="4351" operator="lessThan">
      <formula>-0.05</formula>
    </cfRule>
    <cfRule type="cellIs" dxfId="4352" priority="4352" operator="greaterThan">
      <formula>0.05</formula>
    </cfRule>
  </conditionalFormatting>
  <conditionalFormatting sqref="R114 T114 V114 Y114">
    <cfRule type="cellIs" dxfId="4351" priority="4345" operator="between">
      <formula>-0.05</formula>
      <formula>0.05</formula>
    </cfRule>
    <cfRule type="containsText" dxfId="4350" priority="4346" operator="containsText" text="NA">
      <formula>NOT(ISERROR(SEARCH("NA",R114)))</formula>
    </cfRule>
    <cfRule type="cellIs" dxfId="4349" priority="4347" operator="lessThan">
      <formula>-0.05</formula>
    </cfRule>
    <cfRule type="cellIs" dxfId="4348" priority="4348" operator="greaterThan">
      <formula>0.05</formula>
    </cfRule>
  </conditionalFormatting>
  <conditionalFormatting sqref="R115 T115 V115 Y115">
    <cfRule type="cellIs" dxfId="4347" priority="4341" operator="between">
      <formula>-0.05</formula>
      <formula>0.05</formula>
    </cfRule>
    <cfRule type="containsText" dxfId="4346" priority="4342" operator="containsText" text="NA">
      <formula>NOT(ISERROR(SEARCH("NA",R115)))</formula>
    </cfRule>
    <cfRule type="cellIs" dxfId="4345" priority="4343" operator="lessThan">
      <formula>-0.05</formula>
    </cfRule>
    <cfRule type="cellIs" dxfId="4344" priority="4344" operator="greaterThan">
      <formula>0.05</formula>
    </cfRule>
  </conditionalFormatting>
  <conditionalFormatting sqref="R116 T116 V116 Y116">
    <cfRule type="cellIs" dxfId="4343" priority="4337" operator="between">
      <formula>-0.05</formula>
      <formula>0.05</formula>
    </cfRule>
    <cfRule type="containsText" dxfId="4342" priority="4338" operator="containsText" text="NA">
      <formula>NOT(ISERROR(SEARCH("NA",R116)))</formula>
    </cfRule>
    <cfRule type="cellIs" dxfId="4341" priority="4339" operator="lessThan">
      <formula>-0.05</formula>
    </cfRule>
    <cfRule type="cellIs" dxfId="4340" priority="4340" operator="greaterThan">
      <formula>0.05</formula>
    </cfRule>
  </conditionalFormatting>
  <conditionalFormatting sqref="R117 T117 V117 Y117">
    <cfRule type="cellIs" dxfId="4339" priority="4333" operator="between">
      <formula>-0.05</formula>
      <formula>0.05</formula>
    </cfRule>
    <cfRule type="containsText" dxfId="4338" priority="4334" operator="containsText" text="NA">
      <formula>NOT(ISERROR(SEARCH("NA",R117)))</formula>
    </cfRule>
    <cfRule type="cellIs" dxfId="4337" priority="4335" operator="lessThan">
      <formula>-0.05</formula>
    </cfRule>
    <cfRule type="cellIs" dxfId="4336" priority="4336" operator="greaterThan">
      <formula>0.05</formula>
    </cfRule>
  </conditionalFormatting>
  <conditionalFormatting sqref="R118 T118 V118 Y118">
    <cfRule type="cellIs" dxfId="4335" priority="4329" operator="between">
      <formula>-0.05</formula>
      <formula>0.05</formula>
    </cfRule>
    <cfRule type="containsText" dxfId="4334" priority="4330" operator="containsText" text="NA">
      <formula>NOT(ISERROR(SEARCH("NA",R118)))</formula>
    </cfRule>
    <cfRule type="cellIs" dxfId="4333" priority="4331" operator="lessThan">
      <formula>-0.05</formula>
    </cfRule>
    <cfRule type="cellIs" dxfId="4332" priority="4332" operator="greaterThan">
      <formula>0.05</formula>
    </cfRule>
  </conditionalFormatting>
  <conditionalFormatting sqref="R119 T119 V119 Y119">
    <cfRule type="cellIs" dxfId="4331" priority="4325" operator="between">
      <formula>-0.05</formula>
      <formula>0.05</formula>
    </cfRule>
    <cfRule type="containsText" dxfId="4330" priority="4326" operator="containsText" text="NA">
      <formula>NOT(ISERROR(SEARCH("NA",R119)))</formula>
    </cfRule>
    <cfRule type="cellIs" dxfId="4329" priority="4327" operator="lessThan">
      <formula>-0.05</formula>
    </cfRule>
    <cfRule type="cellIs" dxfId="4328" priority="4328" operator="greaterThan">
      <formula>0.05</formula>
    </cfRule>
  </conditionalFormatting>
  <conditionalFormatting sqref="R120 T120 V120 Y120">
    <cfRule type="cellIs" dxfId="4327" priority="4321" operator="between">
      <formula>-0.05</formula>
      <formula>0.05</formula>
    </cfRule>
    <cfRule type="containsText" dxfId="4326" priority="4322" operator="containsText" text="NA">
      <formula>NOT(ISERROR(SEARCH("NA",R120)))</formula>
    </cfRule>
    <cfRule type="cellIs" dxfId="4325" priority="4323" operator="lessThan">
      <formula>-0.05</formula>
    </cfRule>
    <cfRule type="cellIs" dxfId="4324" priority="4324" operator="greaterThan">
      <formula>0.05</formula>
    </cfRule>
  </conditionalFormatting>
  <conditionalFormatting sqref="R121 T121 V121 Y121">
    <cfRule type="cellIs" dxfId="4323" priority="4317" operator="between">
      <formula>-0.05</formula>
      <formula>0.05</formula>
    </cfRule>
    <cfRule type="containsText" dxfId="4322" priority="4318" operator="containsText" text="NA">
      <formula>NOT(ISERROR(SEARCH("NA",R121)))</formula>
    </cfRule>
    <cfRule type="cellIs" dxfId="4321" priority="4319" operator="lessThan">
      <formula>-0.05</formula>
    </cfRule>
    <cfRule type="cellIs" dxfId="4320" priority="4320" operator="greaterThan">
      <formula>0.05</formula>
    </cfRule>
  </conditionalFormatting>
  <conditionalFormatting sqref="R122 T122 V122 Y122">
    <cfRule type="cellIs" dxfId="4319" priority="4313" operator="between">
      <formula>-0.05</formula>
      <formula>0.05</formula>
    </cfRule>
    <cfRule type="containsText" dxfId="4318" priority="4314" operator="containsText" text="NA">
      <formula>NOT(ISERROR(SEARCH("NA",R122)))</formula>
    </cfRule>
    <cfRule type="cellIs" dxfId="4317" priority="4315" operator="lessThan">
      <formula>-0.05</formula>
    </cfRule>
    <cfRule type="cellIs" dxfId="4316" priority="4316" operator="greaterThan">
      <formula>0.05</formula>
    </cfRule>
  </conditionalFormatting>
  <conditionalFormatting sqref="R123 T123 V123 Y123">
    <cfRule type="cellIs" dxfId="4315" priority="4309" operator="between">
      <formula>-0.05</formula>
      <formula>0.05</formula>
    </cfRule>
    <cfRule type="containsText" dxfId="4314" priority="4310" operator="containsText" text="NA">
      <formula>NOT(ISERROR(SEARCH("NA",R123)))</formula>
    </cfRule>
    <cfRule type="cellIs" dxfId="4313" priority="4311" operator="lessThan">
      <formula>-0.05</formula>
    </cfRule>
    <cfRule type="cellIs" dxfId="4312" priority="4312" operator="greaterThan">
      <formula>0.05</formula>
    </cfRule>
  </conditionalFormatting>
  <conditionalFormatting sqref="R124 T124 V124 Y124">
    <cfRule type="cellIs" dxfId="4311" priority="4305" operator="between">
      <formula>-0.05</formula>
      <formula>0.05</formula>
    </cfRule>
    <cfRule type="containsText" dxfId="4310" priority="4306" operator="containsText" text="NA">
      <formula>NOT(ISERROR(SEARCH("NA",R124)))</formula>
    </cfRule>
    <cfRule type="cellIs" dxfId="4309" priority="4307" operator="lessThan">
      <formula>-0.05</formula>
    </cfRule>
    <cfRule type="cellIs" dxfId="4308" priority="4308" operator="greaterThan">
      <formula>0.05</formula>
    </cfRule>
  </conditionalFormatting>
  <conditionalFormatting sqref="R125 T125 V125 Y125">
    <cfRule type="cellIs" dxfId="4307" priority="4301" operator="between">
      <formula>-0.05</formula>
      <formula>0.05</formula>
    </cfRule>
    <cfRule type="containsText" dxfId="4306" priority="4302" operator="containsText" text="NA">
      <formula>NOT(ISERROR(SEARCH("NA",R125)))</formula>
    </cfRule>
    <cfRule type="cellIs" dxfId="4305" priority="4303" operator="lessThan">
      <formula>-0.05</formula>
    </cfRule>
    <cfRule type="cellIs" dxfId="4304" priority="4304" operator="greaterThan">
      <formula>0.05</formula>
    </cfRule>
  </conditionalFormatting>
  <conditionalFormatting sqref="R126 T126 V126 Y126">
    <cfRule type="cellIs" dxfId="4303" priority="4297" operator="between">
      <formula>-0.05</formula>
      <formula>0.05</formula>
    </cfRule>
    <cfRule type="containsText" dxfId="4302" priority="4298" operator="containsText" text="NA">
      <formula>NOT(ISERROR(SEARCH("NA",R126)))</formula>
    </cfRule>
    <cfRule type="cellIs" dxfId="4301" priority="4299" operator="lessThan">
      <formula>-0.05</formula>
    </cfRule>
    <cfRule type="cellIs" dxfId="4300" priority="4300" operator="greaterThan">
      <formula>0.05</formula>
    </cfRule>
  </conditionalFormatting>
  <conditionalFormatting sqref="R127 T127 V127 Y127">
    <cfRule type="cellIs" dxfId="4299" priority="4293" operator="between">
      <formula>-0.05</formula>
      <formula>0.05</formula>
    </cfRule>
    <cfRule type="containsText" dxfId="4298" priority="4294" operator="containsText" text="NA">
      <formula>NOT(ISERROR(SEARCH("NA",R127)))</formula>
    </cfRule>
    <cfRule type="cellIs" dxfId="4297" priority="4295" operator="lessThan">
      <formula>-0.05</formula>
    </cfRule>
    <cfRule type="cellIs" dxfId="4296" priority="4296" operator="greaterThan">
      <formula>0.05</formula>
    </cfRule>
  </conditionalFormatting>
  <conditionalFormatting sqref="R128 T128 V128 Y128">
    <cfRule type="cellIs" dxfId="4295" priority="4289" operator="between">
      <formula>-0.05</formula>
      <formula>0.05</formula>
    </cfRule>
    <cfRule type="containsText" dxfId="4294" priority="4290" operator="containsText" text="NA">
      <formula>NOT(ISERROR(SEARCH("NA",R128)))</formula>
    </cfRule>
    <cfRule type="cellIs" dxfId="4293" priority="4291" operator="lessThan">
      <formula>-0.05</formula>
    </cfRule>
    <cfRule type="cellIs" dxfId="4292" priority="4292" operator="greaterThan">
      <formula>0.05</formula>
    </cfRule>
  </conditionalFormatting>
  <conditionalFormatting sqref="R129 T129 V129 Y129">
    <cfRule type="cellIs" dxfId="4291" priority="4285" operator="between">
      <formula>-0.05</formula>
      <formula>0.05</formula>
    </cfRule>
    <cfRule type="containsText" dxfId="4290" priority="4286" operator="containsText" text="NA">
      <formula>NOT(ISERROR(SEARCH("NA",R129)))</formula>
    </cfRule>
    <cfRule type="cellIs" dxfId="4289" priority="4287" operator="lessThan">
      <formula>-0.05</formula>
    </cfRule>
    <cfRule type="cellIs" dxfId="4288" priority="4288" operator="greaterThan">
      <formula>0.05</formula>
    </cfRule>
  </conditionalFormatting>
  <conditionalFormatting sqref="R130 T130 V130 Y130">
    <cfRule type="cellIs" dxfId="4287" priority="4281" operator="between">
      <formula>-0.05</formula>
      <formula>0.05</formula>
    </cfRule>
    <cfRule type="containsText" dxfId="4286" priority="4282" operator="containsText" text="NA">
      <formula>NOT(ISERROR(SEARCH("NA",R130)))</formula>
    </cfRule>
    <cfRule type="cellIs" dxfId="4285" priority="4283" operator="lessThan">
      <formula>-0.05</formula>
    </cfRule>
    <cfRule type="cellIs" dxfId="4284" priority="4284" operator="greaterThan">
      <formula>0.05</formula>
    </cfRule>
  </conditionalFormatting>
  <conditionalFormatting sqref="R131 T131 V131 Y131">
    <cfRule type="cellIs" dxfId="4283" priority="4277" operator="between">
      <formula>-0.05</formula>
      <formula>0.05</formula>
    </cfRule>
    <cfRule type="containsText" dxfId="4282" priority="4278" operator="containsText" text="NA">
      <formula>NOT(ISERROR(SEARCH("NA",R131)))</formula>
    </cfRule>
    <cfRule type="cellIs" dxfId="4281" priority="4279" operator="lessThan">
      <formula>-0.05</formula>
    </cfRule>
    <cfRule type="cellIs" dxfId="4280" priority="4280" operator="greaterThan">
      <formula>0.05</formula>
    </cfRule>
  </conditionalFormatting>
  <conditionalFormatting sqref="R132 T132 V132 Y132">
    <cfRule type="cellIs" dxfId="4279" priority="4273" operator="between">
      <formula>-0.05</formula>
      <formula>0.05</formula>
    </cfRule>
    <cfRule type="containsText" dxfId="4278" priority="4274" operator="containsText" text="NA">
      <formula>NOT(ISERROR(SEARCH("NA",R132)))</formula>
    </cfRule>
    <cfRule type="cellIs" dxfId="4277" priority="4275" operator="lessThan">
      <formula>-0.05</formula>
    </cfRule>
    <cfRule type="cellIs" dxfId="4276" priority="4276" operator="greaterThan">
      <formula>0.05</formula>
    </cfRule>
  </conditionalFormatting>
  <conditionalFormatting sqref="R133 T133 V133 Y133">
    <cfRule type="cellIs" dxfId="4275" priority="4269" operator="between">
      <formula>-0.05</formula>
      <formula>0.05</formula>
    </cfRule>
    <cfRule type="containsText" dxfId="4274" priority="4270" operator="containsText" text="NA">
      <formula>NOT(ISERROR(SEARCH("NA",R133)))</formula>
    </cfRule>
    <cfRule type="cellIs" dxfId="4273" priority="4271" operator="lessThan">
      <formula>-0.05</formula>
    </cfRule>
    <cfRule type="cellIs" dxfId="4272" priority="4272" operator="greaterThan">
      <formula>0.05</formula>
    </cfRule>
  </conditionalFormatting>
  <conditionalFormatting sqref="R134 T134 V134 Y134">
    <cfRule type="cellIs" dxfId="4271" priority="4265" operator="between">
      <formula>-0.05</formula>
      <formula>0.05</formula>
    </cfRule>
    <cfRule type="containsText" dxfId="4270" priority="4266" operator="containsText" text="NA">
      <formula>NOT(ISERROR(SEARCH("NA",R134)))</formula>
    </cfRule>
    <cfRule type="cellIs" dxfId="4269" priority="4267" operator="lessThan">
      <formula>-0.05</formula>
    </cfRule>
    <cfRule type="cellIs" dxfId="4268" priority="4268" operator="greaterThan">
      <formula>0.05</formula>
    </cfRule>
  </conditionalFormatting>
  <conditionalFormatting sqref="R135 T135 V135 Y135">
    <cfRule type="cellIs" dxfId="4267" priority="4261" operator="between">
      <formula>-0.05</formula>
      <formula>0.05</formula>
    </cfRule>
    <cfRule type="containsText" dxfId="4266" priority="4262" operator="containsText" text="NA">
      <formula>NOT(ISERROR(SEARCH("NA",R135)))</formula>
    </cfRule>
    <cfRule type="cellIs" dxfId="4265" priority="4263" operator="lessThan">
      <formula>-0.05</formula>
    </cfRule>
    <cfRule type="cellIs" dxfId="4264" priority="4264" operator="greaterThan">
      <formula>0.05</formula>
    </cfRule>
  </conditionalFormatting>
  <conditionalFormatting sqref="R136 T136 V136 Y136">
    <cfRule type="cellIs" dxfId="4263" priority="4257" operator="between">
      <formula>-0.05</formula>
      <formula>0.05</formula>
    </cfRule>
    <cfRule type="containsText" dxfId="4262" priority="4258" operator="containsText" text="NA">
      <formula>NOT(ISERROR(SEARCH("NA",R136)))</formula>
    </cfRule>
    <cfRule type="cellIs" dxfId="4261" priority="4259" operator="lessThan">
      <formula>-0.05</formula>
    </cfRule>
    <cfRule type="cellIs" dxfId="4260" priority="4260" operator="greaterThan">
      <formula>0.05</formula>
    </cfRule>
  </conditionalFormatting>
  <conditionalFormatting sqref="R137 T137 V137 Y137">
    <cfRule type="cellIs" dxfId="4259" priority="4253" operator="between">
      <formula>-0.05</formula>
      <formula>0.05</formula>
    </cfRule>
    <cfRule type="containsText" dxfId="4258" priority="4254" operator="containsText" text="NA">
      <formula>NOT(ISERROR(SEARCH("NA",R137)))</formula>
    </cfRule>
    <cfRule type="cellIs" dxfId="4257" priority="4255" operator="lessThan">
      <formula>-0.05</formula>
    </cfRule>
    <cfRule type="cellIs" dxfId="4256" priority="4256" operator="greaterThan">
      <formula>0.05</formula>
    </cfRule>
  </conditionalFormatting>
  <conditionalFormatting sqref="R138 T138 V138 Y138">
    <cfRule type="cellIs" dxfId="4255" priority="4249" operator="between">
      <formula>-0.05</formula>
      <formula>0.05</formula>
    </cfRule>
    <cfRule type="containsText" dxfId="4254" priority="4250" operator="containsText" text="NA">
      <formula>NOT(ISERROR(SEARCH("NA",R138)))</formula>
    </cfRule>
    <cfRule type="cellIs" dxfId="4253" priority="4251" operator="lessThan">
      <formula>-0.05</formula>
    </cfRule>
    <cfRule type="cellIs" dxfId="4252" priority="4252" operator="greaterThan">
      <formula>0.05</formula>
    </cfRule>
  </conditionalFormatting>
  <conditionalFormatting sqref="R139 T139 V139 Y139">
    <cfRule type="cellIs" dxfId="4251" priority="4245" operator="between">
      <formula>-0.05</formula>
      <formula>0.05</formula>
    </cfRule>
    <cfRule type="containsText" dxfId="4250" priority="4246" operator="containsText" text="NA">
      <formula>NOT(ISERROR(SEARCH("NA",R139)))</formula>
    </cfRule>
    <cfRule type="cellIs" dxfId="4249" priority="4247" operator="lessThan">
      <formula>-0.05</formula>
    </cfRule>
    <cfRule type="cellIs" dxfId="4248" priority="4248" operator="greaterThan">
      <formula>0.05</formula>
    </cfRule>
  </conditionalFormatting>
  <conditionalFormatting sqref="R140 T140 V140 Y140">
    <cfRule type="cellIs" dxfId="4247" priority="4241" operator="between">
      <formula>-0.05</formula>
      <formula>0.05</formula>
    </cfRule>
    <cfRule type="containsText" dxfId="4246" priority="4242" operator="containsText" text="NA">
      <formula>NOT(ISERROR(SEARCH("NA",R140)))</formula>
    </cfRule>
    <cfRule type="cellIs" dxfId="4245" priority="4243" operator="lessThan">
      <formula>-0.05</formula>
    </cfRule>
    <cfRule type="cellIs" dxfId="4244" priority="4244" operator="greaterThan">
      <formula>0.05</formula>
    </cfRule>
  </conditionalFormatting>
  <conditionalFormatting sqref="R141 T141 V141 Y141">
    <cfRule type="cellIs" dxfId="4243" priority="4237" operator="between">
      <formula>-0.05</formula>
      <formula>0.05</formula>
    </cfRule>
    <cfRule type="containsText" dxfId="4242" priority="4238" operator="containsText" text="NA">
      <formula>NOT(ISERROR(SEARCH("NA",R141)))</formula>
    </cfRule>
    <cfRule type="cellIs" dxfId="4241" priority="4239" operator="lessThan">
      <formula>-0.05</formula>
    </cfRule>
    <cfRule type="cellIs" dxfId="4240" priority="4240" operator="greaterThan">
      <formula>0.05</formula>
    </cfRule>
  </conditionalFormatting>
  <conditionalFormatting sqref="R142 T142 V142 Y142">
    <cfRule type="cellIs" dxfId="4239" priority="4233" operator="between">
      <formula>-0.05</formula>
      <formula>0.05</formula>
    </cfRule>
    <cfRule type="containsText" dxfId="4238" priority="4234" operator="containsText" text="NA">
      <formula>NOT(ISERROR(SEARCH("NA",R142)))</formula>
    </cfRule>
    <cfRule type="cellIs" dxfId="4237" priority="4235" operator="lessThan">
      <formula>-0.05</formula>
    </cfRule>
    <cfRule type="cellIs" dxfId="4236" priority="4236" operator="greaterThan">
      <formula>0.05</formula>
    </cfRule>
  </conditionalFormatting>
  <conditionalFormatting sqref="R143 T143 V143 Y143">
    <cfRule type="cellIs" dxfId="4235" priority="4229" operator="between">
      <formula>-0.05</formula>
      <formula>0.05</formula>
    </cfRule>
    <cfRule type="containsText" dxfId="4234" priority="4230" operator="containsText" text="NA">
      <formula>NOT(ISERROR(SEARCH("NA",R143)))</formula>
    </cfRule>
    <cfRule type="cellIs" dxfId="4233" priority="4231" operator="lessThan">
      <formula>-0.05</formula>
    </cfRule>
    <cfRule type="cellIs" dxfId="4232" priority="4232" operator="greaterThan">
      <formula>0.05</formula>
    </cfRule>
  </conditionalFormatting>
  <conditionalFormatting sqref="R144 T144 V144 Y144">
    <cfRule type="cellIs" dxfId="4231" priority="4225" operator="between">
      <formula>-0.05</formula>
      <formula>0.05</formula>
    </cfRule>
    <cfRule type="containsText" dxfId="4230" priority="4226" operator="containsText" text="NA">
      <formula>NOT(ISERROR(SEARCH("NA",R144)))</formula>
    </cfRule>
    <cfRule type="cellIs" dxfId="4229" priority="4227" operator="lessThan">
      <formula>-0.05</formula>
    </cfRule>
    <cfRule type="cellIs" dxfId="4228" priority="4228" operator="greaterThan">
      <formula>0.05</formula>
    </cfRule>
  </conditionalFormatting>
  <conditionalFormatting sqref="R145 T145 V145 Y145">
    <cfRule type="cellIs" dxfId="4227" priority="4221" operator="between">
      <formula>-0.05</formula>
      <formula>0.05</formula>
    </cfRule>
    <cfRule type="containsText" dxfId="4226" priority="4222" operator="containsText" text="NA">
      <formula>NOT(ISERROR(SEARCH("NA",R145)))</formula>
    </cfRule>
    <cfRule type="cellIs" dxfId="4225" priority="4223" operator="lessThan">
      <formula>-0.05</formula>
    </cfRule>
    <cfRule type="cellIs" dxfId="4224" priority="4224" operator="greaterThan">
      <formula>0.05</formula>
    </cfRule>
  </conditionalFormatting>
  <conditionalFormatting sqref="R146 T146 V146 Y146">
    <cfRule type="cellIs" dxfId="4223" priority="4217" operator="between">
      <formula>-0.05</formula>
      <formula>0.05</formula>
    </cfRule>
    <cfRule type="containsText" dxfId="4222" priority="4218" operator="containsText" text="NA">
      <formula>NOT(ISERROR(SEARCH("NA",R146)))</formula>
    </cfRule>
    <cfRule type="cellIs" dxfId="4221" priority="4219" operator="lessThan">
      <formula>-0.05</formula>
    </cfRule>
    <cfRule type="cellIs" dxfId="4220" priority="4220" operator="greaterThan">
      <formula>0.05</formula>
    </cfRule>
  </conditionalFormatting>
  <conditionalFormatting sqref="R147 T147 V147 Y147">
    <cfRule type="cellIs" dxfId="4219" priority="4213" operator="between">
      <formula>-0.05</formula>
      <formula>0.05</formula>
    </cfRule>
    <cfRule type="containsText" dxfId="4218" priority="4214" operator="containsText" text="NA">
      <formula>NOT(ISERROR(SEARCH("NA",R147)))</formula>
    </cfRule>
    <cfRule type="cellIs" dxfId="4217" priority="4215" operator="lessThan">
      <formula>-0.05</formula>
    </cfRule>
    <cfRule type="cellIs" dxfId="4216" priority="4216" operator="greaterThan">
      <formula>0.05</formula>
    </cfRule>
  </conditionalFormatting>
  <conditionalFormatting sqref="R148 T148 V148 Y148">
    <cfRule type="cellIs" dxfId="4215" priority="4209" operator="between">
      <formula>-0.05</formula>
      <formula>0.05</formula>
    </cfRule>
    <cfRule type="containsText" dxfId="4214" priority="4210" operator="containsText" text="NA">
      <formula>NOT(ISERROR(SEARCH("NA",R148)))</formula>
    </cfRule>
    <cfRule type="cellIs" dxfId="4213" priority="4211" operator="lessThan">
      <formula>-0.05</formula>
    </cfRule>
    <cfRule type="cellIs" dxfId="4212" priority="4212" operator="greaterThan">
      <formula>0.05</formula>
    </cfRule>
  </conditionalFormatting>
  <conditionalFormatting sqref="R149 T149 V149 Y149">
    <cfRule type="cellIs" dxfId="4211" priority="4205" operator="between">
      <formula>-0.05</formula>
      <formula>0.05</formula>
    </cfRule>
    <cfRule type="containsText" dxfId="4210" priority="4206" operator="containsText" text="NA">
      <formula>NOT(ISERROR(SEARCH("NA",R149)))</formula>
    </cfRule>
    <cfRule type="cellIs" dxfId="4209" priority="4207" operator="lessThan">
      <formula>-0.05</formula>
    </cfRule>
    <cfRule type="cellIs" dxfId="4208" priority="4208" operator="greaterThan">
      <formula>0.05</formula>
    </cfRule>
  </conditionalFormatting>
  <conditionalFormatting sqref="R150 T150 V150 Y150">
    <cfRule type="cellIs" dxfId="4207" priority="4201" operator="between">
      <formula>-0.05</formula>
      <formula>0.05</formula>
    </cfRule>
    <cfRule type="containsText" dxfId="4206" priority="4202" operator="containsText" text="NA">
      <formula>NOT(ISERROR(SEARCH("NA",R150)))</formula>
    </cfRule>
    <cfRule type="cellIs" dxfId="4205" priority="4203" operator="lessThan">
      <formula>-0.05</formula>
    </cfRule>
    <cfRule type="cellIs" dxfId="4204" priority="4204" operator="greaterThan">
      <formula>0.05</formula>
    </cfRule>
  </conditionalFormatting>
  <conditionalFormatting sqref="R151 T151 V151 Y151">
    <cfRule type="cellIs" dxfId="4203" priority="4197" operator="between">
      <formula>-0.05</formula>
      <formula>0.05</formula>
    </cfRule>
    <cfRule type="containsText" dxfId="4202" priority="4198" operator="containsText" text="NA">
      <formula>NOT(ISERROR(SEARCH("NA",R151)))</formula>
    </cfRule>
    <cfRule type="cellIs" dxfId="4201" priority="4199" operator="lessThan">
      <formula>-0.05</formula>
    </cfRule>
    <cfRule type="cellIs" dxfId="4200" priority="4200" operator="greaterThan">
      <formula>0.05</formula>
    </cfRule>
  </conditionalFormatting>
  <conditionalFormatting sqref="R152 T152 V152 Y152">
    <cfRule type="cellIs" dxfId="4199" priority="4193" operator="between">
      <formula>-0.05</formula>
      <formula>0.05</formula>
    </cfRule>
    <cfRule type="containsText" dxfId="4198" priority="4194" operator="containsText" text="NA">
      <formula>NOT(ISERROR(SEARCH("NA",R152)))</formula>
    </cfRule>
    <cfRule type="cellIs" dxfId="4197" priority="4195" operator="lessThan">
      <formula>-0.05</formula>
    </cfRule>
    <cfRule type="cellIs" dxfId="4196" priority="4196" operator="greaterThan">
      <formula>0.05</formula>
    </cfRule>
  </conditionalFormatting>
  <conditionalFormatting sqref="R153 T153 V153 Y153">
    <cfRule type="cellIs" dxfId="4195" priority="4189" operator="between">
      <formula>-0.05</formula>
      <formula>0.05</formula>
    </cfRule>
    <cfRule type="containsText" dxfId="4194" priority="4190" operator="containsText" text="NA">
      <formula>NOT(ISERROR(SEARCH("NA",R153)))</formula>
    </cfRule>
    <cfRule type="cellIs" dxfId="4193" priority="4191" operator="lessThan">
      <formula>-0.05</formula>
    </cfRule>
    <cfRule type="cellIs" dxfId="4192" priority="4192" operator="greaterThan">
      <formula>0.05</formula>
    </cfRule>
  </conditionalFormatting>
  <conditionalFormatting sqref="R154 T154 V154 Y154">
    <cfRule type="cellIs" dxfId="4191" priority="4185" operator="between">
      <formula>-0.05</formula>
      <formula>0.05</formula>
    </cfRule>
    <cfRule type="containsText" dxfId="4190" priority="4186" operator="containsText" text="NA">
      <formula>NOT(ISERROR(SEARCH("NA",R154)))</formula>
    </cfRule>
    <cfRule type="cellIs" dxfId="4189" priority="4187" operator="lessThan">
      <formula>-0.05</formula>
    </cfRule>
    <cfRule type="cellIs" dxfId="4188" priority="4188" operator="greaterThan">
      <formula>0.05</formula>
    </cfRule>
  </conditionalFormatting>
  <conditionalFormatting sqref="R155 T155 V155 Y155">
    <cfRule type="cellIs" dxfId="4187" priority="4181" operator="between">
      <formula>-0.05</formula>
      <formula>0.05</formula>
    </cfRule>
    <cfRule type="containsText" dxfId="4186" priority="4182" operator="containsText" text="NA">
      <formula>NOT(ISERROR(SEARCH("NA",R155)))</formula>
    </cfRule>
    <cfRule type="cellIs" dxfId="4185" priority="4183" operator="lessThan">
      <formula>-0.05</formula>
    </cfRule>
    <cfRule type="cellIs" dxfId="4184" priority="4184" operator="greaterThan">
      <formula>0.05</formula>
    </cfRule>
  </conditionalFormatting>
  <conditionalFormatting sqref="R156 T156 V156 Y156">
    <cfRule type="cellIs" dxfId="4183" priority="4177" operator="between">
      <formula>-0.05</formula>
      <formula>0.05</formula>
    </cfRule>
    <cfRule type="containsText" dxfId="4182" priority="4178" operator="containsText" text="NA">
      <formula>NOT(ISERROR(SEARCH("NA",R156)))</formula>
    </cfRule>
    <cfRule type="cellIs" dxfId="4181" priority="4179" operator="lessThan">
      <formula>-0.05</formula>
    </cfRule>
    <cfRule type="cellIs" dxfId="4180" priority="4180" operator="greaterThan">
      <formula>0.05</formula>
    </cfRule>
  </conditionalFormatting>
  <conditionalFormatting sqref="R157 T157 V157 Y157">
    <cfRule type="cellIs" dxfId="4179" priority="4173" operator="between">
      <formula>-0.05</formula>
      <formula>0.05</formula>
    </cfRule>
    <cfRule type="containsText" dxfId="4178" priority="4174" operator="containsText" text="NA">
      <formula>NOT(ISERROR(SEARCH("NA",R157)))</formula>
    </cfRule>
    <cfRule type="cellIs" dxfId="4177" priority="4175" operator="lessThan">
      <formula>-0.05</formula>
    </cfRule>
    <cfRule type="cellIs" dxfId="4176" priority="4176" operator="greaterThan">
      <formula>0.05</formula>
    </cfRule>
  </conditionalFormatting>
  <conditionalFormatting sqref="R158 T158 V158 Y158">
    <cfRule type="cellIs" dxfId="4175" priority="4169" operator="between">
      <formula>-0.05</formula>
      <formula>0.05</formula>
    </cfRule>
    <cfRule type="containsText" dxfId="4174" priority="4170" operator="containsText" text="NA">
      <formula>NOT(ISERROR(SEARCH("NA",R158)))</formula>
    </cfRule>
    <cfRule type="cellIs" dxfId="4173" priority="4171" operator="lessThan">
      <formula>-0.05</formula>
    </cfRule>
    <cfRule type="cellIs" dxfId="4172" priority="4172" operator="greaterThan">
      <formula>0.05</formula>
    </cfRule>
  </conditionalFormatting>
  <conditionalFormatting sqref="R159 T159 V159 Y159">
    <cfRule type="cellIs" dxfId="4171" priority="4165" operator="between">
      <formula>-0.05</formula>
      <formula>0.05</formula>
    </cfRule>
    <cfRule type="containsText" dxfId="4170" priority="4166" operator="containsText" text="NA">
      <formula>NOT(ISERROR(SEARCH("NA",R159)))</formula>
    </cfRule>
    <cfRule type="cellIs" dxfId="4169" priority="4167" operator="lessThan">
      <formula>-0.05</formula>
    </cfRule>
    <cfRule type="cellIs" dxfId="4168" priority="4168" operator="greaterThan">
      <formula>0.05</formula>
    </cfRule>
  </conditionalFormatting>
  <conditionalFormatting sqref="R160 T160 V160 Y160">
    <cfRule type="cellIs" dxfId="4167" priority="4161" operator="between">
      <formula>-0.05</formula>
      <formula>0.05</formula>
    </cfRule>
    <cfRule type="containsText" dxfId="4166" priority="4162" operator="containsText" text="NA">
      <formula>NOT(ISERROR(SEARCH("NA",R160)))</formula>
    </cfRule>
    <cfRule type="cellIs" dxfId="4165" priority="4163" operator="lessThan">
      <formula>-0.05</formula>
    </cfRule>
    <cfRule type="cellIs" dxfId="4164" priority="4164" operator="greaterThan">
      <formula>0.05</formula>
    </cfRule>
  </conditionalFormatting>
  <conditionalFormatting sqref="R161 T161 V161 Y161">
    <cfRule type="cellIs" dxfId="4163" priority="4157" operator="between">
      <formula>-0.05</formula>
      <formula>0.05</formula>
    </cfRule>
    <cfRule type="containsText" dxfId="4162" priority="4158" operator="containsText" text="NA">
      <formula>NOT(ISERROR(SEARCH("NA",R161)))</formula>
    </cfRule>
    <cfRule type="cellIs" dxfId="4161" priority="4159" operator="lessThan">
      <formula>-0.05</formula>
    </cfRule>
    <cfRule type="cellIs" dxfId="4160" priority="4160" operator="greaterThan">
      <formula>0.05</formula>
    </cfRule>
  </conditionalFormatting>
  <conditionalFormatting sqref="R162 T162 V162 Y162">
    <cfRule type="cellIs" dxfId="4159" priority="4153" operator="between">
      <formula>-0.05</formula>
      <formula>0.05</formula>
    </cfRule>
    <cfRule type="containsText" dxfId="4158" priority="4154" operator="containsText" text="NA">
      <formula>NOT(ISERROR(SEARCH("NA",R162)))</formula>
    </cfRule>
    <cfRule type="cellIs" dxfId="4157" priority="4155" operator="lessThan">
      <formula>-0.05</formula>
    </cfRule>
    <cfRule type="cellIs" dxfId="4156" priority="4156" operator="greaterThan">
      <formula>0.05</formula>
    </cfRule>
  </conditionalFormatting>
  <conditionalFormatting sqref="R163 T163 V163 Y163">
    <cfRule type="cellIs" dxfId="4155" priority="4149" operator="between">
      <formula>-0.05</formula>
      <formula>0.05</formula>
    </cfRule>
    <cfRule type="containsText" dxfId="4154" priority="4150" operator="containsText" text="NA">
      <formula>NOT(ISERROR(SEARCH("NA",R163)))</formula>
    </cfRule>
    <cfRule type="cellIs" dxfId="4153" priority="4151" operator="lessThan">
      <formula>-0.05</formula>
    </cfRule>
    <cfRule type="cellIs" dxfId="4152" priority="4152" operator="greaterThan">
      <formula>0.05</formula>
    </cfRule>
  </conditionalFormatting>
  <conditionalFormatting sqref="R164 T164 V164 Y164">
    <cfRule type="cellIs" dxfId="4151" priority="4145" operator="between">
      <formula>-0.05</formula>
      <formula>0.05</formula>
    </cfRule>
    <cfRule type="containsText" dxfId="4150" priority="4146" operator="containsText" text="NA">
      <formula>NOT(ISERROR(SEARCH("NA",R164)))</formula>
    </cfRule>
    <cfRule type="cellIs" dxfId="4149" priority="4147" operator="lessThan">
      <formula>-0.05</formula>
    </cfRule>
    <cfRule type="cellIs" dxfId="4148" priority="4148" operator="greaterThan">
      <formula>0.05</formula>
    </cfRule>
  </conditionalFormatting>
  <conditionalFormatting sqref="R165 T165 V165 Y165">
    <cfRule type="cellIs" dxfId="4147" priority="4141" operator="between">
      <formula>-0.05</formula>
      <formula>0.05</formula>
    </cfRule>
    <cfRule type="containsText" dxfId="4146" priority="4142" operator="containsText" text="NA">
      <formula>NOT(ISERROR(SEARCH("NA",R165)))</formula>
    </cfRule>
    <cfRule type="cellIs" dxfId="4145" priority="4143" operator="lessThan">
      <formula>-0.05</formula>
    </cfRule>
    <cfRule type="cellIs" dxfId="4144" priority="4144" operator="greaterThan">
      <formula>0.05</formula>
    </cfRule>
  </conditionalFormatting>
  <conditionalFormatting sqref="R166 T166 V166 Y166">
    <cfRule type="cellIs" dxfId="4143" priority="4137" operator="between">
      <formula>-0.05</formula>
      <formula>0.05</formula>
    </cfRule>
    <cfRule type="containsText" dxfId="4142" priority="4138" operator="containsText" text="NA">
      <formula>NOT(ISERROR(SEARCH("NA",R166)))</formula>
    </cfRule>
    <cfRule type="cellIs" dxfId="4141" priority="4139" operator="lessThan">
      <formula>-0.05</formula>
    </cfRule>
    <cfRule type="cellIs" dxfId="4140" priority="4140" operator="greaterThan">
      <formula>0.05</formula>
    </cfRule>
  </conditionalFormatting>
  <conditionalFormatting sqref="R167 T167 V167 Y167">
    <cfRule type="cellIs" dxfId="4139" priority="4133" operator="between">
      <formula>-0.05</formula>
      <formula>0.05</formula>
    </cfRule>
    <cfRule type="containsText" dxfId="4138" priority="4134" operator="containsText" text="NA">
      <formula>NOT(ISERROR(SEARCH("NA",R167)))</formula>
    </cfRule>
    <cfRule type="cellIs" dxfId="4137" priority="4135" operator="lessThan">
      <formula>-0.05</formula>
    </cfRule>
    <cfRule type="cellIs" dxfId="4136" priority="4136" operator="greaterThan">
      <formula>0.05</formula>
    </cfRule>
  </conditionalFormatting>
  <conditionalFormatting sqref="R168 T168 V168 Y168">
    <cfRule type="cellIs" dxfId="4135" priority="4129" operator="between">
      <formula>-0.05</formula>
      <formula>0.05</formula>
    </cfRule>
    <cfRule type="containsText" dxfId="4134" priority="4130" operator="containsText" text="NA">
      <formula>NOT(ISERROR(SEARCH("NA",R168)))</formula>
    </cfRule>
    <cfRule type="cellIs" dxfId="4133" priority="4131" operator="lessThan">
      <formula>-0.05</formula>
    </cfRule>
    <cfRule type="cellIs" dxfId="4132" priority="4132" operator="greaterThan">
      <formula>0.05</formula>
    </cfRule>
  </conditionalFormatting>
  <conditionalFormatting sqref="R169 T169 V169 Y169">
    <cfRule type="cellIs" dxfId="4131" priority="4125" operator="between">
      <formula>-0.05</formula>
      <formula>0.05</formula>
    </cfRule>
    <cfRule type="containsText" dxfId="4130" priority="4126" operator="containsText" text="NA">
      <formula>NOT(ISERROR(SEARCH("NA",R169)))</formula>
    </cfRule>
    <cfRule type="cellIs" dxfId="4129" priority="4127" operator="lessThan">
      <formula>-0.05</formula>
    </cfRule>
    <cfRule type="cellIs" dxfId="4128" priority="4128" operator="greaterThan">
      <formula>0.05</formula>
    </cfRule>
  </conditionalFormatting>
  <conditionalFormatting sqref="R170 T170 V170 Y170">
    <cfRule type="cellIs" dxfId="4127" priority="4121" operator="between">
      <formula>-0.05</formula>
      <formula>0.05</formula>
    </cfRule>
    <cfRule type="containsText" dxfId="4126" priority="4122" operator="containsText" text="NA">
      <formula>NOT(ISERROR(SEARCH("NA",R170)))</formula>
    </cfRule>
    <cfRule type="cellIs" dxfId="4125" priority="4123" operator="lessThan">
      <formula>-0.05</formula>
    </cfRule>
    <cfRule type="cellIs" dxfId="4124" priority="4124" operator="greaterThan">
      <formula>0.05</formula>
    </cfRule>
  </conditionalFormatting>
  <conditionalFormatting sqref="R171 T171 V171 Y171">
    <cfRule type="cellIs" dxfId="4123" priority="4117" operator="between">
      <formula>-0.05</formula>
      <formula>0.05</formula>
    </cfRule>
    <cfRule type="containsText" dxfId="4122" priority="4118" operator="containsText" text="NA">
      <formula>NOT(ISERROR(SEARCH("NA",R171)))</formula>
    </cfRule>
    <cfRule type="cellIs" dxfId="4121" priority="4119" operator="lessThan">
      <formula>-0.05</formula>
    </cfRule>
    <cfRule type="cellIs" dxfId="4120" priority="4120" operator="greaterThan">
      <formula>0.05</formula>
    </cfRule>
  </conditionalFormatting>
  <conditionalFormatting sqref="R172 T172 V172 Y172">
    <cfRule type="cellIs" dxfId="4119" priority="4113" operator="between">
      <formula>-0.05</formula>
      <formula>0.05</formula>
    </cfRule>
    <cfRule type="containsText" dxfId="4118" priority="4114" operator="containsText" text="NA">
      <formula>NOT(ISERROR(SEARCH("NA",R172)))</formula>
    </cfRule>
    <cfRule type="cellIs" dxfId="4117" priority="4115" operator="lessThan">
      <formula>-0.05</formula>
    </cfRule>
    <cfRule type="cellIs" dxfId="4116" priority="4116" operator="greaterThan">
      <formula>0.05</formula>
    </cfRule>
  </conditionalFormatting>
  <conditionalFormatting sqref="R173 T173 V173 Y173">
    <cfRule type="cellIs" dxfId="4115" priority="4109" operator="between">
      <formula>-0.05</formula>
      <formula>0.05</formula>
    </cfRule>
    <cfRule type="containsText" dxfId="4114" priority="4110" operator="containsText" text="NA">
      <formula>NOT(ISERROR(SEARCH("NA",R173)))</formula>
    </cfRule>
    <cfRule type="cellIs" dxfId="4113" priority="4111" operator="lessThan">
      <formula>-0.05</formula>
    </cfRule>
    <cfRule type="cellIs" dxfId="4112" priority="4112" operator="greaterThan">
      <formula>0.05</formula>
    </cfRule>
  </conditionalFormatting>
  <conditionalFormatting sqref="R174 T174 V174 Y174">
    <cfRule type="cellIs" dxfId="4111" priority="4105" operator="between">
      <formula>-0.05</formula>
      <formula>0.05</formula>
    </cfRule>
    <cfRule type="containsText" dxfId="4110" priority="4106" operator="containsText" text="NA">
      <formula>NOT(ISERROR(SEARCH("NA",R174)))</formula>
    </cfRule>
    <cfRule type="cellIs" dxfId="4109" priority="4107" operator="lessThan">
      <formula>-0.05</formula>
    </cfRule>
    <cfRule type="cellIs" dxfId="4108" priority="4108" operator="greaterThan">
      <formula>0.05</formula>
    </cfRule>
  </conditionalFormatting>
  <conditionalFormatting sqref="R175 T175 V175 Y175">
    <cfRule type="cellIs" dxfId="4107" priority="4101" operator="between">
      <formula>-0.05</formula>
      <formula>0.05</formula>
    </cfRule>
    <cfRule type="containsText" dxfId="4106" priority="4102" operator="containsText" text="NA">
      <formula>NOT(ISERROR(SEARCH("NA",R175)))</formula>
    </cfRule>
    <cfRule type="cellIs" dxfId="4105" priority="4103" operator="lessThan">
      <formula>-0.05</formula>
    </cfRule>
    <cfRule type="cellIs" dxfId="4104" priority="4104" operator="greaterThan">
      <formula>0.05</formula>
    </cfRule>
  </conditionalFormatting>
  <conditionalFormatting sqref="R176 T176 V176 Y176">
    <cfRule type="cellIs" dxfId="4103" priority="4097" operator="between">
      <formula>-0.05</formula>
      <formula>0.05</formula>
    </cfRule>
    <cfRule type="containsText" dxfId="4102" priority="4098" operator="containsText" text="NA">
      <formula>NOT(ISERROR(SEARCH("NA",R176)))</formula>
    </cfRule>
    <cfRule type="cellIs" dxfId="4101" priority="4099" operator="lessThan">
      <formula>-0.05</formula>
    </cfRule>
    <cfRule type="cellIs" dxfId="4100" priority="4100" operator="greaterThan">
      <formula>0.05</formula>
    </cfRule>
  </conditionalFormatting>
  <conditionalFormatting sqref="R177 T177 V177 Y177">
    <cfRule type="cellIs" dxfId="4099" priority="4093" operator="between">
      <formula>-0.05</formula>
      <formula>0.05</formula>
    </cfRule>
    <cfRule type="containsText" dxfId="4098" priority="4094" operator="containsText" text="NA">
      <formula>NOT(ISERROR(SEARCH("NA",R177)))</formula>
    </cfRule>
    <cfRule type="cellIs" dxfId="4097" priority="4095" operator="lessThan">
      <formula>-0.05</formula>
    </cfRule>
    <cfRule type="cellIs" dxfId="4096" priority="4096" operator="greaterThan">
      <formula>0.05</formula>
    </cfRule>
  </conditionalFormatting>
  <conditionalFormatting sqref="R178 T178 V178 Y178">
    <cfRule type="cellIs" dxfId="4095" priority="4089" operator="between">
      <formula>-0.05</formula>
      <formula>0.05</formula>
    </cfRule>
    <cfRule type="containsText" dxfId="4094" priority="4090" operator="containsText" text="NA">
      <formula>NOT(ISERROR(SEARCH("NA",R178)))</formula>
    </cfRule>
    <cfRule type="cellIs" dxfId="4093" priority="4091" operator="lessThan">
      <formula>-0.05</formula>
    </cfRule>
    <cfRule type="cellIs" dxfId="4092" priority="4092" operator="greaterThan">
      <formula>0.05</formula>
    </cfRule>
  </conditionalFormatting>
  <conditionalFormatting sqref="R179 T179 V179 Y179">
    <cfRule type="cellIs" dxfId="4091" priority="4085" operator="between">
      <formula>-0.05</formula>
      <formula>0.05</formula>
    </cfRule>
    <cfRule type="containsText" dxfId="4090" priority="4086" operator="containsText" text="NA">
      <formula>NOT(ISERROR(SEARCH("NA",R179)))</formula>
    </cfRule>
    <cfRule type="cellIs" dxfId="4089" priority="4087" operator="lessThan">
      <formula>-0.05</formula>
    </cfRule>
    <cfRule type="cellIs" dxfId="4088" priority="4088" operator="greaterThan">
      <formula>0.05</formula>
    </cfRule>
  </conditionalFormatting>
  <conditionalFormatting sqref="R180 T180 V180 Y180">
    <cfRule type="cellIs" dxfId="4087" priority="4081" operator="between">
      <formula>-0.05</formula>
      <formula>0.05</formula>
    </cfRule>
    <cfRule type="containsText" dxfId="4086" priority="4082" operator="containsText" text="NA">
      <formula>NOT(ISERROR(SEARCH("NA",R180)))</formula>
    </cfRule>
    <cfRule type="cellIs" dxfId="4085" priority="4083" operator="lessThan">
      <formula>-0.05</formula>
    </cfRule>
    <cfRule type="cellIs" dxfId="4084" priority="4084" operator="greaterThan">
      <formula>0.05</formula>
    </cfRule>
  </conditionalFormatting>
  <conditionalFormatting sqref="R181 T181 V181 Y181">
    <cfRule type="cellIs" dxfId="4083" priority="4077" operator="between">
      <formula>-0.05</formula>
      <formula>0.05</formula>
    </cfRule>
    <cfRule type="containsText" dxfId="4082" priority="4078" operator="containsText" text="NA">
      <formula>NOT(ISERROR(SEARCH("NA",R181)))</formula>
    </cfRule>
    <cfRule type="cellIs" dxfId="4081" priority="4079" operator="lessThan">
      <formula>-0.05</formula>
    </cfRule>
    <cfRule type="cellIs" dxfId="4080" priority="4080" operator="greaterThan">
      <formula>0.05</formula>
    </cfRule>
  </conditionalFormatting>
  <conditionalFormatting sqref="R182 T182 V182 Y182">
    <cfRule type="cellIs" dxfId="4079" priority="4073" operator="between">
      <formula>-0.05</formula>
      <formula>0.05</formula>
    </cfRule>
    <cfRule type="containsText" dxfId="4078" priority="4074" operator="containsText" text="NA">
      <formula>NOT(ISERROR(SEARCH("NA",R182)))</formula>
    </cfRule>
    <cfRule type="cellIs" dxfId="4077" priority="4075" operator="lessThan">
      <formula>-0.05</formula>
    </cfRule>
    <cfRule type="cellIs" dxfId="4076" priority="4076" operator="greaterThan">
      <formula>0.05</formula>
    </cfRule>
  </conditionalFormatting>
  <conditionalFormatting sqref="R183 T183 V183 Y183">
    <cfRule type="cellIs" dxfId="4075" priority="4069" operator="between">
      <formula>-0.05</formula>
      <formula>0.05</formula>
    </cfRule>
    <cfRule type="containsText" dxfId="4074" priority="4070" operator="containsText" text="NA">
      <formula>NOT(ISERROR(SEARCH("NA",R183)))</formula>
    </cfRule>
    <cfRule type="cellIs" dxfId="4073" priority="4071" operator="lessThan">
      <formula>-0.05</formula>
    </cfRule>
    <cfRule type="cellIs" dxfId="4072" priority="4072" operator="greaterThan">
      <formula>0.05</formula>
    </cfRule>
  </conditionalFormatting>
  <conditionalFormatting sqref="R184 T184 V184 Y184">
    <cfRule type="cellIs" dxfId="4071" priority="4065" operator="between">
      <formula>-0.05</formula>
      <formula>0.05</formula>
    </cfRule>
    <cfRule type="containsText" dxfId="4070" priority="4066" operator="containsText" text="NA">
      <formula>NOT(ISERROR(SEARCH("NA",R184)))</formula>
    </cfRule>
    <cfRule type="cellIs" dxfId="4069" priority="4067" operator="lessThan">
      <formula>-0.05</formula>
    </cfRule>
    <cfRule type="cellIs" dxfId="4068" priority="4068" operator="greaterThan">
      <formula>0.05</formula>
    </cfRule>
  </conditionalFormatting>
  <conditionalFormatting sqref="R185 T185 V185 Y185">
    <cfRule type="cellIs" dxfId="4067" priority="4061" operator="between">
      <formula>-0.05</formula>
      <formula>0.05</formula>
    </cfRule>
    <cfRule type="containsText" dxfId="4066" priority="4062" operator="containsText" text="NA">
      <formula>NOT(ISERROR(SEARCH("NA",R185)))</formula>
    </cfRule>
    <cfRule type="cellIs" dxfId="4065" priority="4063" operator="lessThan">
      <formula>-0.05</formula>
    </cfRule>
    <cfRule type="cellIs" dxfId="4064" priority="4064" operator="greaterThan">
      <formula>0.05</formula>
    </cfRule>
  </conditionalFormatting>
  <conditionalFormatting sqref="R186 T186 V186 Y186">
    <cfRule type="cellIs" dxfId="4063" priority="4057" operator="between">
      <formula>-0.05</formula>
      <formula>0.05</formula>
    </cfRule>
    <cfRule type="containsText" dxfId="4062" priority="4058" operator="containsText" text="NA">
      <formula>NOT(ISERROR(SEARCH("NA",R186)))</formula>
    </cfRule>
    <cfRule type="cellIs" dxfId="4061" priority="4059" operator="lessThan">
      <formula>-0.05</formula>
    </cfRule>
    <cfRule type="cellIs" dxfId="4060" priority="4060" operator="greaterThan">
      <formula>0.05</formula>
    </cfRule>
  </conditionalFormatting>
  <conditionalFormatting sqref="R187 T187 V187 Y187">
    <cfRule type="cellIs" dxfId="4059" priority="4053" operator="between">
      <formula>-0.05</formula>
      <formula>0.05</formula>
    </cfRule>
    <cfRule type="containsText" dxfId="4058" priority="4054" operator="containsText" text="NA">
      <formula>NOT(ISERROR(SEARCH("NA",R187)))</formula>
    </cfRule>
    <cfRule type="cellIs" dxfId="4057" priority="4055" operator="lessThan">
      <formula>-0.05</formula>
    </cfRule>
    <cfRule type="cellIs" dxfId="4056" priority="4056" operator="greaterThan">
      <formula>0.05</formula>
    </cfRule>
  </conditionalFormatting>
  <conditionalFormatting sqref="R188 T188 V188 Y188">
    <cfRule type="cellIs" dxfId="4055" priority="4049" operator="between">
      <formula>-0.05</formula>
      <formula>0.05</formula>
    </cfRule>
    <cfRule type="containsText" dxfId="4054" priority="4050" operator="containsText" text="NA">
      <formula>NOT(ISERROR(SEARCH("NA",R188)))</formula>
    </cfRule>
    <cfRule type="cellIs" dxfId="4053" priority="4051" operator="lessThan">
      <formula>-0.05</formula>
    </cfRule>
    <cfRule type="cellIs" dxfId="4052" priority="4052" operator="greaterThan">
      <formula>0.05</formula>
    </cfRule>
  </conditionalFormatting>
  <conditionalFormatting sqref="R189 T189 V189 Y189">
    <cfRule type="cellIs" dxfId="4051" priority="4045" operator="between">
      <formula>-0.05</formula>
      <formula>0.05</formula>
    </cfRule>
    <cfRule type="containsText" dxfId="4050" priority="4046" operator="containsText" text="NA">
      <formula>NOT(ISERROR(SEARCH("NA",R189)))</formula>
    </cfRule>
    <cfRule type="cellIs" dxfId="4049" priority="4047" operator="lessThan">
      <formula>-0.05</formula>
    </cfRule>
    <cfRule type="cellIs" dxfId="4048" priority="4048" operator="greaterThan">
      <formula>0.05</formula>
    </cfRule>
  </conditionalFormatting>
  <conditionalFormatting sqref="R190 T190 V190 Y190">
    <cfRule type="cellIs" dxfId="4047" priority="4041" operator="between">
      <formula>-0.05</formula>
      <formula>0.05</formula>
    </cfRule>
    <cfRule type="containsText" dxfId="4046" priority="4042" operator="containsText" text="NA">
      <formula>NOT(ISERROR(SEARCH("NA",R190)))</formula>
    </cfRule>
    <cfRule type="cellIs" dxfId="4045" priority="4043" operator="lessThan">
      <formula>-0.05</formula>
    </cfRule>
    <cfRule type="cellIs" dxfId="4044" priority="4044" operator="greaterThan">
      <formula>0.05</formula>
    </cfRule>
  </conditionalFormatting>
  <conditionalFormatting sqref="R191 T191 V191 Y191">
    <cfRule type="cellIs" dxfId="4043" priority="4037" operator="between">
      <formula>-0.05</formula>
      <formula>0.05</formula>
    </cfRule>
    <cfRule type="containsText" dxfId="4042" priority="4038" operator="containsText" text="NA">
      <formula>NOT(ISERROR(SEARCH("NA",R191)))</formula>
    </cfRule>
    <cfRule type="cellIs" dxfId="4041" priority="4039" operator="lessThan">
      <formula>-0.05</formula>
    </cfRule>
    <cfRule type="cellIs" dxfId="4040" priority="4040" operator="greaterThan">
      <formula>0.05</formula>
    </cfRule>
  </conditionalFormatting>
  <conditionalFormatting sqref="R192 T192 V192 Y192">
    <cfRule type="cellIs" dxfId="4039" priority="4033" operator="between">
      <formula>-0.05</formula>
      <formula>0.05</formula>
    </cfRule>
    <cfRule type="containsText" dxfId="4038" priority="4034" operator="containsText" text="NA">
      <formula>NOT(ISERROR(SEARCH("NA",R192)))</formula>
    </cfRule>
    <cfRule type="cellIs" dxfId="4037" priority="4035" operator="lessThan">
      <formula>-0.05</formula>
    </cfRule>
    <cfRule type="cellIs" dxfId="4036" priority="4036" operator="greaterThan">
      <formula>0.05</formula>
    </cfRule>
  </conditionalFormatting>
  <conditionalFormatting sqref="R193 T193 V193 Y193">
    <cfRule type="cellIs" dxfId="4035" priority="4029" operator="between">
      <formula>-0.05</formula>
      <formula>0.05</formula>
    </cfRule>
    <cfRule type="containsText" dxfId="4034" priority="4030" operator="containsText" text="NA">
      <formula>NOT(ISERROR(SEARCH("NA",R193)))</formula>
    </cfRule>
    <cfRule type="cellIs" dxfId="4033" priority="4031" operator="lessThan">
      <formula>-0.05</formula>
    </cfRule>
    <cfRule type="cellIs" dxfId="4032" priority="4032" operator="greaterThan">
      <formula>0.05</formula>
    </cfRule>
  </conditionalFormatting>
  <conditionalFormatting sqref="R194 T194 V194 Y194">
    <cfRule type="cellIs" dxfId="4031" priority="4025" operator="between">
      <formula>-0.05</formula>
      <formula>0.05</formula>
    </cfRule>
    <cfRule type="containsText" dxfId="4030" priority="4026" operator="containsText" text="NA">
      <formula>NOT(ISERROR(SEARCH("NA",R194)))</formula>
    </cfRule>
    <cfRule type="cellIs" dxfId="4029" priority="4027" operator="lessThan">
      <formula>-0.05</formula>
    </cfRule>
    <cfRule type="cellIs" dxfId="4028" priority="4028" operator="greaterThan">
      <formula>0.05</formula>
    </cfRule>
  </conditionalFormatting>
  <conditionalFormatting sqref="R195 T195 V195 Y195">
    <cfRule type="cellIs" dxfId="4027" priority="4021" operator="between">
      <formula>-0.05</formula>
      <formula>0.05</formula>
    </cfRule>
    <cfRule type="containsText" dxfId="4026" priority="4022" operator="containsText" text="NA">
      <formula>NOT(ISERROR(SEARCH("NA",R195)))</formula>
    </cfRule>
    <cfRule type="cellIs" dxfId="4025" priority="4023" operator="lessThan">
      <formula>-0.05</formula>
    </cfRule>
    <cfRule type="cellIs" dxfId="4024" priority="4024" operator="greaterThan">
      <formula>0.05</formula>
    </cfRule>
  </conditionalFormatting>
  <conditionalFormatting sqref="R196 T196 V196 Y196">
    <cfRule type="cellIs" dxfId="4023" priority="4017" operator="between">
      <formula>-0.05</formula>
      <formula>0.05</formula>
    </cfRule>
    <cfRule type="containsText" dxfId="4022" priority="4018" operator="containsText" text="NA">
      <formula>NOT(ISERROR(SEARCH("NA",R196)))</formula>
    </cfRule>
    <cfRule type="cellIs" dxfId="4021" priority="4019" operator="lessThan">
      <formula>-0.05</formula>
    </cfRule>
    <cfRule type="cellIs" dxfId="4020" priority="4020" operator="greaterThan">
      <formula>0.05</formula>
    </cfRule>
  </conditionalFormatting>
  <conditionalFormatting sqref="R197 T197 V197 Y197">
    <cfRule type="cellIs" dxfId="4019" priority="4013" operator="between">
      <formula>-0.05</formula>
      <formula>0.05</formula>
    </cfRule>
    <cfRule type="containsText" dxfId="4018" priority="4014" operator="containsText" text="NA">
      <formula>NOT(ISERROR(SEARCH("NA",R197)))</formula>
    </cfRule>
    <cfRule type="cellIs" dxfId="4017" priority="4015" operator="lessThan">
      <formula>-0.05</formula>
    </cfRule>
    <cfRule type="cellIs" dxfId="4016" priority="4016" operator="greaterThan">
      <formula>0.05</formula>
    </cfRule>
  </conditionalFormatting>
  <conditionalFormatting sqref="R198 T198 V198 Y198">
    <cfRule type="cellIs" dxfId="4015" priority="4009" operator="between">
      <formula>-0.05</formula>
      <formula>0.05</formula>
    </cfRule>
    <cfRule type="containsText" dxfId="4014" priority="4010" operator="containsText" text="NA">
      <formula>NOT(ISERROR(SEARCH("NA",R198)))</formula>
    </cfRule>
    <cfRule type="cellIs" dxfId="4013" priority="4011" operator="lessThan">
      <formula>-0.05</formula>
    </cfRule>
    <cfRule type="cellIs" dxfId="4012" priority="4012" operator="greaterThan">
      <formula>0.05</formula>
    </cfRule>
  </conditionalFormatting>
  <conditionalFormatting sqref="R199 T199 V199 Y199">
    <cfRule type="cellIs" dxfId="4011" priority="4005" operator="between">
      <formula>-0.05</formula>
      <formula>0.05</formula>
    </cfRule>
    <cfRule type="containsText" dxfId="4010" priority="4006" operator="containsText" text="NA">
      <formula>NOT(ISERROR(SEARCH("NA",R199)))</formula>
    </cfRule>
    <cfRule type="cellIs" dxfId="4009" priority="4007" operator="lessThan">
      <formula>-0.05</formula>
    </cfRule>
    <cfRule type="cellIs" dxfId="4008" priority="4008" operator="greaterThan">
      <formula>0.05</formula>
    </cfRule>
  </conditionalFormatting>
  <conditionalFormatting sqref="R200 T200 V200 Y200">
    <cfRule type="cellIs" dxfId="4007" priority="4001" operator="between">
      <formula>-0.05</formula>
      <formula>0.05</formula>
    </cfRule>
    <cfRule type="containsText" dxfId="4006" priority="4002" operator="containsText" text="NA">
      <formula>NOT(ISERROR(SEARCH("NA",R200)))</formula>
    </cfRule>
    <cfRule type="cellIs" dxfId="4005" priority="4003" operator="lessThan">
      <formula>-0.05</formula>
    </cfRule>
    <cfRule type="cellIs" dxfId="4004" priority="4004" operator="greaterThan">
      <formula>0.05</formula>
    </cfRule>
  </conditionalFormatting>
  <conditionalFormatting sqref="R201 T201 V201 Y201">
    <cfRule type="cellIs" dxfId="4003" priority="3997" operator="between">
      <formula>-0.05</formula>
      <formula>0.05</formula>
    </cfRule>
    <cfRule type="containsText" dxfId="4002" priority="3998" operator="containsText" text="NA">
      <formula>NOT(ISERROR(SEARCH("NA",R201)))</formula>
    </cfRule>
    <cfRule type="cellIs" dxfId="4001" priority="3999" operator="lessThan">
      <formula>-0.05</formula>
    </cfRule>
    <cfRule type="cellIs" dxfId="4000" priority="4000" operator="greaterThan">
      <formula>0.05</formula>
    </cfRule>
  </conditionalFormatting>
  <conditionalFormatting sqref="R202 T202 V202 Y202">
    <cfRule type="cellIs" dxfId="3999" priority="3993" operator="between">
      <formula>-0.05</formula>
      <formula>0.05</formula>
    </cfRule>
    <cfRule type="containsText" dxfId="3998" priority="3994" operator="containsText" text="NA">
      <formula>NOT(ISERROR(SEARCH("NA",R202)))</formula>
    </cfRule>
    <cfRule type="cellIs" dxfId="3997" priority="3995" operator="lessThan">
      <formula>-0.05</formula>
    </cfRule>
    <cfRule type="cellIs" dxfId="3996" priority="3996" operator="greaterThan">
      <formula>0.05</formula>
    </cfRule>
  </conditionalFormatting>
  <conditionalFormatting sqref="R203 T203 V203 Y203">
    <cfRule type="cellIs" dxfId="3995" priority="3989" operator="between">
      <formula>-0.05</formula>
      <formula>0.05</formula>
    </cfRule>
    <cfRule type="containsText" dxfId="3994" priority="3990" operator="containsText" text="NA">
      <formula>NOT(ISERROR(SEARCH("NA",R203)))</formula>
    </cfRule>
    <cfRule type="cellIs" dxfId="3993" priority="3991" operator="lessThan">
      <formula>-0.05</formula>
    </cfRule>
    <cfRule type="cellIs" dxfId="3992" priority="3992" operator="greaterThan">
      <formula>0.05</formula>
    </cfRule>
  </conditionalFormatting>
  <conditionalFormatting sqref="R204 T204 V204 Y204">
    <cfRule type="cellIs" dxfId="3991" priority="3985" operator="between">
      <formula>-0.05</formula>
      <formula>0.05</formula>
    </cfRule>
    <cfRule type="containsText" dxfId="3990" priority="3986" operator="containsText" text="NA">
      <formula>NOT(ISERROR(SEARCH("NA",R204)))</formula>
    </cfRule>
    <cfRule type="cellIs" dxfId="3989" priority="3987" operator="lessThan">
      <formula>-0.05</formula>
    </cfRule>
    <cfRule type="cellIs" dxfId="3988" priority="3988" operator="greaterThan">
      <formula>0.05</formula>
    </cfRule>
  </conditionalFormatting>
  <conditionalFormatting sqref="R205 T205 V205 Y205">
    <cfRule type="cellIs" dxfId="3987" priority="3981" operator="between">
      <formula>-0.05</formula>
      <formula>0.05</formula>
    </cfRule>
    <cfRule type="containsText" dxfId="3986" priority="3982" operator="containsText" text="NA">
      <formula>NOT(ISERROR(SEARCH("NA",R205)))</formula>
    </cfRule>
    <cfRule type="cellIs" dxfId="3985" priority="3983" operator="lessThan">
      <formula>-0.05</formula>
    </cfRule>
    <cfRule type="cellIs" dxfId="3984" priority="3984" operator="greaterThan">
      <formula>0.05</formula>
    </cfRule>
  </conditionalFormatting>
  <conditionalFormatting sqref="R206 T206 V206 Y206">
    <cfRule type="cellIs" dxfId="3983" priority="3977" operator="between">
      <formula>-0.05</formula>
      <formula>0.05</formula>
    </cfRule>
    <cfRule type="containsText" dxfId="3982" priority="3978" operator="containsText" text="NA">
      <formula>NOT(ISERROR(SEARCH("NA",R206)))</formula>
    </cfRule>
    <cfRule type="cellIs" dxfId="3981" priority="3979" operator="lessThan">
      <formula>-0.05</formula>
    </cfRule>
    <cfRule type="cellIs" dxfId="3980" priority="3980" operator="greaterThan">
      <formula>0.05</formula>
    </cfRule>
  </conditionalFormatting>
  <conditionalFormatting sqref="R207 T207 V207 Y207">
    <cfRule type="cellIs" dxfId="3979" priority="3973" operator="between">
      <formula>-0.05</formula>
      <formula>0.05</formula>
    </cfRule>
    <cfRule type="containsText" dxfId="3978" priority="3974" operator="containsText" text="NA">
      <formula>NOT(ISERROR(SEARCH("NA",R207)))</formula>
    </cfRule>
    <cfRule type="cellIs" dxfId="3977" priority="3975" operator="lessThan">
      <formula>-0.05</formula>
    </cfRule>
    <cfRule type="cellIs" dxfId="3976" priority="3976" operator="greaterThan">
      <formula>0.05</formula>
    </cfRule>
  </conditionalFormatting>
  <conditionalFormatting sqref="R208 T208 V208 Y208">
    <cfRule type="cellIs" dxfId="3975" priority="3969" operator="between">
      <formula>-0.05</formula>
      <formula>0.05</formula>
    </cfRule>
    <cfRule type="containsText" dxfId="3974" priority="3970" operator="containsText" text="NA">
      <formula>NOT(ISERROR(SEARCH("NA",R208)))</formula>
    </cfRule>
    <cfRule type="cellIs" dxfId="3973" priority="3971" operator="lessThan">
      <formula>-0.05</formula>
    </cfRule>
    <cfRule type="cellIs" dxfId="3972" priority="3972" operator="greaterThan">
      <formula>0.05</formula>
    </cfRule>
  </conditionalFormatting>
  <conditionalFormatting sqref="R209 T209 V209 Y209">
    <cfRule type="cellIs" dxfId="3971" priority="3965" operator="between">
      <formula>-0.05</formula>
      <formula>0.05</formula>
    </cfRule>
    <cfRule type="containsText" dxfId="3970" priority="3966" operator="containsText" text="NA">
      <formula>NOT(ISERROR(SEARCH("NA",R209)))</formula>
    </cfRule>
    <cfRule type="cellIs" dxfId="3969" priority="3967" operator="lessThan">
      <formula>-0.05</formula>
    </cfRule>
    <cfRule type="cellIs" dxfId="3968" priority="3968" operator="greaterThan">
      <formula>0.05</formula>
    </cfRule>
  </conditionalFormatting>
  <conditionalFormatting sqref="R210 T210 V210 Y210">
    <cfRule type="cellIs" dxfId="3967" priority="3961" operator="between">
      <formula>-0.05</formula>
      <formula>0.05</formula>
    </cfRule>
    <cfRule type="containsText" dxfId="3966" priority="3962" operator="containsText" text="NA">
      <formula>NOT(ISERROR(SEARCH("NA",R210)))</formula>
    </cfRule>
    <cfRule type="cellIs" dxfId="3965" priority="3963" operator="lessThan">
      <formula>-0.05</formula>
    </cfRule>
    <cfRule type="cellIs" dxfId="3964" priority="3964" operator="greaterThan">
      <formula>0.05</formula>
    </cfRule>
  </conditionalFormatting>
  <conditionalFormatting sqref="R211 T211 V211 Y211">
    <cfRule type="cellIs" dxfId="3963" priority="3957" operator="between">
      <formula>-0.05</formula>
      <formula>0.05</formula>
    </cfRule>
    <cfRule type="containsText" dxfId="3962" priority="3958" operator="containsText" text="NA">
      <formula>NOT(ISERROR(SEARCH("NA",R211)))</formula>
    </cfRule>
    <cfRule type="cellIs" dxfId="3961" priority="3959" operator="lessThan">
      <formula>-0.05</formula>
    </cfRule>
    <cfRule type="cellIs" dxfId="3960" priority="3960" operator="greaterThan">
      <formula>0.05</formula>
    </cfRule>
  </conditionalFormatting>
  <conditionalFormatting sqref="R212 T212 V212 Y212">
    <cfRule type="cellIs" dxfId="3959" priority="3953" operator="between">
      <formula>-0.05</formula>
      <formula>0.05</formula>
    </cfRule>
    <cfRule type="containsText" dxfId="3958" priority="3954" operator="containsText" text="NA">
      <formula>NOT(ISERROR(SEARCH("NA",R212)))</formula>
    </cfRule>
    <cfRule type="cellIs" dxfId="3957" priority="3955" operator="lessThan">
      <formula>-0.05</formula>
    </cfRule>
    <cfRule type="cellIs" dxfId="3956" priority="3956" operator="greaterThan">
      <formula>0.05</formula>
    </cfRule>
  </conditionalFormatting>
  <conditionalFormatting sqref="R213 T213 V213 Y213">
    <cfRule type="cellIs" dxfId="3955" priority="3949" operator="between">
      <formula>-0.05</formula>
      <formula>0.05</formula>
    </cfRule>
    <cfRule type="containsText" dxfId="3954" priority="3950" operator="containsText" text="NA">
      <formula>NOT(ISERROR(SEARCH("NA",R213)))</formula>
    </cfRule>
    <cfRule type="cellIs" dxfId="3953" priority="3951" operator="lessThan">
      <formula>-0.05</formula>
    </cfRule>
    <cfRule type="cellIs" dxfId="3952" priority="3952" operator="greaterThan">
      <formula>0.05</formula>
    </cfRule>
  </conditionalFormatting>
  <conditionalFormatting sqref="R214 T214 V214 Y214">
    <cfRule type="cellIs" dxfId="3951" priority="3945" operator="between">
      <formula>-0.05</formula>
      <formula>0.05</formula>
    </cfRule>
    <cfRule type="containsText" dxfId="3950" priority="3946" operator="containsText" text="NA">
      <formula>NOT(ISERROR(SEARCH("NA",R214)))</formula>
    </cfRule>
    <cfRule type="cellIs" dxfId="3949" priority="3947" operator="lessThan">
      <formula>-0.05</formula>
    </cfRule>
    <cfRule type="cellIs" dxfId="3948" priority="3948" operator="greaterThan">
      <formula>0.05</formula>
    </cfRule>
  </conditionalFormatting>
  <conditionalFormatting sqref="R215 T215 V215 Y215">
    <cfRule type="cellIs" dxfId="3947" priority="3941" operator="between">
      <formula>-0.05</formula>
      <formula>0.05</formula>
    </cfRule>
    <cfRule type="containsText" dxfId="3946" priority="3942" operator="containsText" text="NA">
      <formula>NOT(ISERROR(SEARCH("NA",R215)))</formula>
    </cfRule>
    <cfRule type="cellIs" dxfId="3945" priority="3943" operator="lessThan">
      <formula>-0.05</formula>
    </cfRule>
    <cfRule type="cellIs" dxfId="3944" priority="3944" operator="greaterThan">
      <formula>0.05</formula>
    </cfRule>
  </conditionalFormatting>
  <conditionalFormatting sqref="R216 T216 V216 Y216">
    <cfRule type="cellIs" dxfId="3943" priority="3937" operator="between">
      <formula>-0.05</formula>
      <formula>0.05</formula>
    </cfRule>
    <cfRule type="containsText" dxfId="3942" priority="3938" operator="containsText" text="NA">
      <formula>NOT(ISERROR(SEARCH("NA",R216)))</formula>
    </cfRule>
    <cfRule type="cellIs" dxfId="3941" priority="3939" operator="lessThan">
      <formula>-0.05</formula>
    </cfRule>
    <cfRule type="cellIs" dxfId="3940" priority="3940" operator="greaterThan">
      <formula>0.05</formula>
    </cfRule>
  </conditionalFormatting>
  <conditionalFormatting sqref="R217 T217 V217 Y217">
    <cfRule type="cellIs" dxfId="3939" priority="3933" operator="between">
      <formula>-0.05</formula>
      <formula>0.05</formula>
    </cfRule>
    <cfRule type="containsText" dxfId="3938" priority="3934" operator="containsText" text="NA">
      <formula>NOT(ISERROR(SEARCH("NA",R217)))</formula>
    </cfRule>
    <cfRule type="cellIs" dxfId="3937" priority="3935" operator="lessThan">
      <formula>-0.05</formula>
    </cfRule>
    <cfRule type="cellIs" dxfId="3936" priority="3936" operator="greaterThan">
      <formula>0.05</formula>
    </cfRule>
  </conditionalFormatting>
  <conditionalFormatting sqref="R218 T218 V218 Y218">
    <cfRule type="cellIs" dxfId="3935" priority="3929" operator="between">
      <formula>-0.05</formula>
      <formula>0.05</formula>
    </cfRule>
    <cfRule type="containsText" dxfId="3934" priority="3930" operator="containsText" text="NA">
      <formula>NOT(ISERROR(SEARCH("NA",R218)))</formula>
    </cfRule>
    <cfRule type="cellIs" dxfId="3933" priority="3931" operator="lessThan">
      <formula>-0.05</formula>
    </cfRule>
    <cfRule type="cellIs" dxfId="3932" priority="3932" operator="greaterThan">
      <formula>0.05</formula>
    </cfRule>
  </conditionalFormatting>
  <conditionalFormatting sqref="R219 T219 V219 Y219">
    <cfRule type="cellIs" dxfId="3931" priority="3925" operator="between">
      <formula>-0.05</formula>
      <formula>0.05</formula>
    </cfRule>
    <cfRule type="containsText" dxfId="3930" priority="3926" operator="containsText" text="NA">
      <formula>NOT(ISERROR(SEARCH("NA",R219)))</formula>
    </cfRule>
    <cfRule type="cellIs" dxfId="3929" priority="3927" operator="lessThan">
      <formula>-0.05</formula>
    </cfRule>
    <cfRule type="cellIs" dxfId="3928" priority="3928" operator="greaterThan">
      <formula>0.05</formula>
    </cfRule>
  </conditionalFormatting>
  <conditionalFormatting sqref="R220 T220 V220 Y220">
    <cfRule type="cellIs" dxfId="3927" priority="3921" operator="between">
      <formula>-0.05</formula>
      <formula>0.05</formula>
    </cfRule>
    <cfRule type="containsText" dxfId="3926" priority="3922" operator="containsText" text="NA">
      <formula>NOT(ISERROR(SEARCH("NA",R220)))</formula>
    </cfRule>
    <cfRule type="cellIs" dxfId="3925" priority="3923" operator="lessThan">
      <formula>-0.05</formula>
    </cfRule>
    <cfRule type="cellIs" dxfId="3924" priority="3924" operator="greaterThan">
      <formula>0.05</formula>
    </cfRule>
  </conditionalFormatting>
  <conditionalFormatting sqref="R221 T221 V221 Y221">
    <cfRule type="cellIs" dxfId="3923" priority="3917" operator="between">
      <formula>-0.05</formula>
      <formula>0.05</formula>
    </cfRule>
    <cfRule type="containsText" dxfId="3922" priority="3918" operator="containsText" text="NA">
      <formula>NOT(ISERROR(SEARCH("NA",R221)))</formula>
    </cfRule>
    <cfRule type="cellIs" dxfId="3921" priority="3919" operator="lessThan">
      <formula>-0.05</formula>
    </cfRule>
    <cfRule type="cellIs" dxfId="3920" priority="3920" operator="greaterThan">
      <formula>0.05</formula>
    </cfRule>
  </conditionalFormatting>
  <conditionalFormatting sqref="R222 T222 V222 Y222">
    <cfRule type="cellIs" dxfId="3919" priority="3913" operator="between">
      <formula>-0.05</formula>
      <formula>0.05</formula>
    </cfRule>
    <cfRule type="containsText" dxfId="3918" priority="3914" operator="containsText" text="NA">
      <formula>NOT(ISERROR(SEARCH("NA",R222)))</formula>
    </cfRule>
    <cfRule type="cellIs" dxfId="3917" priority="3915" operator="lessThan">
      <formula>-0.05</formula>
    </cfRule>
    <cfRule type="cellIs" dxfId="3916" priority="3916" operator="greaterThan">
      <formula>0.05</formula>
    </cfRule>
  </conditionalFormatting>
  <conditionalFormatting sqref="R223 T223 V223 Y223">
    <cfRule type="cellIs" dxfId="3915" priority="3909" operator="between">
      <formula>-0.05</formula>
      <formula>0.05</formula>
    </cfRule>
    <cfRule type="containsText" dxfId="3914" priority="3910" operator="containsText" text="NA">
      <formula>NOT(ISERROR(SEARCH("NA",R223)))</formula>
    </cfRule>
    <cfRule type="cellIs" dxfId="3913" priority="3911" operator="lessThan">
      <formula>-0.05</formula>
    </cfRule>
    <cfRule type="cellIs" dxfId="3912" priority="3912" operator="greaterThan">
      <formula>0.05</formula>
    </cfRule>
  </conditionalFormatting>
  <conditionalFormatting sqref="R224 T224 V224 Y224">
    <cfRule type="cellIs" dxfId="3911" priority="3905" operator="between">
      <formula>-0.05</formula>
      <formula>0.05</formula>
    </cfRule>
    <cfRule type="containsText" dxfId="3910" priority="3906" operator="containsText" text="NA">
      <formula>NOT(ISERROR(SEARCH("NA",R224)))</formula>
    </cfRule>
    <cfRule type="cellIs" dxfId="3909" priority="3907" operator="lessThan">
      <formula>-0.05</formula>
    </cfRule>
    <cfRule type="cellIs" dxfId="3908" priority="3908" operator="greaterThan">
      <formula>0.05</formula>
    </cfRule>
  </conditionalFormatting>
  <conditionalFormatting sqref="R225 T225 V225 Y225">
    <cfRule type="cellIs" dxfId="3907" priority="3901" operator="between">
      <formula>-0.05</formula>
      <formula>0.05</formula>
    </cfRule>
    <cfRule type="containsText" dxfId="3906" priority="3902" operator="containsText" text="NA">
      <formula>NOT(ISERROR(SEARCH("NA",R225)))</formula>
    </cfRule>
    <cfRule type="cellIs" dxfId="3905" priority="3903" operator="lessThan">
      <formula>-0.05</formula>
    </cfRule>
    <cfRule type="cellIs" dxfId="3904" priority="3904" operator="greaterThan">
      <formula>0.05</formula>
    </cfRule>
  </conditionalFormatting>
  <conditionalFormatting sqref="R226 T226 V226 Y226">
    <cfRule type="cellIs" dxfId="3903" priority="3897" operator="between">
      <formula>-0.05</formula>
      <formula>0.05</formula>
    </cfRule>
    <cfRule type="containsText" dxfId="3902" priority="3898" operator="containsText" text="NA">
      <formula>NOT(ISERROR(SEARCH("NA",R226)))</formula>
    </cfRule>
    <cfRule type="cellIs" dxfId="3901" priority="3899" operator="lessThan">
      <formula>-0.05</formula>
    </cfRule>
    <cfRule type="cellIs" dxfId="3900" priority="3900" operator="greaterThan">
      <formula>0.05</formula>
    </cfRule>
  </conditionalFormatting>
  <conditionalFormatting sqref="R227 T227 V227 Y227">
    <cfRule type="cellIs" dxfId="3899" priority="3893" operator="between">
      <formula>-0.05</formula>
      <formula>0.05</formula>
    </cfRule>
    <cfRule type="containsText" dxfId="3898" priority="3894" operator="containsText" text="NA">
      <formula>NOT(ISERROR(SEARCH("NA",R227)))</formula>
    </cfRule>
    <cfRule type="cellIs" dxfId="3897" priority="3895" operator="lessThan">
      <formula>-0.05</formula>
    </cfRule>
    <cfRule type="cellIs" dxfId="3896" priority="3896" operator="greaterThan">
      <formula>0.05</formula>
    </cfRule>
  </conditionalFormatting>
  <conditionalFormatting sqref="R228 T228 V228 Y228">
    <cfRule type="cellIs" dxfId="3895" priority="3889" operator="between">
      <formula>-0.05</formula>
      <formula>0.05</formula>
    </cfRule>
    <cfRule type="containsText" dxfId="3894" priority="3890" operator="containsText" text="NA">
      <formula>NOT(ISERROR(SEARCH("NA",R228)))</formula>
    </cfRule>
    <cfRule type="cellIs" dxfId="3893" priority="3891" operator="lessThan">
      <formula>-0.05</formula>
    </cfRule>
    <cfRule type="cellIs" dxfId="3892" priority="3892" operator="greaterThan">
      <formula>0.05</formula>
    </cfRule>
  </conditionalFormatting>
  <conditionalFormatting sqref="R229 T229 V229 Y229">
    <cfRule type="cellIs" dxfId="3891" priority="3885" operator="between">
      <formula>-0.05</formula>
      <formula>0.05</formula>
    </cfRule>
    <cfRule type="containsText" dxfId="3890" priority="3886" operator="containsText" text="NA">
      <formula>NOT(ISERROR(SEARCH("NA",R229)))</formula>
    </cfRule>
    <cfRule type="cellIs" dxfId="3889" priority="3887" operator="lessThan">
      <formula>-0.05</formula>
    </cfRule>
    <cfRule type="cellIs" dxfId="3888" priority="3888" operator="greaterThan">
      <formula>0.05</formula>
    </cfRule>
  </conditionalFormatting>
  <conditionalFormatting sqref="R230 T230 V230 Y230">
    <cfRule type="cellIs" dxfId="3887" priority="3881" operator="between">
      <formula>-0.05</formula>
      <formula>0.05</formula>
    </cfRule>
    <cfRule type="containsText" dxfId="3886" priority="3882" operator="containsText" text="NA">
      <formula>NOT(ISERROR(SEARCH("NA",R230)))</formula>
    </cfRule>
    <cfRule type="cellIs" dxfId="3885" priority="3883" operator="lessThan">
      <formula>-0.05</formula>
    </cfRule>
    <cfRule type="cellIs" dxfId="3884" priority="3884" operator="greaterThan">
      <formula>0.05</formula>
    </cfRule>
  </conditionalFormatting>
  <conditionalFormatting sqref="R231 T231 V231 Y231">
    <cfRule type="cellIs" dxfId="3883" priority="3877" operator="between">
      <formula>-0.05</formula>
      <formula>0.05</formula>
    </cfRule>
    <cfRule type="containsText" dxfId="3882" priority="3878" operator="containsText" text="NA">
      <formula>NOT(ISERROR(SEARCH("NA",R231)))</formula>
    </cfRule>
    <cfRule type="cellIs" dxfId="3881" priority="3879" operator="lessThan">
      <formula>-0.05</formula>
    </cfRule>
    <cfRule type="cellIs" dxfId="3880" priority="3880" operator="greaterThan">
      <formula>0.05</formula>
    </cfRule>
  </conditionalFormatting>
  <conditionalFormatting sqref="R232 T232 V232 Y232">
    <cfRule type="cellIs" dxfId="3879" priority="3873" operator="between">
      <formula>-0.05</formula>
      <formula>0.05</formula>
    </cfRule>
    <cfRule type="containsText" dxfId="3878" priority="3874" operator="containsText" text="NA">
      <formula>NOT(ISERROR(SEARCH("NA",R232)))</formula>
    </cfRule>
    <cfRule type="cellIs" dxfId="3877" priority="3875" operator="lessThan">
      <formula>-0.05</formula>
    </cfRule>
    <cfRule type="cellIs" dxfId="3876" priority="3876" operator="greaterThan">
      <formula>0.05</formula>
    </cfRule>
  </conditionalFormatting>
  <conditionalFormatting sqref="R233 T233 V233 Y233">
    <cfRule type="cellIs" dxfId="3875" priority="3869" operator="between">
      <formula>-0.05</formula>
      <formula>0.05</formula>
    </cfRule>
    <cfRule type="containsText" dxfId="3874" priority="3870" operator="containsText" text="NA">
      <formula>NOT(ISERROR(SEARCH("NA",R233)))</formula>
    </cfRule>
    <cfRule type="cellIs" dxfId="3873" priority="3871" operator="lessThan">
      <formula>-0.05</formula>
    </cfRule>
    <cfRule type="cellIs" dxfId="3872" priority="3872" operator="greaterThan">
      <formula>0.05</formula>
    </cfRule>
  </conditionalFormatting>
  <conditionalFormatting sqref="R234 T234 V234 Y234">
    <cfRule type="cellIs" dxfId="3871" priority="3865" operator="between">
      <formula>-0.05</formula>
      <formula>0.05</formula>
    </cfRule>
    <cfRule type="containsText" dxfId="3870" priority="3866" operator="containsText" text="NA">
      <formula>NOT(ISERROR(SEARCH("NA",R234)))</formula>
    </cfRule>
    <cfRule type="cellIs" dxfId="3869" priority="3867" operator="lessThan">
      <formula>-0.05</formula>
    </cfRule>
    <cfRule type="cellIs" dxfId="3868" priority="3868" operator="greaterThan">
      <formula>0.05</formula>
    </cfRule>
  </conditionalFormatting>
  <conditionalFormatting sqref="R235 T235 V235 Y235">
    <cfRule type="cellIs" dxfId="3867" priority="3861" operator="between">
      <formula>-0.05</formula>
      <formula>0.05</formula>
    </cfRule>
    <cfRule type="containsText" dxfId="3866" priority="3862" operator="containsText" text="NA">
      <formula>NOT(ISERROR(SEARCH("NA",R235)))</formula>
    </cfRule>
    <cfRule type="cellIs" dxfId="3865" priority="3863" operator="lessThan">
      <formula>-0.05</formula>
    </cfRule>
    <cfRule type="cellIs" dxfId="3864" priority="3864" operator="greaterThan">
      <formula>0.05</formula>
    </cfRule>
  </conditionalFormatting>
  <conditionalFormatting sqref="R236 T236 V236 Y236">
    <cfRule type="cellIs" dxfId="3863" priority="3857" operator="between">
      <formula>-0.05</formula>
      <formula>0.05</formula>
    </cfRule>
    <cfRule type="containsText" dxfId="3862" priority="3858" operator="containsText" text="NA">
      <formula>NOT(ISERROR(SEARCH("NA",R236)))</formula>
    </cfRule>
    <cfRule type="cellIs" dxfId="3861" priority="3859" operator="lessThan">
      <formula>-0.05</formula>
    </cfRule>
    <cfRule type="cellIs" dxfId="3860" priority="3860" operator="greaterThan">
      <formula>0.05</formula>
    </cfRule>
  </conditionalFormatting>
  <conditionalFormatting sqref="R237 T237 V237 Y237">
    <cfRule type="cellIs" dxfId="3859" priority="3853" operator="between">
      <formula>-0.05</formula>
      <formula>0.05</formula>
    </cfRule>
    <cfRule type="containsText" dxfId="3858" priority="3854" operator="containsText" text="NA">
      <formula>NOT(ISERROR(SEARCH("NA",R237)))</formula>
    </cfRule>
    <cfRule type="cellIs" dxfId="3857" priority="3855" operator="lessThan">
      <formula>-0.05</formula>
    </cfRule>
    <cfRule type="cellIs" dxfId="3856" priority="3856" operator="greaterThan">
      <formula>0.05</formula>
    </cfRule>
  </conditionalFormatting>
  <conditionalFormatting sqref="R238 T238 V238 Y238">
    <cfRule type="cellIs" dxfId="3855" priority="3849" operator="between">
      <formula>-0.05</formula>
      <formula>0.05</formula>
    </cfRule>
    <cfRule type="containsText" dxfId="3854" priority="3850" operator="containsText" text="NA">
      <formula>NOT(ISERROR(SEARCH("NA",R238)))</formula>
    </cfRule>
    <cfRule type="cellIs" dxfId="3853" priority="3851" operator="lessThan">
      <formula>-0.05</formula>
    </cfRule>
    <cfRule type="cellIs" dxfId="3852" priority="3852" operator="greaterThan">
      <formula>0.05</formula>
    </cfRule>
  </conditionalFormatting>
  <conditionalFormatting sqref="R239 T239 V239 Y239">
    <cfRule type="cellIs" dxfId="3851" priority="3845" operator="between">
      <formula>-0.05</formula>
      <formula>0.05</formula>
    </cfRule>
    <cfRule type="containsText" dxfId="3850" priority="3846" operator="containsText" text="NA">
      <formula>NOT(ISERROR(SEARCH("NA",R239)))</formula>
    </cfRule>
    <cfRule type="cellIs" dxfId="3849" priority="3847" operator="lessThan">
      <formula>-0.05</formula>
    </cfRule>
    <cfRule type="cellIs" dxfId="3848" priority="3848" operator="greaterThan">
      <formula>0.05</formula>
    </cfRule>
  </conditionalFormatting>
  <conditionalFormatting sqref="R240 T240 V240 Y240">
    <cfRule type="cellIs" dxfId="3847" priority="3841" operator="between">
      <formula>-0.05</formula>
      <formula>0.05</formula>
    </cfRule>
    <cfRule type="containsText" dxfId="3846" priority="3842" operator="containsText" text="NA">
      <formula>NOT(ISERROR(SEARCH("NA",R240)))</formula>
    </cfRule>
    <cfRule type="cellIs" dxfId="3845" priority="3843" operator="lessThan">
      <formula>-0.05</formula>
    </cfRule>
    <cfRule type="cellIs" dxfId="3844" priority="3844" operator="greaterThan">
      <formula>0.05</formula>
    </cfRule>
  </conditionalFormatting>
  <conditionalFormatting sqref="R241 T241 V241 Y241">
    <cfRule type="cellIs" dxfId="3843" priority="3837" operator="between">
      <formula>-0.05</formula>
      <formula>0.05</formula>
    </cfRule>
    <cfRule type="containsText" dxfId="3842" priority="3838" operator="containsText" text="NA">
      <formula>NOT(ISERROR(SEARCH("NA",R241)))</formula>
    </cfRule>
    <cfRule type="cellIs" dxfId="3841" priority="3839" operator="lessThan">
      <formula>-0.05</formula>
    </cfRule>
    <cfRule type="cellIs" dxfId="3840" priority="3840" operator="greaterThan">
      <formula>0.05</formula>
    </cfRule>
  </conditionalFormatting>
  <conditionalFormatting sqref="R242 T242 V242 Y242">
    <cfRule type="cellIs" dxfId="3839" priority="3833" operator="between">
      <formula>-0.05</formula>
      <formula>0.05</formula>
    </cfRule>
    <cfRule type="containsText" dxfId="3838" priority="3834" operator="containsText" text="NA">
      <formula>NOT(ISERROR(SEARCH("NA",R242)))</formula>
    </cfRule>
    <cfRule type="cellIs" dxfId="3837" priority="3835" operator="lessThan">
      <formula>-0.05</formula>
    </cfRule>
    <cfRule type="cellIs" dxfId="3836" priority="3836" operator="greaterThan">
      <formula>0.05</formula>
    </cfRule>
  </conditionalFormatting>
  <conditionalFormatting sqref="R243 T243 V243 Y243">
    <cfRule type="cellIs" dxfId="3835" priority="3829" operator="between">
      <formula>-0.05</formula>
      <formula>0.05</formula>
    </cfRule>
    <cfRule type="containsText" dxfId="3834" priority="3830" operator="containsText" text="NA">
      <formula>NOT(ISERROR(SEARCH("NA",R243)))</formula>
    </cfRule>
    <cfRule type="cellIs" dxfId="3833" priority="3831" operator="lessThan">
      <formula>-0.05</formula>
    </cfRule>
    <cfRule type="cellIs" dxfId="3832" priority="3832" operator="greaterThan">
      <formula>0.05</formula>
    </cfRule>
  </conditionalFormatting>
  <conditionalFormatting sqref="R244 T244 V244 Y244">
    <cfRule type="cellIs" dxfId="3831" priority="3825" operator="between">
      <formula>-0.05</formula>
      <formula>0.05</formula>
    </cfRule>
    <cfRule type="containsText" dxfId="3830" priority="3826" operator="containsText" text="NA">
      <formula>NOT(ISERROR(SEARCH("NA",R244)))</formula>
    </cfRule>
    <cfRule type="cellIs" dxfId="3829" priority="3827" operator="lessThan">
      <formula>-0.05</formula>
    </cfRule>
    <cfRule type="cellIs" dxfId="3828" priority="3828" operator="greaterThan">
      <formula>0.05</formula>
    </cfRule>
  </conditionalFormatting>
  <conditionalFormatting sqref="R245 T245 V245 Y245">
    <cfRule type="cellIs" dxfId="3827" priority="3821" operator="between">
      <formula>-0.05</formula>
      <formula>0.05</formula>
    </cfRule>
    <cfRule type="containsText" dxfId="3826" priority="3822" operator="containsText" text="NA">
      <formula>NOT(ISERROR(SEARCH("NA",R245)))</formula>
    </cfRule>
    <cfRule type="cellIs" dxfId="3825" priority="3823" operator="lessThan">
      <formula>-0.05</formula>
    </cfRule>
    <cfRule type="cellIs" dxfId="3824" priority="3824" operator="greaterThan">
      <formula>0.05</formula>
    </cfRule>
  </conditionalFormatting>
  <conditionalFormatting sqref="R246 T246 V246 Y246">
    <cfRule type="cellIs" dxfId="3823" priority="3817" operator="between">
      <formula>-0.05</formula>
      <formula>0.05</formula>
    </cfRule>
    <cfRule type="containsText" dxfId="3822" priority="3818" operator="containsText" text="NA">
      <formula>NOT(ISERROR(SEARCH("NA",R246)))</formula>
    </cfRule>
    <cfRule type="cellIs" dxfId="3821" priority="3819" operator="lessThan">
      <formula>-0.05</formula>
    </cfRule>
    <cfRule type="cellIs" dxfId="3820" priority="3820" operator="greaterThan">
      <formula>0.05</formula>
    </cfRule>
  </conditionalFormatting>
  <conditionalFormatting sqref="R247 T247 V247 Y247">
    <cfRule type="cellIs" dxfId="3819" priority="3813" operator="between">
      <formula>-0.05</formula>
      <formula>0.05</formula>
    </cfRule>
    <cfRule type="containsText" dxfId="3818" priority="3814" operator="containsText" text="NA">
      <formula>NOT(ISERROR(SEARCH("NA",R247)))</formula>
    </cfRule>
    <cfRule type="cellIs" dxfId="3817" priority="3815" operator="lessThan">
      <formula>-0.05</formula>
    </cfRule>
    <cfRule type="cellIs" dxfId="3816" priority="3816" operator="greaterThan">
      <formula>0.05</formula>
    </cfRule>
  </conditionalFormatting>
  <conditionalFormatting sqref="R248 T248 V248 Y248">
    <cfRule type="cellIs" dxfId="3815" priority="3809" operator="between">
      <formula>-0.05</formula>
      <formula>0.05</formula>
    </cfRule>
    <cfRule type="containsText" dxfId="3814" priority="3810" operator="containsText" text="NA">
      <formula>NOT(ISERROR(SEARCH("NA",R248)))</formula>
    </cfRule>
    <cfRule type="cellIs" dxfId="3813" priority="3811" operator="lessThan">
      <formula>-0.05</formula>
    </cfRule>
    <cfRule type="cellIs" dxfId="3812" priority="3812" operator="greaterThan">
      <formula>0.05</formula>
    </cfRule>
  </conditionalFormatting>
  <conditionalFormatting sqref="R249 T249 V249 Y249">
    <cfRule type="cellIs" dxfId="3811" priority="3805" operator="between">
      <formula>-0.05</formula>
      <formula>0.05</formula>
    </cfRule>
    <cfRule type="containsText" dxfId="3810" priority="3806" operator="containsText" text="NA">
      <formula>NOT(ISERROR(SEARCH("NA",R249)))</formula>
    </cfRule>
    <cfRule type="cellIs" dxfId="3809" priority="3807" operator="lessThan">
      <formula>-0.05</formula>
    </cfRule>
    <cfRule type="cellIs" dxfId="3808" priority="3808" operator="greaterThan">
      <formula>0.05</formula>
    </cfRule>
  </conditionalFormatting>
  <conditionalFormatting sqref="R250 T250 V250 Y250">
    <cfRule type="cellIs" dxfId="3807" priority="3801" operator="between">
      <formula>-0.05</formula>
      <formula>0.05</formula>
    </cfRule>
    <cfRule type="containsText" dxfId="3806" priority="3802" operator="containsText" text="NA">
      <formula>NOT(ISERROR(SEARCH("NA",R250)))</formula>
    </cfRule>
    <cfRule type="cellIs" dxfId="3805" priority="3803" operator="lessThan">
      <formula>-0.05</formula>
    </cfRule>
    <cfRule type="cellIs" dxfId="3804" priority="3804" operator="greaterThan">
      <formula>0.05</formula>
    </cfRule>
  </conditionalFormatting>
  <conditionalFormatting sqref="R251 T251 V251 Y251">
    <cfRule type="cellIs" dxfId="3803" priority="3797" operator="between">
      <formula>-0.05</formula>
      <formula>0.05</formula>
    </cfRule>
    <cfRule type="containsText" dxfId="3802" priority="3798" operator="containsText" text="NA">
      <formula>NOT(ISERROR(SEARCH("NA",R251)))</formula>
    </cfRule>
    <cfRule type="cellIs" dxfId="3801" priority="3799" operator="lessThan">
      <formula>-0.05</formula>
    </cfRule>
    <cfRule type="cellIs" dxfId="3800" priority="3800" operator="greaterThan">
      <formula>0.05</formula>
    </cfRule>
  </conditionalFormatting>
  <conditionalFormatting sqref="R252 T252 V252 Y252">
    <cfRule type="cellIs" dxfId="3799" priority="3793" operator="between">
      <formula>-0.05</formula>
      <formula>0.05</formula>
    </cfRule>
    <cfRule type="containsText" dxfId="3798" priority="3794" operator="containsText" text="NA">
      <formula>NOT(ISERROR(SEARCH("NA",R252)))</formula>
    </cfRule>
    <cfRule type="cellIs" dxfId="3797" priority="3795" operator="lessThan">
      <formula>-0.05</formula>
    </cfRule>
    <cfRule type="cellIs" dxfId="3796" priority="3796" operator="greaterThan">
      <formula>0.05</formula>
    </cfRule>
  </conditionalFormatting>
  <conditionalFormatting sqref="R253 T253 V253 Y253">
    <cfRule type="cellIs" dxfId="3795" priority="3789" operator="between">
      <formula>-0.05</formula>
      <formula>0.05</formula>
    </cfRule>
    <cfRule type="containsText" dxfId="3794" priority="3790" operator="containsText" text="NA">
      <formula>NOT(ISERROR(SEARCH("NA",R253)))</formula>
    </cfRule>
    <cfRule type="cellIs" dxfId="3793" priority="3791" operator="lessThan">
      <formula>-0.05</formula>
    </cfRule>
    <cfRule type="cellIs" dxfId="3792" priority="3792" operator="greaterThan">
      <formula>0.05</formula>
    </cfRule>
  </conditionalFormatting>
  <conditionalFormatting sqref="R254 T254 V254 Y254">
    <cfRule type="cellIs" dxfId="3791" priority="3785" operator="between">
      <formula>-0.05</formula>
      <formula>0.05</formula>
    </cfRule>
    <cfRule type="containsText" dxfId="3790" priority="3786" operator="containsText" text="NA">
      <formula>NOT(ISERROR(SEARCH("NA",R254)))</formula>
    </cfRule>
    <cfRule type="cellIs" dxfId="3789" priority="3787" operator="lessThan">
      <formula>-0.05</formula>
    </cfRule>
    <cfRule type="cellIs" dxfId="3788" priority="3788" operator="greaterThan">
      <formula>0.05</formula>
    </cfRule>
  </conditionalFormatting>
  <conditionalFormatting sqref="R255 T255 V255 Y255">
    <cfRule type="cellIs" dxfId="3787" priority="3781" operator="between">
      <formula>-0.05</formula>
      <formula>0.05</formula>
    </cfRule>
    <cfRule type="containsText" dxfId="3786" priority="3782" operator="containsText" text="NA">
      <formula>NOT(ISERROR(SEARCH("NA",R255)))</formula>
    </cfRule>
    <cfRule type="cellIs" dxfId="3785" priority="3783" operator="lessThan">
      <formula>-0.05</formula>
    </cfRule>
    <cfRule type="cellIs" dxfId="3784" priority="3784" operator="greaterThan">
      <formula>0.05</formula>
    </cfRule>
  </conditionalFormatting>
  <conditionalFormatting sqref="R256 T256 V256 Y256">
    <cfRule type="cellIs" dxfId="3783" priority="3777" operator="between">
      <formula>-0.05</formula>
      <formula>0.05</formula>
    </cfRule>
    <cfRule type="containsText" dxfId="3782" priority="3778" operator="containsText" text="NA">
      <formula>NOT(ISERROR(SEARCH("NA",R256)))</formula>
    </cfRule>
    <cfRule type="cellIs" dxfId="3781" priority="3779" operator="lessThan">
      <formula>-0.05</formula>
    </cfRule>
    <cfRule type="cellIs" dxfId="3780" priority="3780" operator="greaterThan">
      <formula>0.05</formula>
    </cfRule>
  </conditionalFormatting>
  <conditionalFormatting sqref="R257 T257 V257 Y257">
    <cfRule type="cellIs" dxfId="3779" priority="3773" operator="between">
      <formula>-0.05</formula>
      <formula>0.05</formula>
    </cfRule>
    <cfRule type="containsText" dxfId="3778" priority="3774" operator="containsText" text="NA">
      <formula>NOT(ISERROR(SEARCH("NA",R257)))</formula>
    </cfRule>
    <cfRule type="cellIs" dxfId="3777" priority="3775" operator="lessThan">
      <formula>-0.05</formula>
    </cfRule>
    <cfRule type="cellIs" dxfId="3776" priority="3776" operator="greaterThan">
      <formula>0.05</formula>
    </cfRule>
  </conditionalFormatting>
  <conditionalFormatting sqref="R258 T258 V258 Y258">
    <cfRule type="cellIs" dxfId="3775" priority="3769" operator="between">
      <formula>-0.05</formula>
      <formula>0.05</formula>
    </cfRule>
    <cfRule type="containsText" dxfId="3774" priority="3770" operator="containsText" text="NA">
      <formula>NOT(ISERROR(SEARCH("NA",R258)))</formula>
    </cfRule>
    <cfRule type="cellIs" dxfId="3773" priority="3771" operator="lessThan">
      <formula>-0.05</formula>
    </cfRule>
    <cfRule type="cellIs" dxfId="3772" priority="3772" operator="greaterThan">
      <formula>0.05</formula>
    </cfRule>
  </conditionalFormatting>
  <conditionalFormatting sqref="R259 T259 V259 Y259">
    <cfRule type="cellIs" dxfId="3771" priority="3765" operator="between">
      <formula>-0.05</formula>
      <formula>0.05</formula>
    </cfRule>
    <cfRule type="containsText" dxfId="3770" priority="3766" operator="containsText" text="NA">
      <formula>NOT(ISERROR(SEARCH("NA",R259)))</formula>
    </cfRule>
    <cfRule type="cellIs" dxfId="3769" priority="3767" operator="lessThan">
      <formula>-0.05</formula>
    </cfRule>
    <cfRule type="cellIs" dxfId="3768" priority="3768" operator="greaterThan">
      <formula>0.05</formula>
    </cfRule>
  </conditionalFormatting>
  <conditionalFormatting sqref="R260 T260 V260 Y260">
    <cfRule type="cellIs" dxfId="3767" priority="3761" operator="between">
      <formula>-0.05</formula>
      <formula>0.05</formula>
    </cfRule>
    <cfRule type="containsText" dxfId="3766" priority="3762" operator="containsText" text="NA">
      <formula>NOT(ISERROR(SEARCH("NA",R260)))</formula>
    </cfRule>
    <cfRule type="cellIs" dxfId="3765" priority="3763" operator="lessThan">
      <formula>-0.05</formula>
    </cfRule>
    <cfRule type="cellIs" dxfId="3764" priority="3764" operator="greaterThan">
      <formula>0.05</formula>
    </cfRule>
  </conditionalFormatting>
  <conditionalFormatting sqref="R261 T261 V261 Y261">
    <cfRule type="cellIs" dxfId="3763" priority="3757" operator="between">
      <formula>-0.05</formula>
      <formula>0.05</formula>
    </cfRule>
    <cfRule type="containsText" dxfId="3762" priority="3758" operator="containsText" text="NA">
      <formula>NOT(ISERROR(SEARCH("NA",R261)))</formula>
    </cfRule>
    <cfRule type="cellIs" dxfId="3761" priority="3759" operator="lessThan">
      <formula>-0.05</formula>
    </cfRule>
    <cfRule type="cellIs" dxfId="3760" priority="3760" operator="greaterThan">
      <formula>0.05</formula>
    </cfRule>
  </conditionalFormatting>
  <conditionalFormatting sqref="R262 T262 V262 Y262">
    <cfRule type="cellIs" dxfId="3759" priority="3753" operator="between">
      <formula>-0.05</formula>
      <formula>0.05</formula>
    </cfRule>
    <cfRule type="containsText" dxfId="3758" priority="3754" operator="containsText" text="NA">
      <formula>NOT(ISERROR(SEARCH("NA",R262)))</formula>
    </cfRule>
    <cfRule type="cellIs" dxfId="3757" priority="3755" operator="lessThan">
      <formula>-0.05</formula>
    </cfRule>
    <cfRule type="cellIs" dxfId="3756" priority="3756" operator="greaterThan">
      <formula>0.05</formula>
    </cfRule>
  </conditionalFormatting>
  <conditionalFormatting sqref="R263 T263 V263 Y263">
    <cfRule type="cellIs" dxfId="3755" priority="3749" operator="between">
      <formula>-0.05</formula>
      <formula>0.05</formula>
    </cfRule>
    <cfRule type="containsText" dxfId="3754" priority="3750" operator="containsText" text="NA">
      <formula>NOT(ISERROR(SEARCH("NA",R263)))</formula>
    </cfRule>
    <cfRule type="cellIs" dxfId="3753" priority="3751" operator="lessThan">
      <formula>-0.05</formula>
    </cfRule>
    <cfRule type="cellIs" dxfId="3752" priority="3752" operator="greaterThan">
      <formula>0.05</formula>
    </cfRule>
  </conditionalFormatting>
  <conditionalFormatting sqref="R264 T264 V264 Y264">
    <cfRule type="cellIs" dxfId="3751" priority="3745" operator="between">
      <formula>-0.05</formula>
      <formula>0.05</formula>
    </cfRule>
    <cfRule type="containsText" dxfId="3750" priority="3746" operator="containsText" text="NA">
      <formula>NOT(ISERROR(SEARCH("NA",R264)))</formula>
    </cfRule>
    <cfRule type="cellIs" dxfId="3749" priority="3747" operator="lessThan">
      <formula>-0.05</formula>
    </cfRule>
    <cfRule type="cellIs" dxfId="3748" priority="3748" operator="greaterThan">
      <formula>0.05</formula>
    </cfRule>
  </conditionalFormatting>
  <conditionalFormatting sqref="R265 T265 V265 Y265">
    <cfRule type="cellIs" dxfId="3747" priority="3741" operator="between">
      <formula>-0.05</formula>
      <formula>0.05</formula>
    </cfRule>
    <cfRule type="containsText" dxfId="3746" priority="3742" operator="containsText" text="NA">
      <formula>NOT(ISERROR(SEARCH("NA",R265)))</formula>
    </cfRule>
    <cfRule type="cellIs" dxfId="3745" priority="3743" operator="lessThan">
      <formula>-0.05</formula>
    </cfRule>
    <cfRule type="cellIs" dxfId="3744" priority="3744" operator="greaterThan">
      <formula>0.05</formula>
    </cfRule>
  </conditionalFormatting>
  <conditionalFormatting sqref="R266 T266 V266 Y266">
    <cfRule type="cellIs" dxfId="3743" priority="3737" operator="between">
      <formula>-0.05</formula>
      <formula>0.05</formula>
    </cfRule>
    <cfRule type="containsText" dxfId="3742" priority="3738" operator="containsText" text="NA">
      <formula>NOT(ISERROR(SEARCH("NA",R266)))</formula>
    </cfRule>
    <cfRule type="cellIs" dxfId="3741" priority="3739" operator="lessThan">
      <formula>-0.05</formula>
    </cfRule>
    <cfRule type="cellIs" dxfId="3740" priority="3740" operator="greaterThan">
      <formula>0.05</formula>
    </cfRule>
  </conditionalFormatting>
  <conditionalFormatting sqref="R267 T267 V267 Y267">
    <cfRule type="cellIs" dxfId="3739" priority="3733" operator="between">
      <formula>-0.05</formula>
      <formula>0.05</formula>
    </cfRule>
    <cfRule type="containsText" dxfId="3738" priority="3734" operator="containsText" text="NA">
      <formula>NOT(ISERROR(SEARCH("NA",R267)))</formula>
    </cfRule>
    <cfRule type="cellIs" dxfId="3737" priority="3735" operator="lessThan">
      <formula>-0.05</formula>
    </cfRule>
    <cfRule type="cellIs" dxfId="3736" priority="3736" operator="greaterThan">
      <formula>0.05</formula>
    </cfRule>
  </conditionalFormatting>
  <conditionalFormatting sqref="R268 T268 V268 Y268">
    <cfRule type="cellIs" dxfId="3735" priority="3729" operator="between">
      <formula>-0.05</formula>
      <formula>0.05</formula>
    </cfRule>
    <cfRule type="containsText" dxfId="3734" priority="3730" operator="containsText" text="NA">
      <formula>NOT(ISERROR(SEARCH("NA",R268)))</formula>
    </cfRule>
    <cfRule type="cellIs" dxfId="3733" priority="3731" operator="lessThan">
      <formula>-0.05</formula>
    </cfRule>
    <cfRule type="cellIs" dxfId="3732" priority="3732" operator="greaterThan">
      <formula>0.05</formula>
    </cfRule>
  </conditionalFormatting>
  <conditionalFormatting sqref="R269 T269 V269 Y269">
    <cfRule type="cellIs" dxfId="3731" priority="3725" operator="between">
      <formula>-0.05</formula>
      <formula>0.05</formula>
    </cfRule>
    <cfRule type="containsText" dxfId="3730" priority="3726" operator="containsText" text="NA">
      <formula>NOT(ISERROR(SEARCH("NA",R269)))</formula>
    </cfRule>
    <cfRule type="cellIs" dxfId="3729" priority="3727" operator="lessThan">
      <formula>-0.05</formula>
    </cfRule>
    <cfRule type="cellIs" dxfId="3728" priority="3728" operator="greaterThan">
      <formula>0.05</formula>
    </cfRule>
  </conditionalFormatting>
  <conditionalFormatting sqref="R270 T270 V270 Y270">
    <cfRule type="cellIs" dxfId="3727" priority="3721" operator="between">
      <formula>-0.05</formula>
      <formula>0.05</formula>
    </cfRule>
    <cfRule type="containsText" dxfId="3726" priority="3722" operator="containsText" text="NA">
      <formula>NOT(ISERROR(SEARCH("NA",R270)))</formula>
    </cfRule>
    <cfRule type="cellIs" dxfId="3725" priority="3723" operator="lessThan">
      <formula>-0.05</formula>
    </cfRule>
    <cfRule type="cellIs" dxfId="3724" priority="3724" operator="greaterThan">
      <formula>0.05</formula>
    </cfRule>
  </conditionalFormatting>
  <conditionalFormatting sqref="R271 T271 V271 Y271">
    <cfRule type="cellIs" dxfId="3723" priority="3717" operator="between">
      <formula>-0.05</formula>
      <formula>0.05</formula>
    </cfRule>
    <cfRule type="containsText" dxfId="3722" priority="3718" operator="containsText" text="NA">
      <formula>NOT(ISERROR(SEARCH("NA",R271)))</formula>
    </cfRule>
    <cfRule type="cellIs" dxfId="3721" priority="3719" operator="lessThan">
      <formula>-0.05</formula>
    </cfRule>
    <cfRule type="cellIs" dxfId="3720" priority="3720" operator="greaterThan">
      <formula>0.05</formula>
    </cfRule>
  </conditionalFormatting>
  <conditionalFormatting sqref="R272 T272 V272 Y272">
    <cfRule type="cellIs" dxfId="3719" priority="3713" operator="between">
      <formula>-0.05</formula>
      <formula>0.05</formula>
    </cfRule>
    <cfRule type="containsText" dxfId="3718" priority="3714" operator="containsText" text="NA">
      <formula>NOT(ISERROR(SEARCH("NA",R272)))</formula>
    </cfRule>
    <cfRule type="cellIs" dxfId="3717" priority="3715" operator="lessThan">
      <formula>-0.05</formula>
    </cfRule>
    <cfRule type="cellIs" dxfId="3716" priority="3716" operator="greaterThan">
      <formula>0.05</formula>
    </cfRule>
  </conditionalFormatting>
  <conditionalFormatting sqref="R273 T273 V273 Y273">
    <cfRule type="cellIs" dxfId="3715" priority="3709" operator="between">
      <formula>-0.05</formula>
      <formula>0.05</formula>
    </cfRule>
    <cfRule type="containsText" dxfId="3714" priority="3710" operator="containsText" text="NA">
      <formula>NOT(ISERROR(SEARCH("NA",R273)))</formula>
    </cfRule>
    <cfRule type="cellIs" dxfId="3713" priority="3711" operator="lessThan">
      <formula>-0.05</formula>
    </cfRule>
    <cfRule type="cellIs" dxfId="3712" priority="3712" operator="greaterThan">
      <formula>0.05</formula>
    </cfRule>
  </conditionalFormatting>
  <conditionalFormatting sqref="R274 T274 V274 Y274">
    <cfRule type="cellIs" dxfId="3711" priority="3705" operator="between">
      <formula>-0.05</formula>
      <formula>0.05</formula>
    </cfRule>
    <cfRule type="containsText" dxfId="3710" priority="3706" operator="containsText" text="NA">
      <formula>NOT(ISERROR(SEARCH("NA",R274)))</formula>
    </cfRule>
    <cfRule type="cellIs" dxfId="3709" priority="3707" operator="lessThan">
      <formula>-0.05</formula>
    </cfRule>
    <cfRule type="cellIs" dxfId="3708" priority="3708" operator="greaterThan">
      <formula>0.05</formula>
    </cfRule>
  </conditionalFormatting>
  <conditionalFormatting sqref="R275 T275 V275 Y275">
    <cfRule type="cellIs" dxfId="3707" priority="3701" operator="between">
      <formula>-0.05</formula>
      <formula>0.05</formula>
    </cfRule>
    <cfRule type="containsText" dxfId="3706" priority="3702" operator="containsText" text="NA">
      <formula>NOT(ISERROR(SEARCH("NA",R275)))</formula>
    </cfRule>
    <cfRule type="cellIs" dxfId="3705" priority="3703" operator="lessThan">
      <formula>-0.05</formula>
    </cfRule>
    <cfRule type="cellIs" dxfId="3704" priority="3704" operator="greaterThan">
      <formula>0.05</formula>
    </cfRule>
  </conditionalFormatting>
  <conditionalFormatting sqref="R276 T276 V276 Y276">
    <cfRule type="cellIs" dxfId="3703" priority="3697" operator="between">
      <formula>-0.05</formula>
      <formula>0.05</formula>
    </cfRule>
    <cfRule type="containsText" dxfId="3702" priority="3698" operator="containsText" text="NA">
      <formula>NOT(ISERROR(SEARCH("NA",R276)))</formula>
    </cfRule>
    <cfRule type="cellIs" dxfId="3701" priority="3699" operator="lessThan">
      <formula>-0.05</formula>
    </cfRule>
    <cfRule type="cellIs" dxfId="3700" priority="3700" operator="greaterThan">
      <formula>0.05</formula>
    </cfRule>
  </conditionalFormatting>
  <conditionalFormatting sqref="R277 T277 V277 Y277">
    <cfRule type="cellIs" dxfId="3699" priority="3693" operator="between">
      <formula>-0.05</formula>
      <formula>0.05</formula>
    </cfRule>
    <cfRule type="containsText" dxfId="3698" priority="3694" operator="containsText" text="NA">
      <formula>NOT(ISERROR(SEARCH("NA",R277)))</formula>
    </cfRule>
    <cfRule type="cellIs" dxfId="3697" priority="3695" operator="lessThan">
      <formula>-0.05</formula>
    </cfRule>
    <cfRule type="cellIs" dxfId="3696" priority="3696" operator="greaterThan">
      <formula>0.05</formula>
    </cfRule>
  </conditionalFormatting>
  <conditionalFormatting sqref="R278 T278 V278 Y278">
    <cfRule type="cellIs" dxfId="3695" priority="3689" operator="between">
      <formula>-0.05</formula>
      <formula>0.05</formula>
    </cfRule>
    <cfRule type="containsText" dxfId="3694" priority="3690" operator="containsText" text="NA">
      <formula>NOT(ISERROR(SEARCH("NA",R278)))</formula>
    </cfRule>
    <cfRule type="cellIs" dxfId="3693" priority="3691" operator="lessThan">
      <formula>-0.05</formula>
    </cfRule>
    <cfRule type="cellIs" dxfId="3692" priority="3692" operator="greaterThan">
      <formula>0.05</formula>
    </cfRule>
  </conditionalFormatting>
  <conditionalFormatting sqref="R279 T279 V279 Y279">
    <cfRule type="cellIs" dxfId="3691" priority="3685" operator="between">
      <formula>-0.05</formula>
      <formula>0.05</formula>
    </cfRule>
    <cfRule type="containsText" dxfId="3690" priority="3686" operator="containsText" text="NA">
      <formula>NOT(ISERROR(SEARCH("NA",R279)))</formula>
    </cfRule>
    <cfRule type="cellIs" dxfId="3689" priority="3687" operator="lessThan">
      <formula>-0.05</formula>
    </cfRule>
    <cfRule type="cellIs" dxfId="3688" priority="3688" operator="greaterThan">
      <formula>0.05</formula>
    </cfRule>
  </conditionalFormatting>
  <conditionalFormatting sqref="R280 T280 V280 Y280">
    <cfRule type="cellIs" dxfId="3687" priority="3681" operator="between">
      <formula>-0.05</formula>
      <formula>0.05</formula>
    </cfRule>
    <cfRule type="containsText" dxfId="3686" priority="3682" operator="containsText" text="NA">
      <formula>NOT(ISERROR(SEARCH("NA",R280)))</formula>
    </cfRule>
    <cfRule type="cellIs" dxfId="3685" priority="3683" operator="lessThan">
      <formula>-0.05</formula>
    </cfRule>
    <cfRule type="cellIs" dxfId="3684" priority="3684" operator="greaterThan">
      <formula>0.05</formula>
    </cfRule>
  </conditionalFormatting>
  <conditionalFormatting sqref="R281 T281 V281 Y281">
    <cfRule type="cellIs" dxfId="3683" priority="3677" operator="between">
      <formula>-0.05</formula>
      <formula>0.05</formula>
    </cfRule>
    <cfRule type="containsText" dxfId="3682" priority="3678" operator="containsText" text="NA">
      <formula>NOT(ISERROR(SEARCH("NA",R281)))</formula>
    </cfRule>
    <cfRule type="cellIs" dxfId="3681" priority="3679" operator="lessThan">
      <formula>-0.05</formula>
    </cfRule>
    <cfRule type="cellIs" dxfId="3680" priority="3680" operator="greaterThan">
      <formula>0.05</formula>
    </cfRule>
  </conditionalFormatting>
  <conditionalFormatting sqref="R282 T282 V282 Y282">
    <cfRule type="cellIs" dxfId="3679" priority="3673" operator="between">
      <formula>-0.05</formula>
      <formula>0.05</formula>
    </cfRule>
    <cfRule type="containsText" dxfId="3678" priority="3674" operator="containsText" text="NA">
      <formula>NOT(ISERROR(SEARCH("NA",R282)))</formula>
    </cfRule>
    <cfRule type="cellIs" dxfId="3677" priority="3675" operator="lessThan">
      <formula>-0.05</formula>
    </cfRule>
    <cfRule type="cellIs" dxfId="3676" priority="3676" operator="greaterThan">
      <formula>0.05</formula>
    </cfRule>
  </conditionalFormatting>
  <conditionalFormatting sqref="R283 T283 V283 Y283">
    <cfRule type="cellIs" dxfId="3675" priority="3669" operator="between">
      <formula>-0.05</formula>
      <formula>0.05</formula>
    </cfRule>
    <cfRule type="containsText" dxfId="3674" priority="3670" operator="containsText" text="NA">
      <formula>NOT(ISERROR(SEARCH("NA",R283)))</formula>
    </cfRule>
    <cfRule type="cellIs" dxfId="3673" priority="3671" operator="lessThan">
      <formula>-0.05</formula>
    </cfRule>
    <cfRule type="cellIs" dxfId="3672" priority="3672" operator="greaterThan">
      <formula>0.05</formula>
    </cfRule>
  </conditionalFormatting>
  <conditionalFormatting sqref="R284 T284 V284 Y284">
    <cfRule type="cellIs" dxfId="3671" priority="3665" operator="between">
      <formula>-0.05</formula>
      <formula>0.05</formula>
    </cfRule>
    <cfRule type="containsText" dxfId="3670" priority="3666" operator="containsText" text="NA">
      <formula>NOT(ISERROR(SEARCH("NA",R284)))</formula>
    </cfRule>
    <cfRule type="cellIs" dxfId="3669" priority="3667" operator="lessThan">
      <formula>-0.05</formula>
    </cfRule>
    <cfRule type="cellIs" dxfId="3668" priority="3668" operator="greaterThan">
      <formula>0.05</formula>
    </cfRule>
  </conditionalFormatting>
  <conditionalFormatting sqref="R285 T285 V285 Y285">
    <cfRule type="cellIs" dxfId="3667" priority="3661" operator="between">
      <formula>-0.05</formula>
      <formula>0.05</formula>
    </cfRule>
    <cfRule type="containsText" dxfId="3666" priority="3662" operator="containsText" text="NA">
      <formula>NOT(ISERROR(SEARCH("NA",R285)))</formula>
    </cfRule>
    <cfRule type="cellIs" dxfId="3665" priority="3663" operator="lessThan">
      <formula>-0.05</formula>
    </cfRule>
    <cfRule type="cellIs" dxfId="3664" priority="3664" operator="greaterThan">
      <formula>0.05</formula>
    </cfRule>
  </conditionalFormatting>
  <conditionalFormatting sqref="R286 T286 V286 Y286">
    <cfRule type="cellIs" dxfId="3663" priority="3657" operator="between">
      <formula>-0.05</formula>
      <formula>0.05</formula>
    </cfRule>
    <cfRule type="containsText" dxfId="3662" priority="3658" operator="containsText" text="NA">
      <formula>NOT(ISERROR(SEARCH("NA",R286)))</formula>
    </cfRule>
    <cfRule type="cellIs" dxfId="3661" priority="3659" operator="lessThan">
      <formula>-0.05</formula>
    </cfRule>
    <cfRule type="cellIs" dxfId="3660" priority="3660" operator="greaterThan">
      <formula>0.05</formula>
    </cfRule>
  </conditionalFormatting>
  <conditionalFormatting sqref="R287 T287 V287 Y287">
    <cfRule type="cellIs" dxfId="3659" priority="3653" operator="between">
      <formula>-0.05</formula>
      <formula>0.05</formula>
    </cfRule>
    <cfRule type="containsText" dxfId="3658" priority="3654" operator="containsText" text="NA">
      <formula>NOT(ISERROR(SEARCH("NA",R287)))</formula>
    </cfRule>
    <cfRule type="cellIs" dxfId="3657" priority="3655" operator="lessThan">
      <formula>-0.05</formula>
    </cfRule>
    <cfRule type="cellIs" dxfId="3656" priority="3656" operator="greaterThan">
      <formula>0.05</formula>
    </cfRule>
  </conditionalFormatting>
  <conditionalFormatting sqref="R288 T288 V288 Y288">
    <cfRule type="cellIs" dxfId="3655" priority="3649" operator="between">
      <formula>-0.05</formula>
      <formula>0.05</formula>
    </cfRule>
    <cfRule type="containsText" dxfId="3654" priority="3650" operator="containsText" text="NA">
      <formula>NOT(ISERROR(SEARCH("NA",R288)))</formula>
    </cfRule>
    <cfRule type="cellIs" dxfId="3653" priority="3651" operator="lessThan">
      <formula>-0.05</formula>
    </cfRule>
    <cfRule type="cellIs" dxfId="3652" priority="3652" operator="greaterThan">
      <formula>0.05</formula>
    </cfRule>
  </conditionalFormatting>
  <conditionalFormatting sqref="R289 T289 V289 Y289">
    <cfRule type="cellIs" dxfId="3651" priority="3645" operator="between">
      <formula>-0.05</formula>
      <formula>0.05</formula>
    </cfRule>
    <cfRule type="containsText" dxfId="3650" priority="3646" operator="containsText" text="NA">
      <formula>NOT(ISERROR(SEARCH("NA",R289)))</formula>
    </cfRule>
    <cfRule type="cellIs" dxfId="3649" priority="3647" operator="lessThan">
      <formula>-0.05</formula>
    </cfRule>
    <cfRule type="cellIs" dxfId="3648" priority="3648" operator="greaterThan">
      <formula>0.05</formula>
    </cfRule>
  </conditionalFormatting>
  <conditionalFormatting sqref="R290 T290 V290 Y290">
    <cfRule type="cellIs" dxfId="3647" priority="3641" operator="between">
      <formula>-0.05</formula>
      <formula>0.05</formula>
    </cfRule>
    <cfRule type="containsText" dxfId="3646" priority="3642" operator="containsText" text="NA">
      <formula>NOT(ISERROR(SEARCH("NA",R290)))</formula>
    </cfRule>
    <cfRule type="cellIs" dxfId="3645" priority="3643" operator="lessThan">
      <formula>-0.05</formula>
    </cfRule>
    <cfRule type="cellIs" dxfId="3644" priority="3644" operator="greaterThan">
      <formula>0.05</formula>
    </cfRule>
  </conditionalFormatting>
  <conditionalFormatting sqref="R291 T291 V291 Y291">
    <cfRule type="cellIs" dxfId="3643" priority="3637" operator="between">
      <formula>-0.05</formula>
      <formula>0.05</formula>
    </cfRule>
    <cfRule type="containsText" dxfId="3642" priority="3638" operator="containsText" text="NA">
      <formula>NOT(ISERROR(SEARCH("NA",R291)))</formula>
    </cfRule>
    <cfRule type="cellIs" dxfId="3641" priority="3639" operator="lessThan">
      <formula>-0.05</formula>
    </cfRule>
    <cfRule type="cellIs" dxfId="3640" priority="3640" operator="greaterThan">
      <formula>0.05</formula>
    </cfRule>
  </conditionalFormatting>
  <conditionalFormatting sqref="R292 T292 V292 Y292">
    <cfRule type="cellIs" dxfId="3639" priority="3633" operator="between">
      <formula>-0.05</formula>
      <formula>0.05</formula>
    </cfRule>
    <cfRule type="containsText" dxfId="3638" priority="3634" operator="containsText" text="NA">
      <formula>NOT(ISERROR(SEARCH("NA",R292)))</formula>
    </cfRule>
    <cfRule type="cellIs" dxfId="3637" priority="3635" operator="lessThan">
      <formula>-0.05</formula>
    </cfRule>
    <cfRule type="cellIs" dxfId="3636" priority="3636" operator="greaterThan">
      <formula>0.05</formula>
    </cfRule>
  </conditionalFormatting>
  <conditionalFormatting sqref="R293 T293 V293 Y293">
    <cfRule type="cellIs" dxfId="3635" priority="3629" operator="between">
      <formula>-0.05</formula>
      <formula>0.05</formula>
    </cfRule>
    <cfRule type="containsText" dxfId="3634" priority="3630" operator="containsText" text="NA">
      <formula>NOT(ISERROR(SEARCH("NA",R293)))</formula>
    </cfRule>
    <cfRule type="cellIs" dxfId="3633" priority="3631" operator="lessThan">
      <formula>-0.05</formula>
    </cfRule>
    <cfRule type="cellIs" dxfId="3632" priority="3632" operator="greaterThan">
      <formula>0.05</formula>
    </cfRule>
  </conditionalFormatting>
  <conditionalFormatting sqref="R294 T294 V294 Y294">
    <cfRule type="cellIs" dxfId="3631" priority="3625" operator="between">
      <formula>-0.05</formula>
      <formula>0.05</formula>
    </cfRule>
    <cfRule type="containsText" dxfId="3630" priority="3626" operator="containsText" text="NA">
      <formula>NOT(ISERROR(SEARCH("NA",R294)))</formula>
    </cfRule>
    <cfRule type="cellIs" dxfId="3629" priority="3627" operator="lessThan">
      <formula>-0.05</formula>
    </cfRule>
    <cfRule type="cellIs" dxfId="3628" priority="3628" operator="greaterThan">
      <formula>0.05</formula>
    </cfRule>
  </conditionalFormatting>
  <conditionalFormatting sqref="R295 T295 V295 Y295">
    <cfRule type="cellIs" dxfId="3627" priority="3621" operator="between">
      <formula>-0.05</formula>
      <formula>0.05</formula>
    </cfRule>
    <cfRule type="containsText" dxfId="3626" priority="3622" operator="containsText" text="NA">
      <formula>NOT(ISERROR(SEARCH("NA",R295)))</formula>
    </cfRule>
    <cfRule type="cellIs" dxfId="3625" priority="3623" operator="lessThan">
      <formula>-0.05</formula>
    </cfRule>
    <cfRule type="cellIs" dxfId="3624" priority="3624" operator="greaterThan">
      <formula>0.05</formula>
    </cfRule>
  </conditionalFormatting>
  <conditionalFormatting sqref="R296 T296 V296 Y296">
    <cfRule type="cellIs" dxfId="3623" priority="3617" operator="between">
      <formula>-0.05</formula>
      <formula>0.05</formula>
    </cfRule>
    <cfRule type="containsText" dxfId="3622" priority="3618" operator="containsText" text="NA">
      <formula>NOT(ISERROR(SEARCH("NA",R296)))</formula>
    </cfRule>
    <cfRule type="cellIs" dxfId="3621" priority="3619" operator="lessThan">
      <formula>-0.05</formula>
    </cfRule>
    <cfRule type="cellIs" dxfId="3620" priority="3620" operator="greaterThan">
      <formula>0.05</formula>
    </cfRule>
  </conditionalFormatting>
  <conditionalFormatting sqref="R297 T297 V297 Y297">
    <cfRule type="cellIs" dxfId="3619" priority="3613" operator="between">
      <formula>-0.05</formula>
      <formula>0.05</formula>
    </cfRule>
    <cfRule type="containsText" dxfId="3618" priority="3614" operator="containsText" text="NA">
      <formula>NOT(ISERROR(SEARCH("NA",R297)))</formula>
    </cfRule>
    <cfRule type="cellIs" dxfId="3617" priority="3615" operator="lessThan">
      <formula>-0.05</formula>
    </cfRule>
    <cfRule type="cellIs" dxfId="3616" priority="3616" operator="greaterThan">
      <formula>0.05</formula>
    </cfRule>
  </conditionalFormatting>
  <conditionalFormatting sqref="R298 T298 V298 Y298">
    <cfRule type="cellIs" dxfId="3615" priority="3609" operator="between">
      <formula>-0.05</formula>
      <formula>0.05</formula>
    </cfRule>
    <cfRule type="containsText" dxfId="3614" priority="3610" operator="containsText" text="NA">
      <formula>NOT(ISERROR(SEARCH("NA",R298)))</formula>
    </cfRule>
    <cfRule type="cellIs" dxfId="3613" priority="3611" operator="lessThan">
      <formula>-0.05</formula>
    </cfRule>
    <cfRule type="cellIs" dxfId="3612" priority="3612" operator="greaterThan">
      <formula>0.05</formula>
    </cfRule>
  </conditionalFormatting>
  <conditionalFormatting sqref="R299 T299 V299 Y299">
    <cfRule type="cellIs" dxfId="3611" priority="3605" operator="between">
      <formula>-0.05</formula>
      <formula>0.05</formula>
    </cfRule>
    <cfRule type="containsText" dxfId="3610" priority="3606" operator="containsText" text="NA">
      <formula>NOT(ISERROR(SEARCH("NA",R299)))</formula>
    </cfRule>
    <cfRule type="cellIs" dxfId="3609" priority="3607" operator="lessThan">
      <formula>-0.05</formula>
    </cfRule>
    <cfRule type="cellIs" dxfId="3608" priority="3608" operator="greaterThan">
      <formula>0.05</formula>
    </cfRule>
  </conditionalFormatting>
  <conditionalFormatting sqref="R300 T300 V300 Y300">
    <cfRule type="cellIs" dxfId="3607" priority="3601" operator="between">
      <formula>-0.05</formula>
      <formula>0.05</formula>
    </cfRule>
    <cfRule type="containsText" dxfId="3606" priority="3602" operator="containsText" text="NA">
      <formula>NOT(ISERROR(SEARCH("NA",R300)))</formula>
    </cfRule>
    <cfRule type="cellIs" dxfId="3605" priority="3603" operator="lessThan">
      <formula>-0.05</formula>
    </cfRule>
    <cfRule type="cellIs" dxfId="3604" priority="3604" operator="greaterThan">
      <formula>0.05</formula>
    </cfRule>
  </conditionalFormatting>
  <conditionalFormatting sqref="R301 T301 V301 Y301">
    <cfRule type="cellIs" dxfId="3603" priority="3597" operator="between">
      <formula>-0.05</formula>
      <formula>0.05</formula>
    </cfRule>
    <cfRule type="containsText" dxfId="3602" priority="3598" operator="containsText" text="NA">
      <formula>NOT(ISERROR(SEARCH("NA",R301)))</formula>
    </cfRule>
    <cfRule type="cellIs" dxfId="3601" priority="3599" operator="lessThan">
      <formula>-0.05</formula>
    </cfRule>
    <cfRule type="cellIs" dxfId="3600" priority="3600" operator="greaterThan">
      <formula>0.05</formula>
    </cfRule>
  </conditionalFormatting>
  <conditionalFormatting sqref="R302 T302 V302 Y302">
    <cfRule type="cellIs" dxfId="3599" priority="3593" operator="between">
      <formula>-0.05</formula>
      <formula>0.05</formula>
    </cfRule>
    <cfRule type="containsText" dxfId="3598" priority="3594" operator="containsText" text="NA">
      <formula>NOT(ISERROR(SEARCH("NA",R302)))</formula>
    </cfRule>
    <cfRule type="cellIs" dxfId="3597" priority="3595" operator="lessThan">
      <formula>-0.05</formula>
    </cfRule>
    <cfRule type="cellIs" dxfId="3596" priority="3596" operator="greaterThan">
      <formula>0.05</formula>
    </cfRule>
  </conditionalFormatting>
  <conditionalFormatting sqref="R303 T303 V303 Y303">
    <cfRule type="cellIs" dxfId="3595" priority="3589" operator="between">
      <formula>-0.05</formula>
      <formula>0.05</formula>
    </cfRule>
    <cfRule type="containsText" dxfId="3594" priority="3590" operator="containsText" text="NA">
      <formula>NOT(ISERROR(SEARCH("NA",R303)))</formula>
    </cfRule>
    <cfRule type="cellIs" dxfId="3593" priority="3591" operator="lessThan">
      <formula>-0.05</formula>
    </cfRule>
    <cfRule type="cellIs" dxfId="3592" priority="3592" operator="greaterThan">
      <formula>0.05</formula>
    </cfRule>
  </conditionalFormatting>
  <conditionalFormatting sqref="R304 T304 V304 Y304">
    <cfRule type="cellIs" dxfId="3591" priority="3585" operator="between">
      <formula>-0.05</formula>
      <formula>0.05</formula>
    </cfRule>
    <cfRule type="containsText" dxfId="3590" priority="3586" operator="containsText" text="NA">
      <formula>NOT(ISERROR(SEARCH("NA",R304)))</formula>
    </cfRule>
    <cfRule type="cellIs" dxfId="3589" priority="3587" operator="lessThan">
      <formula>-0.05</formula>
    </cfRule>
    <cfRule type="cellIs" dxfId="3588" priority="3588" operator="greaterThan">
      <formula>0.05</formula>
    </cfRule>
  </conditionalFormatting>
  <conditionalFormatting sqref="R305 T305 V305 Y305">
    <cfRule type="cellIs" dxfId="3587" priority="3581" operator="between">
      <formula>-0.05</formula>
      <formula>0.05</formula>
    </cfRule>
    <cfRule type="containsText" dxfId="3586" priority="3582" operator="containsText" text="NA">
      <formula>NOT(ISERROR(SEARCH("NA",R305)))</formula>
    </cfRule>
    <cfRule type="cellIs" dxfId="3585" priority="3583" operator="lessThan">
      <formula>-0.05</formula>
    </cfRule>
    <cfRule type="cellIs" dxfId="3584" priority="3584" operator="greaterThan">
      <formula>0.05</formula>
    </cfRule>
  </conditionalFormatting>
  <conditionalFormatting sqref="R306 T306 V306 Y306">
    <cfRule type="cellIs" dxfId="3583" priority="3577" operator="between">
      <formula>-0.05</formula>
      <formula>0.05</formula>
    </cfRule>
    <cfRule type="containsText" dxfId="3582" priority="3578" operator="containsText" text="NA">
      <formula>NOT(ISERROR(SEARCH("NA",R306)))</formula>
    </cfRule>
    <cfRule type="cellIs" dxfId="3581" priority="3579" operator="lessThan">
      <formula>-0.05</formula>
    </cfRule>
    <cfRule type="cellIs" dxfId="3580" priority="3580" operator="greaterThan">
      <formula>0.05</formula>
    </cfRule>
  </conditionalFormatting>
  <conditionalFormatting sqref="R307 T307 V307 Y307">
    <cfRule type="cellIs" dxfId="3579" priority="3573" operator="between">
      <formula>-0.05</formula>
      <formula>0.05</formula>
    </cfRule>
    <cfRule type="containsText" dxfId="3578" priority="3574" operator="containsText" text="NA">
      <formula>NOT(ISERROR(SEARCH("NA",R307)))</formula>
    </cfRule>
    <cfRule type="cellIs" dxfId="3577" priority="3575" operator="lessThan">
      <formula>-0.05</formula>
    </cfRule>
    <cfRule type="cellIs" dxfId="3576" priority="3576" operator="greaterThan">
      <formula>0.05</formula>
    </cfRule>
  </conditionalFormatting>
  <conditionalFormatting sqref="R308 T308 V308 Y308">
    <cfRule type="cellIs" dxfId="3575" priority="3569" operator="between">
      <formula>-0.05</formula>
      <formula>0.05</formula>
    </cfRule>
    <cfRule type="containsText" dxfId="3574" priority="3570" operator="containsText" text="NA">
      <formula>NOT(ISERROR(SEARCH("NA",R308)))</formula>
    </cfRule>
    <cfRule type="cellIs" dxfId="3573" priority="3571" operator="lessThan">
      <formula>-0.05</formula>
    </cfRule>
    <cfRule type="cellIs" dxfId="3572" priority="3572" operator="greaterThan">
      <formula>0.05</formula>
    </cfRule>
  </conditionalFormatting>
  <conditionalFormatting sqref="R309 T309 V309 Y309">
    <cfRule type="cellIs" dxfId="3571" priority="3565" operator="between">
      <formula>-0.05</formula>
      <formula>0.05</formula>
    </cfRule>
    <cfRule type="containsText" dxfId="3570" priority="3566" operator="containsText" text="NA">
      <formula>NOT(ISERROR(SEARCH("NA",R309)))</formula>
    </cfRule>
    <cfRule type="cellIs" dxfId="3569" priority="3567" operator="lessThan">
      <formula>-0.05</formula>
    </cfRule>
    <cfRule type="cellIs" dxfId="3568" priority="3568" operator="greaterThan">
      <formula>0.05</formula>
    </cfRule>
  </conditionalFormatting>
  <conditionalFormatting sqref="R310 T310 V310 Y310">
    <cfRule type="cellIs" dxfId="3567" priority="3561" operator="between">
      <formula>-0.05</formula>
      <formula>0.05</formula>
    </cfRule>
    <cfRule type="containsText" dxfId="3566" priority="3562" operator="containsText" text="NA">
      <formula>NOT(ISERROR(SEARCH("NA",R310)))</formula>
    </cfRule>
    <cfRule type="cellIs" dxfId="3565" priority="3563" operator="lessThan">
      <formula>-0.05</formula>
    </cfRule>
    <cfRule type="cellIs" dxfId="3564" priority="3564" operator="greaterThan">
      <formula>0.05</formula>
    </cfRule>
  </conditionalFormatting>
  <conditionalFormatting sqref="R311 T311 V311 Y311">
    <cfRule type="cellIs" dxfId="3563" priority="3557" operator="between">
      <formula>-0.05</formula>
      <formula>0.05</formula>
    </cfRule>
    <cfRule type="containsText" dxfId="3562" priority="3558" operator="containsText" text="NA">
      <formula>NOT(ISERROR(SEARCH("NA",R311)))</formula>
    </cfRule>
    <cfRule type="cellIs" dxfId="3561" priority="3559" operator="lessThan">
      <formula>-0.05</formula>
    </cfRule>
    <cfRule type="cellIs" dxfId="3560" priority="3560" operator="greaterThan">
      <formula>0.05</formula>
    </cfRule>
  </conditionalFormatting>
  <conditionalFormatting sqref="R312 T312 V312 Y312">
    <cfRule type="cellIs" dxfId="3559" priority="3553" operator="between">
      <formula>-0.05</formula>
      <formula>0.05</formula>
    </cfRule>
    <cfRule type="containsText" dxfId="3558" priority="3554" operator="containsText" text="NA">
      <formula>NOT(ISERROR(SEARCH("NA",R312)))</formula>
    </cfRule>
    <cfRule type="cellIs" dxfId="3557" priority="3555" operator="lessThan">
      <formula>-0.05</formula>
    </cfRule>
    <cfRule type="cellIs" dxfId="3556" priority="3556" operator="greaterThan">
      <formula>0.05</formula>
    </cfRule>
  </conditionalFormatting>
  <conditionalFormatting sqref="R313 T313 V313 Y313">
    <cfRule type="cellIs" dxfId="3555" priority="3549" operator="between">
      <formula>-0.05</formula>
      <formula>0.05</formula>
    </cfRule>
    <cfRule type="containsText" dxfId="3554" priority="3550" operator="containsText" text="NA">
      <formula>NOT(ISERROR(SEARCH("NA",R313)))</formula>
    </cfRule>
    <cfRule type="cellIs" dxfId="3553" priority="3551" operator="lessThan">
      <formula>-0.05</formula>
    </cfRule>
    <cfRule type="cellIs" dxfId="3552" priority="3552" operator="greaterThan">
      <formula>0.05</formula>
    </cfRule>
  </conditionalFormatting>
  <conditionalFormatting sqref="R314 T314 V314 Y314">
    <cfRule type="cellIs" dxfId="3551" priority="3545" operator="between">
      <formula>-0.05</formula>
      <formula>0.05</formula>
    </cfRule>
    <cfRule type="containsText" dxfId="3550" priority="3546" operator="containsText" text="NA">
      <formula>NOT(ISERROR(SEARCH("NA",R314)))</formula>
    </cfRule>
    <cfRule type="cellIs" dxfId="3549" priority="3547" operator="lessThan">
      <formula>-0.05</formula>
    </cfRule>
    <cfRule type="cellIs" dxfId="3548" priority="3548" operator="greaterThan">
      <formula>0.05</formula>
    </cfRule>
  </conditionalFormatting>
  <conditionalFormatting sqref="R315 T315 V315 Y315">
    <cfRule type="cellIs" dxfId="3547" priority="3541" operator="between">
      <formula>-0.05</formula>
      <formula>0.05</formula>
    </cfRule>
    <cfRule type="containsText" dxfId="3546" priority="3542" operator="containsText" text="NA">
      <formula>NOT(ISERROR(SEARCH("NA",R315)))</formula>
    </cfRule>
    <cfRule type="cellIs" dxfId="3545" priority="3543" operator="lessThan">
      <formula>-0.05</formula>
    </cfRule>
    <cfRule type="cellIs" dxfId="3544" priority="3544" operator="greaterThan">
      <formula>0.05</formula>
    </cfRule>
  </conditionalFormatting>
  <conditionalFormatting sqref="R316 T316 V316 Y316">
    <cfRule type="cellIs" dxfId="3543" priority="3537" operator="between">
      <formula>-0.05</formula>
      <formula>0.05</formula>
    </cfRule>
    <cfRule type="containsText" dxfId="3542" priority="3538" operator="containsText" text="NA">
      <formula>NOT(ISERROR(SEARCH("NA",R316)))</formula>
    </cfRule>
    <cfRule type="cellIs" dxfId="3541" priority="3539" operator="lessThan">
      <formula>-0.05</formula>
    </cfRule>
    <cfRule type="cellIs" dxfId="3540" priority="3540" operator="greaterThan">
      <formula>0.05</formula>
    </cfRule>
  </conditionalFormatting>
  <conditionalFormatting sqref="R317 T317 V317 Y317">
    <cfRule type="cellIs" dxfId="3539" priority="3533" operator="between">
      <formula>-0.05</formula>
      <formula>0.05</formula>
    </cfRule>
    <cfRule type="containsText" dxfId="3538" priority="3534" operator="containsText" text="NA">
      <formula>NOT(ISERROR(SEARCH("NA",R317)))</formula>
    </cfRule>
    <cfRule type="cellIs" dxfId="3537" priority="3535" operator="lessThan">
      <formula>-0.05</formula>
    </cfRule>
    <cfRule type="cellIs" dxfId="3536" priority="3536" operator="greaterThan">
      <formula>0.05</formula>
    </cfRule>
  </conditionalFormatting>
  <conditionalFormatting sqref="R318 T318 V318 Y318">
    <cfRule type="cellIs" dxfId="3535" priority="3529" operator="between">
      <formula>-0.05</formula>
      <formula>0.05</formula>
    </cfRule>
    <cfRule type="containsText" dxfId="3534" priority="3530" operator="containsText" text="NA">
      <formula>NOT(ISERROR(SEARCH("NA",R318)))</formula>
    </cfRule>
    <cfRule type="cellIs" dxfId="3533" priority="3531" operator="lessThan">
      <formula>-0.05</formula>
    </cfRule>
    <cfRule type="cellIs" dxfId="3532" priority="3532" operator="greaterThan">
      <formula>0.05</formula>
    </cfRule>
  </conditionalFormatting>
  <conditionalFormatting sqref="R319 T319 V319 Y319">
    <cfRule type="cellIs" dxfId="3531" priority="3525" operator="between">
      <formula>-0.05</formula>
      <formula>0.05</formula>
    </cfRule>
    <cfRule type="containsText" dxfId="3530" priority="3526" operator="containsText" text="NA">
      <formula>NOT(ISERROR(SEARCH("NA",R319)))</formula>
    </cfRule>
    <cfRule type="cellIs" dxfId="3529" priority="3527" operator="lessThan">
      <formula>-0.05</formula>
    </cfRule>
    <cfRule type="cellIs" dxfId="3528" priority="3528" operator="greaterThan">
      <formula>0.05</formula>
    </cfRule>
  </conditionalFormatting>
  <conditionalFormatting sqref="R320 T320 V320 Y320">
    <cfRule type="cellIs" dxfId="3527" priority="3521" operator="between">
      <formula>-0.05</formula>
      <formula>0.05</formula>
    </cfRule>
    <cfRule type="containsText" dxfId="3526" priority="3522" operator="containsText" text="NA">
      <formula>NOT(ISERROR(SEARCH("NA",R320)))</formula>
    </cfRule>
    <cfRule type="cellIs" dxfId="3525" priority="3523" operator="lessThan">
      <formula>-0.05</formula>
    </cfRule>
    <cfRule type="cellIs" dxfId="3524" priority="3524" operator="greaterThan">
      <formula>0.05</formula>
    </cfRule>
  </conditionalFormatting>
  <conditionalFormatting sqref="R321 T321 V321 Y321">
    <cfRule type="cellIs" dxfId="3523" priority="3517" operator="between">
      <formula>-0.05</formula>
      <formula>0.05</formula>
    </cfRule>
    <cfRule type="containsText" dxfId="3522" priority="3518" operator="containsText" text="NA">
      <formula>NOT(ISERROR(SEARCH("NA",R321)))</formula>
    </cfRule>
    <cfRule type="cellIs" dxfId="3521" priority="3519" operator="lessThan">
      <formula>-0.05</formula>
    </cfRule>
    <cfRule type="cellIs" dxfId="3520" priority="3520" operator="greaterThan">
      <formula>0.05</formula>
    </cfRule>
  </conditionalFormatting>
  <conditionalFormatting sqref="R322 T322 V322 Y322">
    <cfRule type="cellIs" dxfId="3519" priority="3513" operator="between">
      <formula>-0.05</formula>
      <formula>0.05</formula>
    </cfRule>
    <cfRule type="containsText" dxfId="3518" priority="3514" operator="containsText" text="NA">
      <formula>NOT(ISERROR(SEARCH("NA",R322)))</formula>
    </cfRule>
    <cfRule type="cellIs" dxfId="3517" priority="3515" operator="lessThan">
      <formula>-0.05</formula>
    </cfRule>
    <cfRule type="cellIs" dxfId="3516" priority="3516" operator="greaterThan">
      <formula>0.05</formula>
    </cfRule>
  </conditionalFormatting>
  <conditionalFormatting sqref="R323 T323 V323 Y323">
    <cfRule type="cellIs" dxfId="3515" priority="3509" operator="between">
      <formula>-0.05</formula>
      <formula>0.05</formula>
    </cfRule>
    <cfRule type="containsText" dxfId="3514" priority="3510" operator="containsText" text="NA">
      <formula>NOT(ISERROR(SEARCH("NA",R323)))</formula>
    </cfRule>
    <cfRule type="cellIs" dxfId="3513" priority="3511" operator="lessThan">
      <formula>-0.05</formula>
    </cfRule>
    <cfRule type="cellIs" dxfId="3512" priority="3512" operator="greaterThan">
      <formula>0.05</formula>
    </cfRule>
  </conditionalFormatting>
  <conditionalFormatting sqref="R324 T324 V324 Y324">
    <cfRule type="cellIs" dxfId="3511" priority="3505" operator="between">
      <formula>-0.05</formula>
      <formula>0.05</formula>
    </cfRule>
    <cfRule type="containsText" dxfId="3510" priority="3506" operator="containsText" text="NA">
      <formula>NOT(ISERROR(SEARCH("NA",R324)))</formula>
    </cfRule>
    <cfRule type="cellIs" dxfId="3509" priority="3507" operator="lessThan">
      <formula>-0.05</formula>
    </cfRule>
    <cfRule type="cellIs" dxfId="3508" priority="3508" operator="greaterThan">
      <formula>0.05</formula>
    </cfRule>
  </conditionalFormatting>
  <conditionalFormatting sqref="R325 T325 V325 Y325">
    <cfRule type="cellIs" dxfId="3507" priority="3501" operator="between">
      <formula>-0.05</formula>
      <formula>0.05</formula>
    </cfRule>
    <cfRule type="containsText" dxfId="3506" priority="3502" operator="containsText" text="NA">
      <formula>NOT(ISERROR(SEARCH("NA",R325)))</formula>
    </cfRule>
    <cfRule type="cellIs" dxfId="3505" priority="3503" operator="lessThan">
      <formula>-0.05</formula>
    </cfRule>
    <cfRule type="cellIs" dxfId="3504" priority="3504" operator="greaterThan">
      <formula>0.05</formula>
    </cfRule>
  </conditionalFormatting>
  <conditionalFormatting sqref="R326 T326 V326 Y326">
    <cfRule type="cellIs" dxfId="3503" priority="3497" operator="between">
      <formula>-0.05</formula>
      <formula>0.05</formula>
    </cfRule>
    <cfRule type="containsText" dxfId="3502" priority="3498" operator="containsText" text="NA">
      <formula>NOT(ISERROR(SEARCH("NA",R326)))</formula>
    </cfRule>
    <cfRule type="cellIs" dxfId="3501" priority="3499" operator="lessThan">
      <formula>-0.05</formula>
    </cfRule>
    <cfRule type="cellIs" dxfId="3500" priority="3500" operator="greaterThan">
      <formula>0.05</formula>
    </cfRule>
  </conditionalFormatting>
  <conditionalFormatting sqref="R327 T327 V327 Y327">
    <cfRule type="cellIs" dxfId="3499" priority="3493" operator="between">
      <formula>-0.05</formula>
      <formula>0.05</formula>
    </cfRule>
    <cfRule type="containsText" dxfId="3498" priority="3494" operator="containsText" text="NA">
      <formula>NOT(ISERROR(SEARCH("NA",R327)))</formula>
    </cfRule>
    <cfRule type="cellIs" dxfId="3497" priority="3495" operator="lessThan">
      <formula>-0.05</formula>
    </cfRule>
    <cfRule type="cellIs" dxfId="3496" priority="3496" operator="greaterThan">
      <formula>0.05</formula>
    </cfRule>
  </conditionalFormatting>
  <conditionalFormatting sqref="R328 T328 V328 Y328">
    <cfRule type="cellIs" dxfId="3495" priority="3489" operator="between">
      <formula>-0.05</formula>
      <formula>0.05</formula>
    </cfRule>
    <cfRule type="containsText" dxfId="3494" priority="3490" operator="containsText" text="NA">
      <formula>NOT(ISERROR(SEARCH("NA",R328)))</formula>
    </cfRule>
    <cfRule type="cellIs" dxfId="3493" priority="3491" operator="lessThan">
      <formula>-0.05</formula>
    </cfRule>
    <cfRule type="cellIs" dxfId="3492" priority="3492" operator="greaterThan">
      <formula>0.05</formula>
    </cfRule>
  </conditionalFormatting>
  <conditionalFormatting sqref="R329 T329 V329 Y329">
    <cfRule type="cellIs" dxfId="3491" priority="3485" operator="between">
      <formula>-0.05</formula>
      <formula>0.05</formula>
    </cfRule>
    <cfRule type="containsText" dxfId="3490" priority="3486" operator="containsText" text="NA">
      <formula>NOT(ISERROR(SEARCH("NA",R329)))</formula>
    </cfRule>
    <cfRule type="cellIs" dxfId="3489" priority="3487" operator="lessThan">
      <formula>-0.05</formula>
    </cfRule>
    <cfRule type="cellIs" dxfId="3488" priority="3488" operator="greaterThan">
      <formula>0.05</formula>
    </cfRule>
  </conditionalFormatting>
  <conditionalFormatting sqref="R330 T330 V330 Y330">
    <cfRule type="cellIs" dxfId="3487" priority="3481" operator="between">
      <formula>-0.05</formula>
      <formula>0.05</formula>
    </cfRule>
    <cfRule type="containsText" dxfId="3486" priority="3482" operator="containsText" text="NA">
      <formula>NOT(ISERROR(SEARCH("NA",R330)))</formula>
    </cfRule>
    <cfRule type="cellIs" dxfId="3485" priority="3483" operator="lessThan">
      <formula>-0.05</formula>
    </cfRule>
    <cfRule type="cellIs" dxfId="3484" priority="3484" operator="greaterThan">
      <formula>0.05</formula>
    </cfRule>
  </conditionalFormatting>
  <conditionalFormatting sqref="R331 T331 V331 Y331">
    <cfRule type="cellIs" dxfId="3483" priority="3477" operator="between">
      <formula>-0.05</formula>
      <formula>0.05</formula>
    </cfRule>
    <cfRule type="containsText" dxfId="3482" priority="3478" operator="containsText" text="NA">
      <formula>NOT(ISERROR(SEARCH("NA",R331)))</formula>
    </cfRule>
    <cfRule type="cellIs" dxfId="3481" priority="3479" operator="lessThan">
      <formula>-0.05</formula>
    </cfRule>
    <cfRule type="cellIs" dxfId="3480" priority="3480" operator="greaterThan">
      <formula>0.05</formula>
    </cfRule>
  </conditionalFormatting>
  <conditionalFormatting sqref="R332 T332 V332 Y332">
    <cfRule type="cellIs" dxfId="3479" priority="3473" operator="between">
      <formula>-0.05</formula>
      <formula>0.05</formula>
    </cfRule>
    <cfRule type="containsText" dxfId="3478" priority="3474" operator="containsText" text="NA">
      <formula>NOT(ISERROR(SEARCH("NA",R332)))</formula>
    </cfRule>
    <cfRule type="cellIs" dxfId="3477" priority="3475" operator="lessThan">
      <formula>-0.05</formula>
    </cfRule>
    <cfRule type="cellIs" dxfId="3476" priority="3476" operator="greaterThan">
      <formula>0.05</formula>
    </cfRule>
  </conditionalFormatting>
  <conditionalFormatting sqref="R333 T333 V333 Y333">
    <cfRule type="cellIs" dxfId="3475" priority="3469" operator="between">
      <formula>-0.05</formula>
      <formula>0.05</formula>
    </cfRule>
    <cfRule type="containsText" dxfId="3474" priority="3470" operator="containsText" text="NA">
      <formula>NOT(ISERROR(SEARCH("NA",R333)))</formula>
    </cfRule>
    <cfRule type="cellIs" dxfId="3473" priority="3471" operator="lessThan">
      <formula>-0.05</formula>
    </cfRule>
    <cfRule type="cellIs" dxfId="3472" priority="3472" operator="greaterThan">
      <formula>0.05</formula>
    </cfRule>
  </conditionalFormatting>
  <conditionalFormatting sqref="R334 T334 V334 Y334">
    <cfRule type="cellIs" dxfId="3471" priority="3465" operator="between">
      <formula>-0.05</formula>
      <formula>0.05</formula>
    </cfRule>
    <cfRule type="containsText" dxfId="3470" priority="3466" operator="containsText" text="NA">
      <formula>NOT(ISERROR(SEARCH("NA",R334)))</formula>
    </cfRule>
    <cfRule type="cellIs" dxfId="3469" priority="3467" operator="lessThan">
      <formula>-0.05</formula>
    </cfRule>
    <cfRule type="cellIs" dxfId="3468" priority="3468" operator="greaterThan">
      <formula>0.05</formula>
    </cfRule>
  </conditionalFormatting>
  <conditionalFormatting sqref="R335 T335 V335 Y335">
    <cfRule type="cellIs" dxfId="3467" priority="3461" operator="between">
      <formula>-0.05</formula>
      <formula>0.05</formula>
    </cfRule>
    <cfRule type="containsText" dxfId="3466" priority="3462" operator="containsText" text="NA">
      <formula>NOT(ISERROR(SEARCH("NA",R335)))</formula>
    </cfRule>
    <cfRule type="cellIs" dxfId="3465" priority="3463" operator="lessThan">
      <formula>-0.05</formula>
    </cfRule>
    <cfRule type="cellIs" dxfId="3464" priority="3464" operator="greaterThan">
      <formula>0.05</formula>
    </cfRule>
  </conditionalFormatting>
  <conditionalFormatting sqref="R336 T336 V336 Y336">
    <cfRule type="cellIs" dxfId="3463" priority="3457" operator="between">
      <formula>-0.05</formula>
      <formula>0.05</formula>
    </cfRule>
    <cfRule type="containsText" dxfId="3462" priority="3458" operator="containsText" text="NA">
      <formula>NOT(ISERROR(SEARCH("NA",R336)))</formula>
    </cfRule>
    <cfRule type="cellIs" dxfId="3461" priority="3459" operator="lessThan">
      <formula>-0.05</formula>
    </cfRule>
    <cfRule type="cellIs" dxfId="3460" priority="3460" operator="greaterThan">
      <formula>0.05</formula>
    </cfRule>
  </conditionalFormatting>
  <conditionalFormatting sqref="R337 T337 V337 Y337">
    <cfRule type="cellIs" dxfId="3459" priority="3453" operator="between">
      <formula>-0.05</formula>
      <formula>0.05</formula>
    </cfRule>
    <cfRule type="containsText" dxfId="3458" priority="3454" operator="containsText" text="NA">
      <formula>NOT(ISERROR(SEARCH("NA",R337)))</formula>
    </cfRule>
    <cfRule type="cellIs" dxfId="3457" priority="3455" operator="lessThan">
      <formula>-0.05</formula>
    </cfRule>
    <cfRule type="cellIs" dxfId="3456" priority="3456" operator="greaterThan">
      <formula>0.05</formula>
    </cfRule>
  </conditionalFormatting>
  <conditionalFormatting sqref="R338 T338 V338 Y338">
    <cfRule type="cellIs" dxfId="3455" priority="3449" operator="between">
      <formula>-0.05</formula>
      <formula>0.05</formula>
    </cfRule>
    <cfRule type="containsText" dxfId="3454" priority="3450" operator="containsText" text="NA">
      <formula>NOT(ISERROR(SEARCH("NA",R338)))</formula>
    </cfRule>
    <cfRule type="cellIs" dxfId="3453" priority="3451" operator="lessThan">
      <formula>-0.05</formula>
    </cfRule>
    <cfRule type="cellIs" dxfId="3452" priority="3452" operator="greaterThan">
      <formula>0.05</formula>
    </cfRule>
  </conditionalFormatting>
  <conditionalFormatting sqref="R339 T339 V339 Y339">
    <cfRule type="cellIs" dxfId="3451" priority="3445" operator="between">
      <formula>-0.05</formula>
      <formula>0.05</formula>
    </cfRule>
    <cfRule type="containsText" dxfId="3450" priority="3446" operator="containsText" text="NA">
      <formula>NOT(ISERROR(SEARCH("NA",R339)))</formula>
    </cfRule>
    <cfRule type="cellIs" dxfId="3449" priority="3447" operator="lessThan">
      <formula>-0.05</formula>
    </cfRule>
    <cfRule type="cellIs" dxfId="3448" priority="3448" operator="greaterThan">
      <formula>0.05</formula>
    </cfRule>
  </conditionalFormatting>
  <conditionalFormatting sqref="R340 T340 V340 Y340">
    <cfRule type="cellIs" dxfId="3447" priority="3441" operator="between">
      <formula>-0.05</formula>
      <formula>0.05</formula>
    </cfRule>
    <cfRule type="containsText" dxfId="3446" priority="3442" operator="containsText" text="NA">
      <formula>NOT(ISERROR(SEARCH("NA",R340)))</formula>
    </cfRule>
    <cfRule type="cellIs" dxfId="3445" priority="3443" operator="lessThan">
      <formula>-0.05</formula>
    </cfRule>
    <cfRule type="cellIs" dxfId="3444" priority="3444" operator="greaterThan">
      <formula>0.05</formula>
    </cfRule>
  </conditionalFormatting>
  <conditionalFormatting sqref="R341 T341 V341 Y341">
    <cfRule type="cellIs" dxfId="3443" priority="3437" operator="between">
      <formula>-0.05</formula>
      <formula>0.05</formula>
    </cfRule>
    <cfRule type="containsText" dxfId="3442" priority="3438" operator="containsText" text="NA">
      <formula>NOT(ISERROR(SEARCH("NA",R341)))</formula>
    </cfRule>
    <cfRule type="cellIs" dxfId="3441" priority="3439" operator="lessThan">
      <formula>-0.05</formula>
    </cfRule>
    <cfRule type="cellIs" dxfId="3440" priority="3440" operator="greaterThan">
      <formula>0.05</formula>
    </cfRule>
  </conditionalFormatting>
  <conditionalFormatting sqref="R342 T342 V342 Y342">
    <cfRule type="cellIs" dxfId="3439" priority="3433" operator="between">
      <formula>-0.05</formula>
      <formula>0.05</formula>
    </cfRule>
    <cfRule type="containsText" dxfId="3438" priority="3434" operator="containsText" text="NA">
      <formula>NOT(ISERROR(SEARCH("NA",R342)))</formula>
    </cfRule>
    <cfRule type="cellIs" dxfId="3437" priority="3435" operator="lessThan">
      <formula>-0.05</formula>
    </cfRule>
    <cfRule type="cellIs" dxfId="3436" priority="3436" operator="greaterThan">
      <formula>0.05</formula>
    </cfRule>
  </conditionalFormatting>
  <conditionalFormatting sqref="R343 T343 V343 Y343">
    <cfRule type="cellIs" dxfId="3435" priority="3429" operator="between">
      <formula>-0.05</formula>
      <formula>0.05</formula>
    </cfRule>
    <cfRule type="containsText" dxfId="3434" priority="3430" operator="containsText" text="NA">
      <formula>NOT(ISERROR(SEARCH("NA",R343)))</formula>
    </cfRule>
    <cfRule type="cellIs" dxfId="3433" priority="3431" operator="lessThan">
      <formula>-0.05</formula>
    </cfRule>
    <cfRule type="cellIs" dxfId="3432" priority="3432" operator="greaterThan">
      <formula>0.05</formula>
    </cfRule>
  </conditionalFormatting>
  <conditionalFormatting sqref="R344 T344 V344 Y344">
    <cfRule type="cellIs" dxfId="3431" priority="3425" operator="between">
      <formula>-0.05</formula>
      <formula>0.05</formula>
    </cfRule>
    <cfRule type="containsText" dxfId="3430" priority="3426" operator="containsText" text="NA">
      <formula>NOT(ISERROR(SEARCH("NA",R344)))</formula>
    </cfRule>
    <cfRule type="cellIs" dxfId="3429" priority="3427" operator="lessThan">
      <formula>-0.05</formula>
    </cfRule>
    <cfRule type="cellIs" dxfId="3428" priority="3428" operator="greaterThan">
      <formula>0.05</formula>
    </cfRule>
  </conditionalFormatting>
  <conditionalFormatting sqref="R345 T345 V345 Y345">
    <cfRule type="cellIs" dxfId="3427" priority="3421" operator="between">
      <formula>-0.05</formula>
      <formula>0.05</formula>
    </cfRule>
    <cfRule type="containsText" dxfId="3426" priority="3422" operator="containsText" text="NA">
      <formula>NOT(ISERROR(SEARCH("NA",R345)))</formula>
    </cfRule>
    <cfRule type="cellIs" dxfId="3425" priority="3423" operator="lessThan">
      <formula>-0.05</formula>
    </cfRule>
    <cfRule type="cellIs" dxfId="3424" priority="3424" operator="greaterThan">
      <formula>0.05</formula>
    </cfRule>
  </conditionalFormatting>
  <conditionalFormatting sqref="R346 T346 V346 Y346">
    <cfRule type="cellIs" dxfId="3423" priority="3417" operator="between">
      <formula>-0.05</formula>
      <formula>0.05</formula>
    </cfRule>
    <cfRule type="containsText" dxfId="3422" priority="3418" operator="containsText" text="NA">
      <formula>NOT(ISERROR(SEARCH("NA",R346)))</formula>
    </cfRule>
    <cfRule type="cellIs" dxfId="3421" priority="3419" operator="lessThan">
      <formula>-0.05</formula>
    </cfRule>
    <cfRule type="cellIs" dxfId="3420" priority="3420" operator="greaterThan">
      <formula>0.05</formula>
    </cfRule>
  </conditionalFormatting>
  <conditionalFormatting sqref="R347 T347 V347 Y347">
    <cfRule type="cellIs" dxfId="3419" priority="3413" operator="between">
      <formula>-0.05</formula>
      <formula>0.05</formula>
    </cfRule>
    <cfRule type="containsText" dxfId="3418" priority="3414" operator="containsText" text="NA">
      <formula>NOT(ISERROR(SEARCH("NA",R347)))</formula>
    </cfRule>
    <cfRule type="cellIs" dxfId="3417" priority="3415" operator="lessThan">
      <formula>-0.05</formula>
    </cfRule>
    <cfRule type="cellIs" dxfId="3416" priority="3416" operator="greaterThan">
      <formula>0.05</formula>
    </cfRule>
  </conditionalFormatting>
  <conditionalFormatting sqref="R348 T348 V348 Y348">
    <cfRule type="cellIs" dxfId="3415" priority="3409" operator="between">
      <formula>-0.05</formula>
      <formula>0.05</formula>
    </cfRule>
    <cfRule type="containsText" dxfId="3414" priority="3410" operator="containsText" text="NA">
      <formula>NOT(ISERROR(SEARCH("NA",R348)))</formula>
    </cfRule>
    <cfRule type="cellIs" dxfId="3413" priority="3411" operator="lessThan">
      <formula>-0.05</formula>
    </cfRule>
    <cfRule type="cellIs" dxfId="3412" priority="3412" operator="greaterThan">
      <formula>0.05</formula>
    </cfRule>
  </conditionalFormatting>
  <conditionalFormatting sqref="R349 T349 V349 Y349">
    <cfRule type="cellIs" dxfId="3411" priority="3405" operator="between">
      <formula>-0.05</formula>
      <formula>0.05</formula>
    </cfRule>
    <cfRule type="containsText" dxfId="3410" priority="3406" operator="containsText" text="NA">
      <formula>NOT(ISERROR(SEARCH("NA",R349)))</formula>
    </cfRule>
    <cfRule type="cellIs" dxfId="3409" priority="3407" operator="lessThan">
      <formula>-0.05</formula>
    </cfRule>
    <cfRule type="cellIs" dxfId="3408" priority="3408" operator="greaterThan">
      <formula>0.05</formula>
    </cfRule>
  </conditionalFormatting>
  <conditionalFormatting sqref="R350 T350 V350 Y350">
    <cfRule type="cellIs" dxfId="3407" priority="3401" operator="between">
      <formula>-0.05</formula>
      <formula>0.05</formula>
    </cfRule>
    <cfRule type="containsText" dxfId="3406" priority="3402" operator="containsText" text="NA">
      <formula>NOT(ISERROR(SEARCH("NA",R350)))</formula>
    </cfRule>
    <cfRule type="cellIs" dxfId="3405" priority="3403" operator="lessThan">
      <formula>-0.05</formula>
    </cfRule>
    <cfRule type="cellIs" dxfId="3404" priority="3404" operator="greaterThan">
      <formula>0.05</formula>
    </cfRule>
  </conditionalFormatting>
  <conditionalFormatting sqref="R351 T351 V351 Y351">
    <cfRule type="cellIs" dxfId="3403" priority="3397" operator="between">
      <formula>-0.05</formula>
      <formula>0.05</formula>
    </cfRule>
    <cfRule type="containsText" dxfId="3402" priority="3398" operator="containsText" text="NA">
      <formula>NOT(ISERROR(SEARCH("NA",R351)))</formula>
    </cfRule>
    <cfRule type="cellIs" dxfId="3401" priority="3399" operator="lessThan">
      <formula>-0.05</formula>
    </cfRule>
    <cfRule type="cellIs" dxfId="3400" priority="3400" operator="greaterThan">
      <formula>0.05</formula>
    </cfRule>
  </conditionalFormatting>
  <conditionalFormatting sqref="R352 T352 V352 Y352">
    <cfRule type="cellIs" dxfId="3399" priority="3393" operator="between">
      <formula>-0.05</formula>
      <formula>0.05</formula>
    </cfRule>
    <cfRule type="containsText" dxfId="3398" priority="3394" operator="containsText" text="NA">
      <formula>NOT(ISERROR(SEARCH("NA",R352)))</formula>
    </cfRule>
    <cfRule type="cellIs" dxfId="3397" priority="3395" operator="lessThan">
      <formula>-0.05</formula>
    </cfRule>
    <cfRule type="cellIs" dxfId="3396" priority="3396" operator="greaterThan">
      <formula>0.05</formula>
    </cfRule>
  </conditionalFormatting>
  <conditionalFormatting sqref="R353 T353 V353 Y353">
    <cfRule type="cellIs" dxfId="3395" priority="3389" operator="between">
      <formula>-0.05</formula>
      <formula>0.05</formula>
    </cfRule>
    <cfRule type="containsText" dxfId="3394" priority="3390" operator="containsText" text="NA">
      <formula>NOT(ISERROR(SEARCH("NA",R353)))</formula>
    </cfRule>
    <cfRule type="cellIs" dxfId="3393" priority="3391" operator="lessThan">
      <formula>-0.05</formula>
    </cfRule>
    <cfRule type="cellIs" dxfId="3392" priority="3392" operator="greaterThan">
      <formula>0.05</formula>
    </cfRule>
  </conditionalFormatting>
  <conditionalFormatting sqref="R354 T354 V354 Y354">
    <cfRule type="cellIs" dxfId="3391" priority="3385" operator="between">
      <formula>-0.05</formula>
      <formula>0.05</formula>
    </cfRule>
    <cfRule type="containsText" dxfId="3390" priority="3386" operator="containsText" text="NA">
      <formula>NOT(ISERROR(SEARCH("NA",R354)))</formula>
    </cfRule>
    <cfRule type="cellIs" dxfId="3389" priority="3387" operator="lessThan">
      <formula>-0.05</formula>
    </cfRule>
    <cfRule type="cellIs" dxfId="3388" priority="3388" operator="greaterThan">
      <formula>0.05</formula>
    </cfRule>
  </conditionalFormatting>
  <conditionalFormatting sqref="R355 T355 V355 Y355">
    <cfRule type="cellIs" dxfId="3387" priority="3381" operator="between">
      <formula>-0.05</formula>
      <formula>0.05</formula>
    </cfRule>
    <cfRule type="containsText" dxfId="3386" priority="3382" operator="containsText" text="NA">
      <formula>NOT(ISERROR(SEARCH("NA",R355)))</formula>
    </cfRule>
    <cfRule type="cellIs" dxfId="3385" priority="3383" operator="lessThan">
      <formula>-0.05</formula>
    </cfRule>
    <cfRule type="cellIs" dxfId="3384" priority="3384" operator="greaterThan">
      <formula>0.05</formula>
    </cfRule>
  </conditionalFormatting>
  <conditionalFormatting sqref="R356 T356 V356 Y356">
    <cfRule type="cellIs" dxfId="3383" priority="3377" operator="between">
      <formula>-0.05</formula>
      <formula>0.05</formula>
    </cfRule>
    <cfRule type="containsText" dxfId="3382" priority="3378" operator="containsText" text="NA">
      <formula>NOT(ISERROR(SEARCH("NA",R356)))</formula>
    </cfRule>
    <cfRule type="cellIs" dxfId="3381" priority="3379" operator="lessThan">
      <formula>-0.05</formula>
    </cfRule>
    <cfRule type="cellIs" dxfId="3380" priority="3380" operator="greaterThan">
      <formula>0.05</formula>
    </cfRule>
  </conditionalFormatting>
  <conditionalFormatting sqref="R357 T357 V357 Y357">
    <cfRule type="cellIs" dxfId="3379" priority="3373" operator="between">
      <formula>-0.05</formula>
      <formula>0.05</formula>
    </cfRule>
    <cfRule type="containsText" dxfId="3378" priority="3374" operator="containsText" text="NA">
      <formula>NOT(ISERROR(SEARCH("NA",R357)))</formula>
    </cfRule>
    <cfRule type="cellIs" dxfId="3377" priority="3375" operator="lessThan">
      <formula>-0.05</formula>
    </cfRule>
    <cfRule type="cellIs" dxfId="3376" priority="3376" operator="greaterThan">
      <formula>0.05</formula>
    </cfRule>
  </conditionalFormatting>
  <conditionalFormatting sqref="R358 T358 V358 Y358">
    <cfRule type="cellIs" dxfId="3375" priority="3369" operator="between">
      <formula>-0.05</formula>
      <formula>0.05</formula>
    </cfRule>
    <cfRule type="containsText" dxfId="3374" priority="3370" operator="containsText" text="NA">
      <formula>NOT(ISERROR(SEARCH("NA",R358)))</formula>
    </cfRule>
    <cfRule type="cellIs" dxfId="3373" priority="3371" operator="lessThan">
      <formula>-0.05</formula>
    </cfRule>
    <cfRule type="cellIs" dxfId="3372" priority="3372" operator="greaterThan">
      <formula>0.05</formula>
    </cfRule>
  </conditionalFormatting>
  <conditionalFormatting sqref="R359 T359 V359 Y359">
    <cfRule type="cellIs" dxfId="3371" priority="3365" operator="between">
      <formula>-0.05</formula>
      <formula>0.05</formula>
    </cfRule>
    <cfRule type="containsText" dxfId="3370" priority="3366" operator="containsText" text="NA">
      <formula>NOT(ISERROR(SEARCH("NA",R359)))</formula>
    </cfRule>
    <cfRule type="cellIs" dxfId="3369" priority="3367" operator="lessThan">
      <formula>-0.05</formula>
    </cfRule>
    <cfRule type="cellIs" dxfId="3368" priority="3368" operator="greaterThan">
      <formula>0.05</formula>
    </cfRule>
  </conditionalFormatting>
  <conditionalFormatting sqref="R360 T360 V360 Y360">
    <cfRule type="cellIs" dxfId="3367" priority="3361" operator="between">
      <formula>-0.05</formula>
      <formula>0.05</formula>
    </cfRule>
    <cfRule type="containsText" dxfId="3366" priority="3362" operator="containsText" text="NA">
      <formula>NOT(ISERROR(SEARCH("NA",R360)))</formula>
    </cfRule>
    <cfRule type="cellIs" dxfId="3365" priority="3363" operator="lessThan">
      <formula>-0.05</formula>
    </cfRule>
    <cfRule type="cellIs" dxfId="3364" priority="3364" operator="greaterThan">
      <formula>0.05</formula>
    </cfRule>
  </conditionalFormatting>
  <conditionalFormatting sqref="R361 T361 V361 Y361">
    <cfRule type="cellIs" dxfId="3363" priority="3357" operator="between">
      <formula>-0.05</formula>
      <formula>0.05</formula>
    </cfRule>
    <cfRule type="containsText" dxfId="3362" priority="3358" operator="containsText" text="NA">
      <formula>NOT(ISERROR(SEARCH("NA",R361)))</formula>
    </cfRule>
    <cfRule type="cellIs" dxfId="3361" priority="3359" operator="lessThan">
      <formula>-0.05</formula>
    </cfRule>
    <cfRule type="cellIs" dxfId="3360" priority="3360" operator="greaterThan">
      <formula>0.05</formula>
    </cfRule>
  </conditionalFormatting>
  <conditionalFormatting sqref="R362 T362 V362 Y362">
    <cfRule type="cellIs" dxfId="3359" priority="3353" operator="between">
      <formula>-0.05</formula>
      <formula>0.05</formula>
    </cfRule>
    <cfRule type="containsText" dxfId="3358" priority="3354" operator="containsText" text="NA">
      <formula>NOT(ISERROR(SEARCH("NA",R362)))</formula>
    </cfRule>
    <cfRule type="cellIs" dxfId="3357" priority="3355" operator="lessThan">
      <formula>-0.05</formula>
    </cfRule>
    <cfRule type="cellIs" dxfId="3356" priority="3356" operator="greaterThan">
      <formula>0.05</formula>
    </cfRule>
  </conditionalFormatting>
  <conditionalFormatting sqref="R363 T363 V363 Y363">
    <cfRule type="cellIs" dxfId="3355" priority="3349" operator="between">
      <formula>-0.05</formula>
      <formula>0.05</formula>
    </cfRule>
    <cfRule type="containsText" dxfId="3354" priority="3350" operator="containsText" text="NA">
      <formula>NOT(ISERROR(SEARCH("NA",R363)))</formula>
    </cfRule>
    <cfRule type="cellIs" dxfId="3353" priority="3351" operator="lessThan">
      <formula>-0.05</formula>
    </cfRule>
    <cfRule type="cellIs" dxfId="3352" priority="3352" operator="greaterThan">
      <formula>0.05</formula>
    </cfRule>
  </conditionalFormatting>
  <conditionalFormatting sqref="R364 T364 V364 Y364">
    <cfRule type="cellIs" dxfId="3351" priority="3345" operator="between">
      <formula>-0.05</formula>
      <formula>0.05</formula>
    </cfRule>
    <cfRule type="containsText" dxfId="3350" priority="3346" operator="containsText" text="NA">
      <formula>NOT(ISERROR(SEARCH("NA",R364)))</formula>
    </cfRule>
    <cfRule type="cellIs" dxfId="3349" priority="3347" operator="lessThan">
      <formula>-0.05</formula>
    </cfRule>
    <cfRule type="cellIs" dxfId="3348" priority="3348" operator="greaterThan">
      <formula>0.05</formula>
    </cfRule>
  </conditionalFormatting>
  <conditionalFormatting sqref="R365 T365 V365 Y365">
    <cfRule type="cellIs" dxfId="3347" priority="3341" operator="between">
      <formula>-0.05</formula>
      <formula>0.05</formula>
    </cfRule>
    <cfRule type="containsText" dxfId="3346" priority="3342" operator="containsText" text="NA">
      <formula>NOT(ISERROR(SEARCH("NA",R365)))</formula>
    </cfRule>
    <cfRule type="cellIs" dxfId="3345" priority="3343" operator="lessThan">
      <formula>-0.05</formula>
    </cfRule>
    <cfRule type="cellIs" dxfId="3344" priority="3344" operator="greaterThan">
      <formula>0.05</formula>
    </cfRule>
  </conditionalFormatting>
  <conditionalFormatting sqref="R366 T366 V366 Y366">
    <cfRule type="cellIs" dxfId="3343" priority="3337" operator="between">
      <formula>-0.05</formula>
      <formula>0.05</formula>
    </cfRule>
    <cfRule type="containsText" dxfId="3342" priority="3338" operator="containsText" text="NA">
      <formula>NOT(ISERROR(SEARCH("NA",R366)))</formula>
    </cfRule>
    <cfRule type="cellIs" dxfId="3341" priority="3339" operator="lessThan">
      <formula>-0.05</formula>
    </cfRule>
    <cfRule type="cellIs" dxfId="3340" priority="3340" operator="greaterThan">
      <formula>0.05</formula>
    </cfRule>
  </conditionalFormatting>
  <conditionalFormatting sqref="R367 T367 V367 Y367">
    <cfRule type="cellIs" dxfId="3339" priority="3333" operator="between">
      <formula>-0.05</formula>
      <formula>0.05</formula>
    </cfRule>
    <cfRule type="containsText" dxfId="3338" priority="3334" operator="containsText" text="NA">
      <formula>NOT(ISERROR(SEARCH("NA",R367)))</formula>
    </cfRule>
    <cfRule type="cellIs" dxfId="3337" priority="3335" operator="lessThan">
      <formula>-0.05</formula>
    </cfRule>
    <cfRule type="cellIs" dxfId="3336" priority="3336" operator="greaterThan">
      <formula>0.05</formula>
    </cfRule>
  </conditionalFormatting>
  <conditionalFormatting sqref="R368 T368 V368 Y368">
    <cfRule type="cellIs" dxfId="3335" priority="3329" operator="between">
      <formula>-0.05</formula>
      <formula>0.05</formula>
    </cfRule>
    <cfRule type="containsText" dxfId="3334" priority="3330" operator="containsText" text="NA">
      <formula>NOT(ISERROR(SEARCH("NA",R368)))</formula>
    </cfRule>
    <cfRule type="cellIs" dxfId="3333" priority="3331" operator="lessThan">
      <formula>-0.05</formula>
    </cfRule>
    <cfRule type="cellIs" dxfId="3332" priority="3332" operator="greaterThan">
      <formula>0.05</formula>
    </cfRule>
  </conditionalFormatting>
  <conditionalFormatting sqref="R369 T369 V369 Y369">
    <cfRule type="cellIs" dxfId="3331" priority="3325" operator="between">
      <formula>-0.05</formula>
      <formula>0.05</formula>
    </cfRule>
    <cfRule type="containsText" dxfId="3330" priority="3326" operator="containsText" text="NA">
      <formula>NOT(ISERROR(SEARCH("NA",R369)))</formula>
    </cfRule>
    <cfRule type="cellIs" dxfId="3329" priority="3327" operator="lessThan">
      <formula>-0.05</formula>
    </cfRule>
    <cfRule type="cellIs" dxfId="3328" priority="3328" operator="greaterThan">
      <formula>0.05</formula>
    </cfRule>
  </conditionalFormatting>
  <conditionalFormatting sqref="R370 T370 V370 Y370">
    <cfRule type="cellIs" dxfId="3327" priority="3321" operator="between">
      <formula>-0.05</formula>
      <formula>0.05</formula>
    </cfRule>
    <cfRule type="containsText" dxfId="3326" priority="3322" operator="containsText" text="NA">
      <formula>NOT(ISERROR(SEARCH("NA",R370)))</formula>
    </cfRule>
    <cfRule type="cellIs" dxfId="3325" priority="3323" operator="lessThan">
      <formula>-0.05</formula>
    </cfRule>
    <cfRule type="cellIs" dxfId="3324" priority="3324" operator="greaterThan">
      <formula>0.05</formula>
    </cfRule>
  </conditionalFormatting>
  <conditionalFormatting sqref="R371 T371 V371 Y371">
    <cfRule type="cellIs" dxfId="3323" priority="3317" operator="between">
      <formula>-0.05</formula>
      <formula>0.05</formula>
    </cfRule>
    <cfRule type="containsText" dxfId="3322" priority="3318" operator="containsText" text="NA">
      <formula>NOT(ISERROR(SEARCH("NA",R371)))</formula>
    </cfRule>
    <cfRule type="cellIs" dxfId="3321" priority="3319" operator="lessThan">
      <formula>-0.05</formula>
    </cfRule>
    <cfRule type="cellIs" dxfId="3320" priority="3320" operator="greaterThan">
      <formula>0.05</formula>
    </cfRule>
  </conditionalFormatting>
  <conditionalFormatting sqref="R372 T372 V372 Y372">
    <cfRule type="cellIs" dxfId="3319" priority="3313" operator="between">
      <formula>-0.05</formula>
      <formula>0.05</formula>
    </cfRule>
    <cfRule type="containsText" dxfId="3318" priority="3314" operator="containsText" text="NA">
      <formula>NOT(ISERROR(SEARCH("NA",R372)))</formula>
    </cfRule>
    <cfRule type="cellIs" dxfId="3317" priority="3315" operator="lessThan">
      <formula>-0.05</formula>
    </cfRule>
    <cfRule type="cellIs" dxfId="3316" priority="3316" operator="greaterThan">
      <formula>0.05</formula>
    </cfRule>
  </conditionalFormatting>
  <conditionalFormatting sqref="R373 T373 V373 Y373">
    <cfRule type="cellIs" dxfId="3315" priority="3309" operator="between">
      <formula>-0.05</formula>
      <formula>0.05</formula>
    </cfRule>
    <cfRule type="containsText" dxfId="3314" priority="3310" operator="containsText" text="NA">
      <formula>NOT(ISERROR(SEARCH("NA",R373)))</formula>
    </cfRule>
    <cfRule type="cellIs" dxfId="3313" priority="3311" operator="lessThan">
      <formula>-0.05</formula>
    </cfRule>
    <cfRule type="cellIs" dxfId="3312" priority="3312" operator="greaterThan">
      <formula>0.05</formula>
    </cfRule>
  </conditionalFormatting>
  <conditionalFormatting sqref="R374 T374 V374 Y374">
    <cfRule type="cellIs" dxfId="3311" priority="3305" operator="between">
      <formula>-0.05</formula>
      <formula>0.05</formula>
    </cfRule>
    <cfRule type="containsText" dxfId="3310" priority="3306" operator="containsText" text="NA">
      <formula>NOT(ISERROR(SEARCH("NA",R374)))</formula>
    </cfRule>
    <cfRule type="cellIs" dxfId="3309" priority="3307" operator="lessThan">
      <formula>-0.05</formula>
    </cfRule>
    <cfRule type="cellIs" dxfId="3308" priority="3308" operator="greaterThan">
      <formula>0.05</formula>
    </cfRule>
  </conditionalFormatting>
  <conditionalFormatting sqref="R375 T375 V375 Y375">
    <cfRule type="cellIs" dxfId="3307" priority="3301" operator="between">
      <formula>-0.05</formula>
      <formula>0.05</formula>
    </cfRule>
    <cfRule type="containsText" dxfId="3306" priority="3302" operator="containsText" text="NA">
      <formula>NOT(ISERROR(SEARCH("NA",R375)))</formula>
    </cfRule>
    <cfRule type="cellIs" dxfId="3305" priority="3303" operator="lessThan">
      <formula>-0.05</formula>
    </cfRule>
    <cfRule type="cellIs" dxfId="3304" priority="3304" operator="greaterThan">
      <formula>0.05</formula>
    </cfRule>
  </conditionalFormatting>
  <conditionalFormatting sqref="R376 T376 V376 Y376">
    <cfRule type="cellIs" dxfId="3303" priority="3297" operator="between">
      <formula>-0.05</formula>
      <formula>0.05</formula>
    </cfRule>
    <cfRule type="containsText" dxfId="3302" priority="3298" operator="containsText" text="NA">
      <formula>NOT(ISERROR(SEARCH("NA",R376)))</formula>
    </cfRule>
    <cfRule type="cellIs" dxfId="3301" priority="3299" operator="lessThan">
      <formula>-0.05</formula>
    </cfRule>
    <cfRule type="cellIs" dxfId="3300" priority="3300" operator="greaterThan">
      <formula>0.05</formula>
    </cfRule>
  </conditionalFormatting>
  <conditionalFormatting sqref="R377 T377 V377 Y377">
    <cfRule type="cellIs" dxfId="3299" priority="3293" operator="between">
      <formula>-0.05</formula>
      <formula>0.05</formula>
    </cfRule>
    <cfRule type="containsText" dxfId="3298" priority="3294" operator="containsText" text="NA">
      <formula>NOT(ISERROR(SEARCH("NA",R377)))</formula>
    </cfRule>
    <cfRule type="cellIs" dxfId="3297" priority="3295" operator="lessThan">
      <formula>-0.05</formula>
    </cfRule>
    <cfRule type="cellIs" dxfId="3296" priority="3296" operator="greaterThan">
      <formula>0.05</formula>
    </cfRule>
  </conditionalFormatting>
  <conditionalFormatting sqref="R378 T378 V378 Y378">
    <cfRule type="cellIs" dxfId="3295" priority="3289" operator="between">
      <formula>-0.05</formula>
      <formula>0.05</formula>
    </cfRule>
    <cfRule type="containsText" dxfId="3294" priority="3290" operator="containsText" text="NA">
      <formula>NOT(ISERROR(SEARCH("NA",R378)))</formula>
    </cfRule>
    <cfRule type="cellIs" dxfId="3293" priority="3291" operator="lessThan">
      <formula>-0.05</formula>
    </cfRule>
    <cfRule type="cellIs" dxfId="3292" priority="3292" operator="greaterThan">
      <formula>0.05</formula>
    </cfRule>
  </conditionalFormatting>
  <conditionalFormatting sqref="R379 T379 V379 Y379">
    <cfRule type="cellIs" dxfId="3291" priority="3285" operator="between">
      <formula>-0.05</formula>
      <formula>0.05</formula>
    </cfRule>
    <cfRule type="containsText" dxfId="3290" priority="3286" operator="containsText" text="NA">
      <formula>NOT(ISERROR(SEARCH("NA",R379)))</formula>
    </cfRule>
    <cfRule type="cellIs" dxfId="3289" priority="3287" operator="lessThan">
      <formula>-0.05</formula>
    </cfRule>
    <cfRule type="cellIs" dxfId="3288" priority="3288" operator="greaterThan">
      <formula>0.05</formula>
    </cfRule>
  </conditionalFormatting>
  <conditionalFormatting sqref="R380 T380 V380 Y380">
    <cfRule type="cellIs" dxfId="3287" priority="3281" operator="between">
      <formula>-0.05</formula>
      <formula>0.05</formula>
    </cfRule>
    <cfRule type="containsText" dxfId="3286" priority="3282" operator="containsText" text="NA">
      <formula>NOT(ISERROR(SEARCH("NA",R380)))</formula>
    </cfRule>
    <cfRule type="cellIs" dxfId="3285" priority="3283" operator="lessThan">
      <formula>-0.05</formula>
    </cfRule>
    <cfRule type="cellIs" dxfId="3284" priority="3284" operator="greaterThan">
      <formula>0.05</formula>
    </cfRule>
  </conditionalFormatting>
  <conditionalFormatting sqref="R381 T381 V381 Y381">
    <cfRule type="cellIs" dxfId="3283" priority="3277" operator="between">
      <formula>-0.05</formula>
      <formula>0.05</formula>
    </cfRule>
    <cfRule type="containsText" dxfId="3282" priority="3278" operator="containsText" text="NA">
      <formula>NOT(ISERROR(SEARCH("NA",R381)))</formula>
    </cfRule>
    <cfRule type="cellIs" dxfId="3281" priority="3279" operator="lessThan">
      <formula>-0.05</formula>
    </cfRule>
    <cfRule type="cellIs" dxfId="3280" priority="3280" operator="greaterThan">
      <formula>0.05</formula>
    </cfRule>
  </conditionalFormatting>
  <conditionalFormatting sqref="R382 T382 V382 Y382">
    <cfRule type="cellIs" dxfId="3279" priority="3273" operator="between">
      <formula>-0.05</formula>
      <formula>0.05</formula>
    </cfRule>
    <cfRule type="containsText" dxfId="3278" priority="3274" operator="containsText" text="NA">
      <formula>NOT(ISERROR(SEARCH("NA",R382)))</formula>
    </cfRule>
    <cfRule type="cellIs" dxfId="3277" priority="3275" operator="lessThan">
      <formula>-0.05</formula>
    </cfRule>
    <cfRule type="cellIs" dxfId="3276" priority="3276" operator="greaterThan">
      <formula>0.05</formula>
    </cfRule>
  </conditionalFormatting>
  <conditionalFormatting sqref="R383 T383 V383 Y383">
    <cfRule type="cellIs" dxfId="3275" priority="3269" operator="between">
      <formula>-0.05</formula>
      <formula>0.05</formula>
    </cfRule>
    <cfRule type="containsText" dxfId="3274" priority="3270" operator="containsText" text="NA">
      <formula>NOT(ISERROR(SEARCH("NA",R383)))</formula>
    </cfRule>
    <cfRule type="cellIs" dxfId="3273" priority="3271" operator="lessThan">
      <formula>-0.05</formula>
    </cfRule>
    <cfRule type="cellIs" dxfId="3272" priority="3272" operator="greaterThan">
      <formula>0.05</formula>
    </cfRule>
  </conditionalFormatting>
  <conditionalFormatting sqref="R384 T384 V384 Y384">
    <cfRule type="cellIs" dxfId="3271" priority="3265" operator="between">
      <formula>-0.05</formula>
      <formula>0.05</formula>
    </cfRule>
    <cfRule type="containsText" dxfId="3270" priority="3266" operator="containsText" text="NA">
      <formula>NOT(ISERROR(SEARCH("NA",R384)))</formula>
    </cfRule>
    <cfRule type="cellIs" dxfId="3269" priority="3267" operator="lessThan">
      <formula>-0.05</formula>
    </cfRule>
    <cfRule type="cellIs" dxfId="3268" priority="3268" operator="greaterThan">
      <formula>0.05</formula>
    </cfRule>
  </conditionalFormatting>
  <conditionalFormatting sqref="R385 T385 V385 Y385">
    <cfRule type="cellIs" dxfId="3267" priority="3261" operator="between">
      <formula>-0.05</formula>
      <formula>0.05</formula>
    </cfRule>
    <cfRule type="containsText" dxfId="3266" priority="3262" operator="containsText" text="NA">
      <formula>NOT(ISERROR(SEARCH("NA",R385)))</formula>
    </cfRule>
    <cfRule type="cellIs" dxfId="3265" priority="3263" operator="lessThan">
      <formula>-0.05</formula>
    </cfRule>
    <cfRule type="cellIs" dxfId="3264" priority="3264" operator="greaterThan">
      <formula>0.05</formula>
    </cfRule>
  </conditionalFormatting>
  <conditionalFormatting sqref="R386 T386 V386 Y386">
    <cfRule type="cellIs" dxfId="3263" priority="3257" operator="between">
      <formula>-0.05</formula>
      <formula>0.05</formula>
    </cfRule>
    <cfRule type="containsText" dxfId="3262" priority="3258" operator="containsText" text="NA">
      <formula>NOT(ISERROR(SEARCH("NA",R386)))</formula>
    </cfRule>
    <cfRule type="cellIs" dxfId="3261" priority="3259" operator="lessThan">
      <formula>-0.05</formula>
    </cfRule>
    <cfRule type="cellIs" dxfId="3260" priority="3260" operator="greaterThan">
      <formula>0.05</formula>
    </cfRule>
  </conditionalFormatting>
  <conditionalFormatting sqref="R387 T387 V387 Y387">
    <cfRule type="cellIs" dxfId="3259" priority="3253" operator="between">
      <formula>-0.05</formula>
      <formula>0.05</formula>
    </cfRule>
    <cfRule type="containsText" dxfId="3258" priority="3254" operator="containsText" text="NA">
      <formula>NOT(ISERROR(SEARCH("NA",R387)))</formula>
    </cfRule>
    <cfRule type="cellIs" dxfId="3257" priority="3255" operator="lessThan">
      <formula>-0.05</formula>
    </cfRule>
    <cfRule type="cellIs" dxfId="3256" priority="3256" operator="greaterThan">
      <formula>0.05</formula>
    </cfRule>
  </conditionalFormatting>
  <conditionalFormatting sqref="R388 T388 V388 Y388">
    <cfRule type="cellIs" dxfId="3255" priority="3249" operator="between">
      <formula>-0.05</formula>
      <formula>0.05</formula>
    </cfRule>
    <cfRule type="containsText" dxfId="3254" priority="3250" operator="containsText" text="NA">
      <formula>NOT(ISERROR(SEARCH("NA",R388)))</formula>
    </cfRule>
    <cfRule type="cellIs" dxfId="3253" priority="3251" operator="lessThan">
      <formula>-0.05</formula>
    </cfRule>
    <cfRule type="cellIs" dxfId="3252" priority="3252" operator="greaterThan">
      <formula>0.05</formula>
    </cfRule>
  </conditionalFormatting>
  <conditionalFormatting sqref="R389 T389 V389 Y389">
    <cfRule type="cellIs" dxfId="3251" priority="3245" operator="between">
      <formula>-0.05</formula>
      <formula>0.05</formula>
    </cfRule>
    <cfRule type="containsText" dxfId="3250" priority="3246" operator="containsText" text="NA">
      <formula>NOT(ISERROR(SEARCH("NA",R389)))</formula>
    </cfRule>
    <cfRule type="cellIs" dxfId="3249" priority="3247" operator="lessThan">
      <formula>-0.05</formula>
    </cfRule>
    <cfRule type="cellIs" dxfId="3248" priority="3248" operator="greaterThan">
      <formula>0.05</formula>
    </cfRule>
  </conditionalFormatting>
  <conditionalFormatting sqref="R390 T390 V390 Y390">
    <cfRule type="cellIs" dxfId="3247" priority="3241" operator="between">
      <formula>-0.05</formula>
      <formula>0.05</formula>
    </cfRule>
    <cfRule type="containsText" dxfId="3246" priority="3242" operator="containsText" text="NA">
      <formula>NOT(ISERROR(SEARCH("NA",R390)))</formula>
    </cfRule>
    <cfRule type="cellIs" dxfId="3245" priority="3243" operator="lessThan">
      <formula>-0.05</formula>
    </cfRule>
    <cfRule type="cellIs" dxfId="3244" priority="3244" operator="greaterThan">
      <formula>0.05</formula>
    </cfRule>
  </conditionalFormatting>
  <conditionalFormatting sqref="R391 T391 V391 Y391">
    <cfRule type="cellIs" dxfId="3243" priority="3237" operator="between">
      <formula>-0.05</formula>
      <formula>0.05</formula>
    </cfRule>
    <cfRule type="containsText" dxfId="3242" priority="3238" operator="containsText" text="NA">
      <formula>NOT(ISERROR(SEARCH("NA",R391)))</formula>
    </cfRule>
    <cfRule type="cellIs" dxfId="3241" priority="3239" operator="lessThan">
      <formula>-0.05</formula>
    </cfRule>
    <cfRule type="cellIs" dxfId="3240" priority="3240" operator="greaterThan">
      <formula>0.05</formula>
    </cfRule>
  </conditionalFormatting>
  <conditionalFormatting sqref="R392 T392 V392 Y392">
    <cfRule type="cellIs" dxfId="3239" priority="3233" operator="between">
      <formula>-0.05</formula>
      <formula>0.05</formula>
    </cfRule>
    <cfRule type="containsText" dxfId="3238" priority="3234" operator="containsText" text="NA">
      <formula>NOT(ISERROR(SEARCH("NA",R392)))</formula>
    </cfRule>
    <cfRule type="cellIs" dxfId="3237" priority="3235" operator="lessThan">
      <formula>-0.05</formula>
    </cfRule>
    <cfRule type="cellIs" dxfId="3236" priority="3236" operator="greaterThan">
      <formula>0.05</formula>
    </cfRule>
  </conditionalFormatting>
  <conditionalFormatting sqref="R393 T393 V393 Y393">
    <cfRule type="cellIs" dxfId="3235" priority="3229" operator="between">
      <formula>-0.05</formula>
      <formula>0.05</formula>
    </cfRule>
    <cfRule type="containsText" dxfId="3234" priority="3230" operator="containsText" text="NA">
      <formula>NOT(ISERROR(SEARCH("NA",R393)))</formula>
    </cfRule>
    <cfRule type="cellIs" dxfId="3233" priority="3231" operator="lessThan">
      <formula>-0.05</formula>
    </cfRule>
    <cfRule type="cellIs" dxfId="3232" priority="3232" operator="greaterThan">
      <formula>0.05</formula>
    </cfRule>
  </conditionalFormatting>
  <conditionalFormatting sqref="R394 T394 V394 Y394">
    <cfRule type="cellIs" dxfId="3231" priority="3225" operator="between">
      <formula>-0.05</formula>
      <formula>0.05</formula>
    </cfRule>
    <cfRule type="containsText" dxfId="3230" priority="3226" operator="containsText" text="NA">
      <formula>NOT(ISERROR(SEARCH("NA",R394)))</formula>
    </cfRule>
    <cfRule type="cellIs" dxfId="3229" priority="3227" operator="lessThan">
      <formula>-0.05</formula>
    </cfRule>
    <cfRule type="cellIs" dxfId="3228" priority="3228" operator="greaterThan">
      <formula>0.05</formula>
    </cfRule>
  </conditionalFormatting>
  <conditionalFormatting sqref="R395 T395 V395 Y395">
    <cfRule type="cellIs" dxfId="3227" priority="3221" operator="between">
      <formula>-0.05</formula>
      <formula>0.05</formula>
    </cfRule>
    <cfRule type="containsText" dxfId="3226" priority="3222" operator="containsText" text="NA">
      <formula>NOT(ISERROR(SEARCH("NA",R395)))</formula>
    </cfRule>
    <cfRule type="cellIs" dxfId="3225" priority="3223" operator="lessThan">
      <formula>-0.05</formula>
    </cfRule>
    <cfRule type="cellIs" dxfId="3224" priority="3224" operator="greaterThan">
      <formula>0.05</formula>
    </cfRule>
  </conditionalFormatting>
  <conditionalFormatting sqref="R396 T396 V396 Y396">
    <cfRule type="cellIs" dxfId="3223" priority="3217" operator="between">
      <formula>-0.05</formula>
      <formula>0.05</formula>
    </cfRule>
    <cfRule type="containsText" dxfId="3222" priority="3218" operator="containsText" text="NA">
      <formula>NOT(ISERROR(SEARCH("NA",R396)))</formula>
    </cfRule>
    <cfRule type="cellIs" dxfId="3221" priority="3219" operator="lessThan">
      <formula>-0.05</formula>
    </cfRule>
    <cfRule type="cellIs" dxfId="3220" priority="3220" operator="greaterThan">
      <formula>0.05</formula>
    </cfRule>
  </conditionalFormatting>
  <conditionalFormatting sqref="R397 T397 V397 Y397">
    <cfRule type="cellIs" dxfId="3219" priority="3213" operator="between">
      <formula>-0.05</formula>
      <formula>0.05</formula>
    </cfRule>
    <cfRule type="containsText" dxfId="3218" priority="3214" operator="containsText" text="NA">
      <formula>NOT(ISERROR(SEARCH("NA",R397)))</formula>
    </cfRule>
    <cfRule type="cellIs" dxfId="3217" priority="3215" operator="lessThan">
      <formula>-0.05</formula>
    </cfRule>
    <cfRule type="cellIs" dxfId="3216" priority="3216" operator="greaterThan">
      <formula>0.05</formula>
    </cfRule>
  </conditionalFormatting>
  <conditionalFormatting sqref="R398 T398 V398 Y398">
    <cfRule type="cellIs" dxfId="3215" priority="3209" operator="between">
      <formula>-0.05</formula>
      <formula>0.05</formula>
    </cfRule>
    <cfRule type="containsText" dxfId="3214" priority="3210" operator="containsText" text="NA">
      <formula>NOT(ISERROR(SEARCH("NA",R398)))</formula>
    </cfRule>
    <cfRule type="cellIs" dxfId="3213" priority="3211" operator="lessThan">
      <formula>-0.05</formula>
    </cfRule>
    <cfRule type="cellIs" dxfId="3212" priority="3212" operator="greaterThan">
      <formula>0.05</formula>
    </cfRule>
  </conditionalFormatting>
  <conditionalFormatting sqref="R399 T399 V399 Y399">
    <cfRule type="cellIs" dxfId="3211" priority="3205" operator="between">
      <formula>-0.05</formula>
      <formula>0.05</formula>
    </cfRule>
    <cfRule type="containsText" dxfId="3210" priority="3206" operator="containsText" text="NA">
      <formula>NOT(ISERROR(SEARCH("NA",R399)))</formula>
    </cfRule>
    <cfRule type="cellIs" dxfId="3209" priority="3207" operator="lessThan">
      <formula>-0.05</formula>
    </cfRule>
    <cfRule type="cellIs" dxfId="3208" priority="3208" operator="greaterThan">
      <formula>0.05</formula>
    </cfRule>
  </conditionalFormatting>
  <conditionalFormatting sqref="R400 T400 V400 Y400">
    <cfRule type="cellIs" dxfId="3207" priority="3201" operator="between">
      <formula>-0.05</formula>
      <formula>0.05</formula>
    </cfRule>
    <cfRule type="containsText" dxfId="3206" priority="3202" operator="containsText" text="NA">
      <formula>NOT(ISERROR(SEARCH("NA",R400)))</formula>
    </cfRule>
    <cfRule type="cellIs" dxfId="3205" priority="3203" operator="lessThan">
      <formula>-0.05</formula>
    </cfRule>
    <cfRule type="cellIs" dxfId="3204" priority="3204" operator="greaterThan">
      <formula>0.05</formula>
    </cfRule>
  </conditionalFormatting>
  <conditionalFormatting sqref="R401 T401 V401 Y401">
    <cfRule type="cellIs" dxfId="3203" priority="3197" operator="between">
      <formula>-0.05</formula>
      <formula>0.05</formula>
    </cfRule>
    <cfRule type="containsText" dxfId="3202" priority="3198" operator="containsText" text="NA">
      <formula>NOT(ISERROR(SEARCH("NA",R401)))</formula>
    </cfRule>
    <cfRule type="cellIs" dxfId="3201" priority="3199" operator="lessThan">
      <formula>-0.05</formula>
    </cfRule>
    <cfRule type="cellIs" dxfId="3200" priority="3200" operator="greaterThan">
      <formula>0.05</formula>
    </cfRule>
  </conditionalFormatting>
  <conditionalFormatting sqref="R402 T402 V402 Y402">
    <cfRule type="cellIs" dxfId="3199" priority="3193" operator="between">
      <formula>-0.05</formula>
      <formula>0.05</formula>
    </cfRule>
    <cfRule type="containsText" dxfId="3198" priority="3194" operator="containsText" text="NA">
      <formula>NOT(ISERROR(SEARCH("NA",R402)))</formula>
    </cfRule>
    <cfRule type="cellIs" dxfId="3197" priority="3195" operator="lessThan">
      <formula>-0.05</formula>
    </cfRule>
    <cfRule type="cellIs" dxfId="3196" priority="3196" operator="greaterThan">
      <formula>0.05</formula>
    </cfRule>
  </conditionalFormatting>
  <conditionalFormatting sqref="R403 T403 V403 Y403">
    <cfRule type="cellIs" dxfId="3195" priority="3189" operator="between">
      <formula>-0.05</formula>
      <formula>0.05</formula>
    </cfRule>
    <cfRule type="containsText" dxfId="3194" priority="3190" operator="containsText" text="NA">
      <formula>NOT(ISERROR(SEARCH("NA",R403)))</formula>
    </cfRule>
    <cfRule type="cellIs" dxfId="3193" priority="3191" operator="lessThan">
      <formula>-0.05</formula>
    </cfRule>
    <cfRule type="cellIs" dxfId="3192" priority="3192" operator="greaterThan">
      <formula>0.05</formula>
    </cfRule>
  </conditionalFormatting>
  <conditionalFormatting sqref="R404 T404 V404 Y404">
    <cfRule type="cellIs" dxfId="3191" priority="3185" operator="between">
      <formula>-0.05</formula>
      <formula>0.05</formula>
    </cfRule>
    <cfRule type="containsText" dxfId="3190" priority="3186" operator="containsText" text="NA">
      <formula>NOT(ISERROR(SEARCH("NA",R404)))</formula>
    </cfRule>
    <cfRule type="cellIs" dxfId="3189" priority="3187" operator="lessThan">
      <formula>-0.05</formula>
    </cfRule>
    <cfRule type="cellIs" dxfId="3188" priority="3188" operator="greaterThan">
      <formula>0.05</formula>
    </cfRule>
  </conditionalFormatting>
  <conditionalFormatting sqref="R405 T405 V405 Y405">
    <cfRule type="cellIs" dxfId="3187" priority="3181" operator="between">
      <formula>-0.05</formula>
      <formula>0.05</formula>
    </cfRule>
    <cfRule type="containsText" dxfId="3186" priority="3182" operator="containsText" text="NA">
      <formula>NOT(ISERROR(SEARCH("NA",R405)))</formula>
    </cfRule>
    <cfRule type="cellIs" dxfId="3185" priority="3183" operator="lessThan">
      <formula>-0.05</formula>
    </cfRule>
    <cfRule type="cellIs" dxfId="3184" priority="3184" operator="greaterThan">
      <formula>0.05</formula>
    </cfRule>
  </conditionalFormatting>
  <conditionalFormatting sqref="R406 T406 V406 Y406">
    <cfRule type="cellIs" dxfId="3183" priority="3177" operator="between">
      <formula>-0.05</formula>
      <formula>0.05</formula>
    </cfRule>
    <cfRule type="containsText" dxfId="3182" priority="3178" operator="containsText" text="NA">
      <formula>NOT(ISERROR(SEARCH("NA",R406)))</formula>
    </cfRule>
    <cfRule type="cellIs" dxfId="3181" priority="3179" operator="lessThan">
      <formula>-0.05</formula>
    </cfRule>
    <cfRule type="cellIs" dxfId="3180" priority="3180" operator="greaterThan">
      <formula>0.05</formula>
    </cfRule>
  </conditionalFormatting>
  <conditionalFormatting sqref="R407 T407 V407 Y407">
    <cfRule type="cellIs" dxfId="3179" priority="3173" operator="between">
      <formula>-0.05</formula>
      <formula>0.05</formula>
    </cfRule>
    <cfRule type="containsText" dxfId="3178" priority="3174" operator="containsText" text="NA">
      <formula>NOT(ISERROR(SEARCH("NA",R407)))</formula>
    </cfRule>
    <cfRule type="cellIs" dxfId="3177" priority="3175" operator="lessThan">
      <formula>-0.05</formula>
    </cfRule>
    <cfRule type="cellIs" dxfId="3176" priority="3176" operator="greaterThan">
      <formula>0.05</formula>
    </cfRule>
  </conditionalFormatting>
  <conditionalFormatting sqref="R408 T408 V408 Y408">
    <cfRule type="cellIs" dxfId="3175" priority="3169" operator="between">
      <formula>-0.05</formula>
      <formula>0.05</formula>
    </cfRule>
    <cfRule type="containsText" dxfId="3174" priority="3170" operator="containsText" text="NA">
      <formula>NOT(ISERROR(SEARCH("NA",R408)))</formula>
    </cfRule>
    <cfRule type="cellIs" dxfId="3173" priority="3171" operator="lessThan">
      <formula>-0.05</formula>
    </cfRule>
    <cfRule type="cellIs" dxfId="3172" priority="3172" operator="greaterThan">
      <formula>0.05</formula>
    </cfRule>
  </conditionalFormatting>
  <conditionalFormatting sqref="R409 T409 V409 Y409">
    <cfRule type="cellIs" dxfId="3171" priority="3165" operator="between">
      <formula>-0.05</formula>
      <formula>0.05</formula>
    </cfRule>
    <cfRule type="containsText" dxfId="3170" priority="3166" operator="containsText" text="NA">
      <formula>NOT(ISERROR(SEARCH("NA",R409)))</formula>
    </cfRule>
    <cfRule type="cellIs" dxfId="3169" priority="3167" operator="lessThan">
      <formula>-0.05</formula>
    </cfRule>
    <cfRule type="cellIs" dxfId="3168" priority="3168" operator="greaterThan">
      <formula>0.05</formula>
    </cfRule>
  </conditionalFormatting>
  <conditionalFormatting sqref="R410 T410 V410 Y410">
    <cfRule type="cellIs" dxfId="3167" priority="3161" operator="between">
      <formula>-0.05</formula>
      <formula>0.05</formula>
    </cfRule>
    <cfRule type="containsText" dxfId="3166" priority="3162" operator="containsText" text="NA">
      <formula>NOT(ISERROR(SEARCH("NA",R410)))</formula>
    </cfRule>
    <cfRule type="cellIs" dxfId="3165" priority="3163" operator="lessThan">
      <formula>-0.05</formula>
    </cfRule>
    <cfRule type="cellIs" dxfId="3164" priority="3164" operator="greaterThan">
      <formula>0.05</formula>
    </cfRule>
  </conditionalFormatting>
  <conditionalFormatting sqref="R411 T411 V411 Y411">
    <cfRule type="cellIs" dxfId="3163" priority="3157" operator="between">
      <formula>-0.05</formula>
      <formula>0.05</formula>
    </cfRule>
    <cfRule type="containsText" dxfId="3162" priority="3158" operator="containsText" text="NA">
      <formula>NOT(ISERROR(SEARCH("NA",R411)))</formula>
    </cfRule>
    <cfRule type="cellIs" dxfId="3161" priority="3159" operator="lessThan">
      <formula>-0.05</formula>
    </cfRule>
    <cfRule type="cellIs" dxfId="3160" priority="3160" operator="greaterThan">
      <formula>0.05</formula>
    </cfRule>
  </conditionalFormatting>
  <conditionalFormatting sqref="R412 T412 V412 Y412">
    <cfRule type="cellIs" dxfId="3159" priority="3153" operator="between">
      <formula>-0.05</formula>
      <formula>0.05</formula>
    </cfRule>
    <cfRule type="containsText" dxfId="3158" priority="3154" operator="containsText" text="NA">
      <formula>NOT(ISERROR(SEARCH("NA",R412)))</formula>
    </cfRule>
    <cfRule type="cellIs" dxfId="3157" priority="3155" operator="lessThan">
      <formula>-0.05</formula>
    </cfRule>
    <cfRule type="cellIs" dxfId="3156" priority="3156" operator="greaterThan">
      <formula>0.05</formula>
    </cfRule>
  </conditionalFormatting>
  <conditionalFormatting sqref="R413 T413 V413 Y413">
    <cfRule type="cellIs" dxfId="3155" priority="3149" operator="between">
      <formula>-0.05</formula>
      <formula>0.05</formula>
    </cfRule>
    <cfRule type="containsText" dxfId="3154" priority="3150" operator="containsText" text="NA">
      <formula>NOT(ISERROR(SEARCH("NA",R413)))</formula>
    </cfRule>
    <cfRule type="cellIs" dxfId="3153" priority="3151" operator="lessThan">
      <formula>-0.05</formula>
    </cfRule>
    <cfRule type="cellIs" dxfId="3152" priority="3152" operator="greaterThan">
      <formula>0.05</formula>
    </cfRule>
  </conditionalFormatting>
  <conditionalFormatting sqref="R414 T414 V414 Y414">
    <cfRule type="cellIs" dxfId="3151" priority="3145" operator="between">
      <formula>-0.05</formula>
      <formula>0.05</formula>
    </cfRule>
    <cfRule type="containsText" dxfId="3150" priority="3146" operator="containsText" text="NA">
      <formula>NOT(ISERROR(SEARCH("NA",R414)))</formula>
    </cfRule>
    <cfRule type="cellIs" dxfId="3149" priority="3147" operator="lessThan">
      <formula>-0.05</formula>
    </cfRule>
    <cfRule type="cellIs" dxfId="3148" priority="3148" operator="greaterThan">
      <formula>0.05</formula>
    </cfRule>
  </conditionalFormatting>
  <conditionalFormatting sqref="R415 T415 V415 Y415">
    <cfRule type="cellIs" dxfId="3147" priority="3141" operator="between">
      <formula>-0.05</formula>
      <formula>0.05</formula>
    </cfRule>
    <cfRule type="containsText" dxfId="3146" priority="3142" operator="containsText" text="NA">
      <formula>NOT(ISERROR(SEARCH("NA",R415)))</formula>
    </cfRule>
    <cfRule type="cellIs" dxfId="3145" priority="3143" operator="lessThan">
      <formula>-0.05</formula>
    </cfRule>
    <cfRule type="cellIs" dxfId="3144" priority="3144" operator="greaterThan">
      <formula>0.05</formula>
    </cfRule>
  </conditionalFormatting>
  <conditionalFormatting sqref="R416 T416 V416 Y416">
    <cfRule type="cellIs" dxfId="3143" priority="3137" operator="between">
      <formula>-0.05</formula>
      <formula>0.05</formula>
    </cfRule>
    <cfRule type="containsText" dxfId="3142" priority="3138" operator="containsText" text="NA">
      <formula>NOT(ISERROR(SEARCH("NA",R416)))</formula>
    </cfRule>
    <cfRule type="cellIs" dxfId="3141" priority="3139" operator="lessThan">
      <formula>-0.05</formula>
    </cfRule>
    <cfRule type="cellIs" dxfId="3140" priority="3140" operator="greaterThan">
      <formula>0.05</formula>
    </cfRule>
  </conditionalFormatting>
  <conditionalFormatting sqref="R417 T417 V417 Y417">
    <cfRule type="cellIs" dxfId="3139" priority="3133" operator="between">
      <formula>-0.05</formula>
      <formula>0.05</formula>
    </cfRule>
    <cfRule type="containsText" dxfId="3138" priority="3134" operator="containsText" text="NA">
      <formula>NOT(ISERROR(SEARCH("NA",R417)))</formula>
    </cfRule>
    <cfRule type="cellIs" dxfId="3137" priority="3135" operator="lessThan">
      <formula>-0.05</formula>
    </cfRule>
    <cfRule type="cellIs" dxfId="3136" priority="3136" operator="greaterThan">
      <formula>0.05</formula>
    </cfRule>
  </conditionalFormatting>
  <conditionalFormatting sqref="R418 T418 V418 Y418">
    <cfRule type="cellIs" dxfId="3135" priority="3129" operator="between">
      <formula>-0.05</formula>
      <formula>0.05</formula>
    </cfRule>
    <cfRule type="containsText" dxfId="3134" priority="3130" operator="containsText" text="NA">
      <formula>NOT(ISERROR(SEARCH("NA",R418)))</formula>
    </cfRule>
    <cfRule type="cellIs" dxfId="3133" priority="3131" operator="lessThan">
      <formula>-0.05</formula>
    </cfRule>
    <cfRule type="cellIs" dxfId="3132" priority="3132" operator="greaterThan">
      <formula>0.05</formula>
    </cfRule>
  </conditionalFormatting>
  <conditionalFormatting sqref="R419 T419 V419 Y419">
    <cfRule type="cellIs" dxfId="3131" priority="3125" operator="between">
      <formula>-0.05</formula>
      <formula>0.05</formula>
    </cfRule>
    <cfRule type="containsText" dxfId="3130" priority="3126" operator="containsText" text="NA">
      <formula>NOT(ISERROR(SEARCH("NA",R419)))</formula>
    </cfRule>
    <cfRule type="cellIs" dxfId="3129" priority="3127" operator="lessThan">
      <formula>-0.05</formula>
    </cfRule>
    <cfRule type="cellIs" dxfId="3128" priority="3128" operator="greaterThan">
      <formula>0.05</formula>
    </cfRule>
  </conditionalFormatting>
  <conditionalFormatting sqref="R420 T420 V420 Y420">
    <cfRule type="cellIs" dxfId="3127" priority="3121" operator="between">
      <formula>-0.05</formula>
      <formula>0.05</formula>
    </cfRule>
    <cfRule type="containsText" dxfId="3126" priority="3122" operator="containsText" text="NA">
      <formula>NOT(ISERROR(SEARCH("NA",R420)))</formula>
    </cfRule>
    <cfRule type="cellIs" dxfId="3125" priority="3123" operator="lessThan">
      <formula>-0.05</formula>
    </cfRule>
    <cfRule type="cellIs" dxfId="3124" priority="3124" operator="greaterThan">
      <formula>0.05</formula>
    </cfRule>
  </conditionalFormatting>
  <conditionalFormatting sqref="R421 T421 V421 Y421">
    <cfRule type="cellIs" dxfId="3123" priority="3117" operator="between">
      <formula>-0.05</formula>
      <formula>0.05</formula>
    </cfRule>
    <cfRule type="containsText" dxfId="3122" priority="3118" operator="containsText" text="NA">
      <formula>NOT(ISERROR(SEARCH("NA",R421)))</formula>
    </cfRule>
    <cfRule type="cellIs" dxfId="3121" priority="3119" operator="lessThan">
      <formula>-0.05</formula>
    </cfRule>
    <cfRule type="cellIs" dxfId="3120" priority="3120" operator="greaterThan">
      <formula>0.05</formula>
    </cfRule>
  </conditionalFormatting>
  <conditionalFormatting sqref="R422 T422 V422 Y422">
    <cfRule type="cellIs" dxfId="3119" priority="3113" operator="between">
      <formula>-0.05</formula>
      <formula>0.05</formula>
    </cfRule>
    <cfRule type="containsText" dxfId="3118" priority="3114" operator="containsText" text="NA">
      <formula>NOT(ISERROR(SEARCH("NA",R422)))</formula>
    </cfRule>
    <cfRule type="cellIs" dxfId="3117" priority="3115" operator="lessThan">
      <formula>-0.05</formula>
    </cfRule>
    <cfRule type="cellIs" dxfId="3116" priority="3116" operator="greaterThan">
      <formula>0.05</formula>
    </cfRule>
  </conditionalFormatting>
  <conditionalFormatting sqref="R423 T423 V423 Y423">
    <cfRule type="cellIs" dxfId="3115" priority="3109" operator="between">
      <formula>-0.05</formula>
      <formula>0.05</formula>
    </cfRule>
    <cfRule type="containsText" dxfId="3114" priority="3110" operator="containsText" text="NA">
      <formula>NOT(ISERROR(SEARCH("NA",R423)))</formula>
    </cfRule>
    <cfRule type="cellIs" dxfId="3113" priority="3111" operator="lessThan">
      <formula>-0.05</formula>
    </cfRule>
    <cfRule type="cellIs" dxfId="3112" priority="3112" operator="greaterThan">
      <formula>0.05</formula>
    </cfRule>
  </conditionalFormatting>
  <conditionalFormatting sqref="R424 T424 V424 Y424">
    <cfRule type="cellIs" dxfId="3111" priority="3105" operator="between">
      <formula>-0.05</formula>
      <formula>0.05</formula>
    </cfRule>
    <cfRule type="containsText" dxfId="3110" priority="3106" operator="containsText" text="NA">
      <formula>NOT(ISERROR(SEARCH("NA",R424)))</formula>
    </cfRule>
    <cfRule type="cellIs" dxfId="3109" priority="3107" operator="lessThan">
      <formula>-0.05</formula>
    </cfRule>
    <cfRule type="cellIs" dxfId="3108" priority="3108" operator="greaterThan">
      <formula>0.05</formula>
    </cfRule>
  </conditionalFormatting>
  <conditionalFormatting sqref="R425 T425 V425 Y425">
    <cfRule type="cellIs" dxfId="3107" priority="3101" operator="between">
      <formula>-0.05</formula>
      <formula>0.05</formula>
    </cfRule>
    <cfRule type="containsText" dxfId="3106" priority="3102" operator="containsText" text="NA">
      <formula>NOT(ISERROR(SEARCH("NA",R425)))</formula>
    </cfRule>
    <cfRule type="cellIs" dxfId="3105" priority="3103" operator="lessThan">
      <formula>-0.05</formula>
    </cfRule>
    <cfRule type="cellIs" dxfId="3104" priority="3104" operator="greaterThan">
      <formula>0.05</formula>
    </cfRule>
  </conditionalFormatting>
  <conditionalFormatting sqref="R426 T426 V426 Y426">
    <cfRule type="cellIs" dxfId="3103" priority="3097" operator="between">
      <formula>-0.05</formula>
      <formula>0.05</formula>
    </cfRule>
    <cfRule type="containsText" dxfId="3102" priority="3098" operator="containsText" text="NA">
      <formula>NOT(ISERROR(SEARCH("NA",R426)))</formula>
    </cfRule>
    <cfRule type="cellIs" dxfId="3101" priority="3099" operator="lessThan">
      <formula>-0.05</formula>
    </cfRule>
    <cfRule type="cellIs" dxfId="3100" priority="3100" operator="greaterThan">
      <formula>0.05</formula>
    </cfRule>
  </conditionalFormatting>
  <conditionalFormatting sqref="R427 T427 V427 Y427">
    <cfRule type="cellIs" dxfId="3099" priority="3093" operator="between">
      <formula>-0.05</formula>
      <formula>0.05</formula>
    </cfRule>
    <cfRule type="containsText" dxfId="3098" priority="3094" operator="containsText" text="NA">
      <formula>NOT(ISERROR(SEARCH("NA",R427)))</formula>
    </cfRule>
    <cfRule type="cellIs" dxfId="3097" priority="3095" operator="lessThan">
      <formula>-0.05</formula>
    </cfRule>
    <cfRule type="cellIs" dxfId="3096" priority="3096" operator="greaterThan">
      <formula>0.05</formula>
    </cfRule>
  </conditionalFormatting>
  <conditionalFormatting sqref="R428 T428 V428 Y428">
    <cfRule type="cellIs" dxfId="3095" priority="3089" operator="between">
      <formula>-0.05</formula>
      <formula>0.05</formula>
    </cfRule>
    <cfRule type="containsText" dxfId="3094" priority="3090" operator="containsText" text="NA">
      <formula>NOT(ISERROR(SEARCH("NA",R428)))</formula>
    </cfRule>
    <cfRule type="cellIs" dxfId="3093" priority="3091" operator="lessThan">
      <formula>-0.05</formula>
    </cfRule>
    <cfRule type="cellIs" dxfId="3092" priority="3092" operator="greaterThan">
      <formula>0.05</formula>
    </cfRule>
  </conditionalFormatting>
  <conditionalFormatting sqref="R429 T429 V429 Y429">
    <cfRule type="cellIs" dxfId="3091" priority="3085" operator="between">
      <formula>-0.05</formula>
      <formula>0.05</formula>
    </cfRule>
    <cfRule type="containsText" dxfId="3090" priority="3086" operator="containsText" text="NA">
      <formula>NOT(ISERROR(SEARCH("NA",R429)))</formula>
    </cfRule>
    <cfRule type="cellIs" dxfId="3089" priority="3087" operator="lessThan">
      <formula>-0.05</formula>
    </cfRule>
    <cfRule type="cellIs" dxfId="3088" priority="3088" operator="greaterThan">
      <formula>0.05</formula>
    </cfRule>
  </conditionalFormatting>
  <conditionalFormatting sqref="R430 T430 V430 Y430">
    <cfRule type="cellIs" dxfId="3087" priority="3081" operator="between">
      <formula>-0.05</formula>
      <formula>0.05</formula>
    </cfRule>
    <cfRule type="containsText" dxfId="3086" priority="3082" operator="containsText" text="NA">
      <formula>NOT(ISERROR(SEARCH("NA",R430)))</formula>
    </cfRule>
    <cfRule type="cellIs" dxfId="3085" priority="3083" operator="lessThan">
      <formula>-0.05</formula>
    </cfRule>
    <cfRule type="cellIs" dxfId="3084" priority="3084" operator="greaterThan">
      <formula>0.05</formula>
    </cfRule>
  </conditionalFormatting>
  <conditionalFormatting sqref="R431 T431 V431 Y431">
    <cfRule type="cellIs" dxfId="3083" priority="3077" operator="between">
      <formula>-0.05</formula>
      <formula>0.05</formula>
    </cfRule>
    <cfRule type="containsText" dxfId="3082" priority="3078" operator="containsText" text="NA">
      <formula>NOT(ISERROR(SEARCH("NA",R431)))</formula>
    </cfRule>
    <cfRule type="cellIs" dxfId="3081" priority="3079" operator="lessThan">
      <formula>-0.05</formula>
    </cfRule>
    <cfRule type="cellIs" dxfId="3080" priority="3080" operator="greaterThan">
      <formula>0.05</formula>
    </cfRule>
  </conditionalFormatting>
  <conditionalFormatting sqref="R432 T432 V432 Y432">
    <cfRule type="cellIs" dxfId="3079" priority="3073" operator="between">
      <formula>-0.05</formula>
      <formula>0.05</formula>
    </cfRule>
    <cfRule type="containsText" dxfId="3078" priority="3074" operator="containsText" text="NA">
      <formula>NOT(ISERROR(SEARCH("NA",R432)))</formula>
    </cfRule>
    <cfRule type="cellIs" dxfId="3077" priority="3075" operator="lessThan">
      <formula>-0.05</formula>
    </cfRule>
    <cfRule type="cellIs" dxfId="3076" priority="3076" operator="greaterThan">
      <formula>0.05</formula>
    </cfRule>
  </conditionalFormatting>
  <conditionalFormatting sqref="R433 T433 V433 Y433">
    <cfRule type="cellIs" dxfId="3075" priority="3069" operator="between">
      <formula>-0.05</formula>
      <formula>0.05</formula>
    </cfRule>
    <cfRule type="containsText" dxfId="3074" priority="3070" operator="containsText" text="NA">
      <formula>NOT(ISERROR(SEARCH("NA",R433)))</formula>
    </cfRule>
    <cfRule type="cellIs" dxfId="3073" priority="3071" operator="lessThan">
      <formula>-0.05</formula>
    </cfRule>
    <cfRule type="cellIs" dxfId="3072" priority="3072" operator="greaterThan">
      <formula>0.05</formula>
    </cfRule>
  </conditionalFormatting>
  <conditionalFormatting sqref="R434 T434 V434 Y434">
    <cfRule type="cellIs" dxfId="3071" priority="3065" operator="between">
      <formula>-0.05</formula>
      <formula>0.05</formula>
    </cfRule>
    <cfRule type="containsText" dxfId="3070" priority="3066" operator="containsText" text="NA">
      <formula>NOT(ISERROR(SEARCH("NA",R434)))</formula>
    </cfRule>
    <cfRule type="cellIs" dxfId="3069" priority="3067" operator="lessThan">
      <formula>-0.05</formula>
    </cfRule>
    <cfRule type="cellIs" dxfId="3068" priority="3068" operator="greaterThan">
      <formula>0.05</formula>
    </cfRule>
  </conditionalFormatting>
  <conditionalFormatting sqref="R435 T435 V435 Y435">
    <cfRule type="cellIs" dxfId="3067" priority="3061" operator="between">
      <formula>-0.05</formula>
      <formula>0.05</formula>
    </cfRule>
    <cfRule type="containsText" dxfId="3066" priority="3062" operator="containsText" text="NA">
      <formula>NOT(ISERROR(SEARCH("NA",R435)))</formula>
    </cfRule>
    <cfRule type="cellIs" dxfId="3065" priority="3063" operator="lessThan">
      <formula>-0.05</formula>
    </cfRule>
    <cfRule type="cellIs" dxfId="3064" priority="3064" operator="greaterThan">
      <formula>0.05</formula>
    </cfRule>
  </conditionalFormatting>
  <conditionalFormatting sqref="R436 T436 V436 Y436">
    <cfRule type="cellIs" dxfId="3063" priority="3057" operator="between">
      <formula>-0.05</formula>
      <formula>0.05</formula>
    </cfRule>
    <cfRule type="containsText" dxfId="3062" priority="3058" operator="containsText" text="NA">
      <formula>NOT(ISERROR(SEARCH("NA",R436)))</formula>
    </cfRule>
    <cfRule type="cellIs" dxfId="3061" priority="3059" operator="lessThan">
      <formula>-0.05</formula>
    </cfRule>
    <cfRule type="cellIs" dxfId="3060" priority="3060" operator="greaterThan">
      <formula>0.05</formula>
    </cfRule>
  </conditionalFormatting>
  <conditionalFormatting sqref="R437 T437 V437 Y437">
    <cfRule type="cellIs" dxfId="3059" priority="3053" operator="between">
      <formula>-0.05</formula>
      <formula>0.05</formula>
    </cfRule>
    <cfRule type="containsText" dxfId="3058" priority="3054" operator="containsText" text="NA">
      <formula>NOT(ISERROR(SEARCH("NA",R437)))</formula>
    </cfRule>
    <cfRule type="cellIs" dxfId="3057" priority="3055" operator="lessThan">
      <formula>-0.05</formula>
    </cfRule>
    <cfRule type="cellIs" dxfId="3056" priority="3056" operator="greaterThan">
      <formula>0.05</formula>
    </cfRule>
  </conditionalFormatting>
  <conditionalFormatting sqref="R438 T438 V438 Y438">
    <cfRule type="cellIs" dxfId="3055" priority="3049" operator="between">
      <formula>-0.05</formula>
      <formula>0.05</formula>
    </cfRule>
    <cfRule type="containsText" dxfId="3054" priority="3050" operator="containsText" text="NA">
      <formula>NOT(ISERROR(SEARCH("NA",R438)))</formula>
    </cfRule>
    <cfRule type="cellIs" dxfId="3053" priority="3051" operator="lessThan">
      <formula>-0.05</formula>
    </cfRule>
    <cfRule type="cellIs" dxfId="3052" priority="3052" operator="greaterThan">
      <formula>0.05</formula>
    </cfRule>
  </conditionalFormatting>
  <conditionalFormatting sqref="R439 T439 V439 Y439">
    <cfRule type="cellIs" dxfId="3051" priority="3045" operator="between">
      <formula>-0.05</formula>
      <formula>0.05</formula>
    </cfRule>
    <cfRule type="containsText" dxfId="3050" priority="3046" operator="containsText" text="NA">
      <formula>NOT(ISERROR(SEARCH("NA",R439)))</formula>
    </cfRule>
    <cfRule type="cellIs" dxfId="3049" priority="3047" operator="lessThan">
      <formula>-0.05</formula>
    </cfRule>
    <cfRule type="cellIs" dxfId="3048" priority="3048" operator="greaterThan">
      <formula>0.05</formula>
    </cfRule>
  </conditionalFormatting>
  <conditionalFormatting sqref="R440 T440 V440 Y440">
    <cfRule type="cellIs" dxfId="3047" priority="3041" operator="between">
      <formula>-0.05</formula>
      <formula>0.05</formula>
    </cfRule>
    <cfRule type="containsText" dxfId="3046" priority="3042" operator="containsText" text="NA">
      <formula>NOT(ISERROR(SEARCH("NA",R440)))</formula>
    </cfRule>
    <cfRule type="cellIs" dxfId="3045" priority="3043" operator="lessThan">
      <formula>-0.05</formula>
    </cfRule>
    <cfRule type="cellIs" dxfId="3044" priority="3044" operator="greaterThan">
      <formula>0.05</formula>
    </cfRule>
  </conditionalFormatting>
  <conditionalFormatting sqref="R441 T441 V441 Y441">
    <cfRule type="cellIs" dxfId="3043" priority="3037" operator="between">
      <formula>-0.05</formula>
      <formula>0.05</formula>
    </cfRule>
    <cfRule type="containsText" dxfId="3042" priority="3038" operator="containsText" text="NA">
      <formula>NOT(ISERROR(SEARCH("NA",R441)))</formula>
    </cfRule>
    <cfRule type="cellIs" dxfId="3041" priority="3039" operator="lessThan">
      <formula>-0.05</formula>
    </cfRule>
    <cfRule type="cellIs" dxfId="3040" priority="3040" operator="greaterThan">
      <formula>0.05</formula>
    </cfRule>
  </conditionalFormatting>
  <conditionalFormatting sqref="R442 T442 V442 Y442">
    <cfRule type="cellIs" dxfId="3039" priority="3033" operator="between">
      <formula>-0.05</formula>
      <formula>0.05</formula>
    </cfRule>
    <cfRule type="containsText" dxfId="3038" priority="3034" operator="containsText" text="NA">
      <formula>NOT(ISERROR(SEARCH("NA",R442)))</formula>
    </cfRule>
    <cfRule type="cellIs" dxfId="3037" priority="3035" operator="lessThan">
      <formula>-0.05</formula>
    </cfRule>
    <cfRule type="cellIs" dxfId="3036" priority="3036" operator="greaterThan">
      <formula>0.05</formula>
    </cfRule>
  </conditionalFormatting>
  <conditionalFormatting sqref="R443 T443 V443 Y443">
    <cfRule type="cellIs" dxfId="3035" priority="3029" operator="between">
      <formula>-0.05</formula>
      <formula>0.05</formula>
    </cfRule>
    <cfRule type="containsText" dxfId="3034" priority="3030" operator="containsText" text="NA">
      <formula>NOT(ISERROR(SEARCH("NA",R443)))</formula>
    </cfRule>
    <cfRule type="cellIs" dxfId="3033" priority="3031" operator="lessThan">
      <formula>-0.05</formula>
    </cfRule>
    <cfRule type="cellIs" dxfId="3032" priority="3032" operator="greaterThan">
      <formula>0.05</formula>
    </cfRule>
  </conditionalFormatting>
  <conditionalFormatting sqref="R444 T444 V444 Y444">
    <cfRule type="cellIs" dxfId="3031" priority="3025" operator="between">
      <formula>-0.05</formula>
      <formula>0.05</formula>
    </cfRule>
    <cfRule type="containsText" dxfId="3030" priority="3026" operator="containsText" text="NA">
      <formula>NOT(ISERROR(SEARCH("NA",R444)))</formula>
    </cfRule>
    <cfRule type="cellIs" dxfId="3029" priority="3027" operator="lessThan">
      <formula>-0.05</formula>
    </cfRule>
    <cfRule type="cellIs" dxfId="3028" priority="3028" operator="greaterThan">
      <formula>0.05</formula>
    </cfRule>
  </conditionalFormatting>
  <conditionalFormatting sqref="R445 T445 V445 Y445">
    <cfRule type="cellIs" dxfId="3027" priority="3021" operator="between">
      <formula>-0.05</formula>
      <formula>0.05</formula>
    </cfRule>
    <cfRule type="containsText" dxfId="3026" priority="3022" operator="containsText" text="NA">
      <formula>NOT(ISERROR(SEARCH("NA",R445)))</formula>
    </cfRule>
    <cfRule type="cellIs" dxfId="3025" priority="3023" operator="lessThan">
      <formula>-0.05</formula>
    </cfRule>
    <cfRule type="cellIs" dxfId="3024" priority="3024" operator="greaterThan">
      <formula>0.05</formula>
    </cfRule>
  </conditionalFormatting>
  <conditionalFormatting sqref="R446 T446 V446 Y446">
    <cfRule type="cellIs" dxfId="3023" priority="3017" operator="between">
      <formula>-0.05</formula>
      <formula>0.05</formula>
    </cfRule>
    <cfRule type="containsText" dxfId="3022" priority="3018" operator="containsText" text="NA">
      <formula>NOT(ISERROR(SEARCH("NA",R446)))</formula>
    </cfRule>
    <cfRule type="cellIs" dxfId="3021" priority="3019" operator="lessThan">
      <formula>-0.05</formula>
    </cfRule>
    <cfRule type="cellIs" dxfId="3020" priority="3020" operator="greaterThan">
      <formula>0.05</formula>
    </cfRule>
  </conditionalFormatting>
  <conditionalFormatting sqref="R447 T447 V447 Y447">
    <cfRule type="cellIs" dxfId="3019" priority="3013" operator="between">
      <formula>-0.05</formula>
      <formula>0.05</formula>
    </cfRule>
    <cfRule type="containsText" dxfId="3018" priority="3014" operator="containsText" text="NA">
      <formula>NOT(ISERROR(SEARCH("NA",R447)))</formula>
    </cfRule>
    <cfRule type="cellIs" dxfId="3017" priority="3015" operator="lessThan">
      <formula>-0.05</formula>
    </cfRule>
    <cfRule type="cellIs" dxfId="3016" priority="3016" operator="greaterThan">
      <formula>0.05</formula>
    </cfRule>
  </conditionalFormatting>
  <conditionalFormatting sqref="R448 T448 V448 Y448">
    <cfRule type="cellIs" dxfId="3015" priority="3009" operator="between">
      <formula>-0.05</formula>
      <formula>0.05</formula>
    </cfRule>
    <cfRule type="containsText" dxfId="3014" priority="3010" operator="containsText" text="NA">
      <formula>NOT(ISERROR(SEARCH("NA",R448)))</formula>
    </cfRule>
    <cfRule type="cellIs" dxfId="3013" priority="3011" operator="lessThan">
      <formula>-0.05</formula>
    </cfRule>
    <cfRule type="cellIs" dxfId="3012" priority="3012" operator="greaterThan">
      <formula>0.05</formula>
    </cfRule>
  </conditionalFormatting>
  <conditionalFormatting sqref="R449 T449 V449 Y449">
    <cfRule type="cellIs" dxfId="3011" priority="3005" operator="between">
      <formula>-0.05</formula>
      <formula>0.05</formula>
    </cfRule>
    <cfRule type="containsText" dxfId="3010" priority="3006" operator="containsText" text="NA">
      <formula>NOT(ISERROR(SEARCH("NA",R449)))</formula>
    </cfRule>
    <cfRule type="cellIs" dxfId="3009" priority="3007" operator="lessThan">
      <formula>-0.05</formula>
    </cfRule>
    <cfRule type="cellIs" dxfId="3008" priority="3008" operator="greaterThan">
      <formula>0.05</formula>
    </cfRule>
  </conditionalFormatting>
  <conditionalFormatting sqref="R450 T450 V450 Y450">
    <cfRule type="cellIs" dxfId="3007" priority="3001" operator="between">
      <formula>-0.05</formula>
      <formula>0.05</formula>
    </cfRule>
    <cfRule type="containsText" dxfId="3006" priority="3002" operator="containsText" text="NA">
      <formula>NOT(ISERROR(SEARCH("NA",R450)))</formula>
    </cfRule>
    <cfRule type="cellIs" dxfId="3005" priority="3003" operator="lessThan">
      <formula>-0.05</formula>
    </cfRule>
    <cfRule type="cellIs" dxfId="3004" priority="3004" operator="greaterThan">
      <formula>0.05</formula>
    </cfRule>
  </conditionalFormatting>
  <conditionalFormatting sqref="R451 T451 V451 Y451">
    <cfRule type="cellIs" dxfId="3003" priority="2997" operator="between">
      <formula>-0.05</formula>
      <formula>0.05</formula>
    </cfRule>
    <cfRule type="containsText" dxfId="3002" priority="2998" operator="containsText" text="NA">
      <formula>NOT(ISERROR(SEARCH("NA",R451)))</formula>
    </cfRule>
    <cfRule type="cellIs" dxfId="3001" priority="2999" operator="lessThan">
      <formula>-0.05</formula>
    </cfRule>
    <cfRule type="cellIs" dxfId="3000" priority="3000" operator="greaterThan">
      <formula>0.05</formula>
    </cfRule>
  </conditionalFormatting>
  <conditionalFormatting sqref="R452 T452 V452 Y452">
    <cfRule type="cellIs" dxfId="2999" priority="2993" operator="between">
      <formula>-0.05</formula>
      <formula>0.05</formula>
    </cfRule>
    <cfRule type="containsText" dxfId="2998" priority="2994" operator="containsText" text="NA">
      <formula>NOT(ISERROR(SEARCH("NA",R452)))</formula>
    </cfRule>
    <cfRule type="cellIs" dxfId="2997" priority="2995" operator="lessThan">
      <formula>-0.05</formula>
    </cfRule>
    <cfRule type="cellIs" dxfId="2996" priority="2996" operator="greaterThan">
      <formula>0.05</formula>
    </cfRule>
  </conditionalFormatting>
  <conditionalFormatting sqref="R453 T453 V453 Y453">
    <cfRule type="cellIs" dxfId="2995" priority="2989" operator="between">
      <formula>-0.05</formula>
      <formula>0.05</formula>
    </cfRule>
    <cfRule type="containsText" dxfId="2994" priority="2990" operator="containsText" text="NA">
      <formula>NOT(ISERROR(SEARCH("NA",R453)))</formula>
    </cfRule>
    <cfRule type="cellIs" dxfId="2993" priority="2991" operator="lessThan">
      <formula>-0.05</formula>
    </cfRule>
    <cfRule type="cellIs" dxfId="2992" priority="2992" operator="greaterThan">
      <formula>0.05</formula>
    </cfRule>
  </conditionalFormatting>
  <conditionalFormatting sqref="R454 T454 V454 Y454">
    <cfRule type="cellIs" dxfId="2991" priority="2985" operator="between">
      <formula>-0.05</formula>
      <formula>0.05</formula>
    </cfRule>
    <cfRule type="containsText" dxfId="2990" priority="2986" operator="containsText" text="NA">
      <formula>NOT(ISERROR(SEARCH("NA",R454)))</formula>
    </cfRule>
    <cfRule type="cellIs" dxfId="2989" priority="2987" operator="lessThan">
      <formula>-0.05</formula>
    </cfRule>
    <cfRule type="cellIs" dxfId="2988" priority="2988" operator="greaterThan">
      <formula>0.05</formula>
    </cfRule>
  </conditionalFormatting>
  <conditionalFormatting sqref="R455 T455 V455 Y455">
    <cfRule type="cellIs" dxfId="2987" priority="2981" operator="between">
      <formula>-0.05</formula>
      <formula>0.05</formula>
    </cfRule>
    <cfRule type="containsText" dxfId="2986" priority="2982" operator="containsText" text="NA">
      <formula>NOT(ISERROR(SEARCH("NA",R455)))</formula>
    </cfRule>
    <cfRule type="cellIs" dxfId="2985" priority="2983" operator="lessThan">
      <formula>-0.05</formula>
    </cfRule>
    <cfRule type="cellIs" dxfId="2984" priority="2984" operator="greaterThan">
      <formula>0.05</formula>
    </cfRule>
  </conditionalFormatting>
  <conditionalFormatting sqref="R456 T456 V456 Y456">
    <cfRule type="cellIs" dxfId="2983" priority="2977" operator="between">
      <formula>-0.05</formula>
      <formula>0.05</formula>
    </cfRule>
    <cfRule type="containsText" dxfId="2982" priority="2978" operator="containsText" text="NA">
      <formula>NOT(ISERROR(SEARCH("NA",R456)))</formula>
    </cfRule>
    <cfRule type="cellIs" dxfId="2981" priority="2979" operator="lessThan">
      <formula>-0.05</formula>
    </cfRule>
    <cfRule type="cellIs" dxfId="2980" priority="2980" operator="greaterThan">
      <formula>0.05</formula>
    </cfRule>
  </conditionalFormatting>
  <conditionalFormatting sqref="R457 T457 V457 Y457">
    <cfRule type="cellIs" dxfId="2979" priority="2973" operator="between">
      <formula>-0.05</formula>
      <formula>0.05</formula>
    </cfRule>
    <cfRule type="containsText" dxfId="2978" priority="2974" operator="containsText" text="NA">
      <formula>NOT(ISERROR(SEARCH("NA",R457)))</formula>
    </cfRule>
    <cfRule type="cellIs" dxfId="2977" priority="2975" operator="lessThan">
      <formula>-0.05</formula>
    </cfRule>
    <cfRule type="cellIs" dxfId="2976" priority="2976" operator="greaterThan">
      <formula>0.05</formula>
    </cfRule>
  </conditionalFormatting>
  <conditionalFormatting sqref="R458 T458 V458 Y458">
    <cfRule type="cellIs" dxfId="2975" priority="2969" operator="between">
      <formula>-0.05</formula>
      <formula>0.05</formula>
    </cfRule>
    <cfRule type="containsText" dxfId="2974" priority="2970" operator="containsText" text="NA">
      <formula>NOT(ISERROR(SEARCH("NA",R458)))</formula>
    </cfRule>
    <cfRule type="cellIs" dxfId="2973" priority="2971" operator="lessThan">
      <formula>-0.05</formula>
    </cfRule>
    <cfRule type="cellIs" dxfId="2972" priority="2972" operator="greaterThan">
      <formula>0.05</formula>
    </cfRule>
  </conditionalFormatting>
  <conditionalFormatting sqref="R459 T459 V459 Y459">
    <cfRule type="cellIs" dxfId="2971" priority="2965" operator="between">
      <formula>-0.05</formula>
      <formula>0.05</formula>
    </cfRule>
    <cfRule type="containsText" dxfId="2970" priority="2966" operator="containsText" text="NA">
      <formula>NOT(ISERROR(SEARCH("NA",R459)))</formula>
    </cfRule>
    <cfRule type="cellIs" dxfId="2969" priority="2967" operator="lessThan">
      <formula>-0.05</formula>
    </cfRule>
    <cfRule type="cellIs" dxfId="2968" priority="2968" operator="greaterThan">
      <formula>0.05</formula>
    </cfRule>
  </conditionalFormatting>
  <conditionalFormatting sqref="R460 T460 V460 Y460">
    <cfRule type="cellIs" dxfId="2967" priority="2961" operator="between">
      <formula>-0.05</formula>
      <formula>0.05</formula>
    </cfRule>
    <cfRule type="containsText" dxfId="2966" priority="2962" operator="containsText" text="NA">
      <formula>NOT(ISERROR(SEARCH("NA",R460)))</formula>
    </cfRule>
    <cfRule type="cellIs" dxfId="2965" priority="2963" operator="lessThan">
      <formula>-0.05</formula>
    </cfRule>
    <cfRule type="cellIs" dxfId="2964" priority="2964" operator="greaterThan">
      <formula>0.05</formula>
    </cfRule>
  </conditionalFormatting>
  <conditionalFormatting sqref="R461 T461 V461 Y461">
    <cfRule type="cellIs" dxfId="2963" priority="2957" operator="between">
      <formula>-0.05</formula>
      <formula>0.05</formula>
    </cfRule>
    <cfRule type="containsText" dxfId="2962" priority="2958" operator="containsText" text="NA">
      <formula>NOT(ISERROR(SEARCH("NA",R461)))</formula>
    </cfRule>
    <cfRule type="cellIs" dxfId="2961" priority="2959" operator="lessThan">
      <formula>-0.05</formula>
    </cfRule>
    <cfRule type="cellIs" dxfId="2960" priority="2960" operator="greaterThan">
      <formula>0.05</formula>
    </cfRule>
  </conditionalFormatting>
  <conditionalFormatting sqref="R462 T462 V462 Y462">
    <cfRule type="cellIs" dxfId="2959" priority="2953" operator="between">
      <formula>-0.05</formula>
      <formula>0.05</formula>
    </cfRule>
    <cfRule type="containsText" dxfId="2958" priority="2954" operator="containsText" text="NA">
      <formula>NOT(ISERROR(SEARCH("NA",R462)))</formula>
    </cfRule>
    <cfRule type="cellIs" dxfId="2957" priority="2955" operator="lessThan">
      <formula>-0.05</formula>
    </cfRule>
    <cfRule type="cellIs" dxfId="2956" priority="2956" operator="greaterThan">
      <formula>0.05</formula>
    </cfRule>
  </conditionalFormatting>
  <conditionalFormatting sqref="R463 T463 V463 Y463">
    <cfRule type="cellIs" dxfId="2955" priority="2949" operator="between">
      <formula>-0.05</formula>
      <formula>0.05</formula>
    </cfRule>
    <cfRule type="containsText" dxfId="2954" priority="2950" operator="containsText" text="NA">
      <formula>NOT(ISERROR(SEARCH("NA",R463)))</formula>
    </cfRule>
    <cfRule type="cellIs" dxfId="2953" priority="2951" operator="lessThan">
      <formula>-0.05</formula>
    </cfRule>
    <cfRule type="cellIs" dxfId="2952" priority="2952" operator="greaterThan">
      <formula>0.05</formula>
    </cfRule>
  </conditionalFormatting>
  <conditionalFormatting sqref="R464 T464 V464 Y464">
    <cfRule type="cellIs" dxfId="2951" priority="2945" operator="between">
      <formula>-0.05</formula>
      <formula>0.05</formula>
    </cfRule>
    <cfRule type="containsText" dxfId="2950" priority="2946" operator="containsText" text="NA">
      <formula>NOT(ISERROR(SEARCH("NA",R464)))</formula>
    </cfRule>
    <cfRule type="cellIs" dxfId="2949" priority="2947" operator="lessThan">
      <formula>-0.05</formula>
    </cfRule>
    <cfRule type="cellIs" dxfId="2948" priority="2948" operator="greaterThan">
      <formula>0.05</formula>
    </cfRule>
  </conditionalFormatting>
  <conditionalFormatting sqref="R465 T465 V465 Y465">
    <cfRule type="cellIs" dxfId="2947" priority="2941" operator="between">
      <formula>-0.05</formula>
      <formula>0.05</formula>
    </cfRule>
    <cfRule type="containsText" dxfId="2946" priority="2942" operator="containsText" text="NA">
      <formula>NOT(ISERROR(SEARCH("NA",R465)))</formula>
    </cfRule>
    <cfRule type="cellIs" dxfId="2945" priority="2943" operator="lessThan">
      <formula>-0.05</formula>
    </cfRule>
    <cfRule type="cellIs" dxfId="2944" priority="2944" operator="greaterThan">
      <formula>0.05</formula>
    </cfRule>
  </conditionalFormatting>
  <conditionalFormatting sqref="R466 T466 V466 Y466">
    <cfRule type="cellIs" dxfId="2943" priority="2937" operator="between">
      <formula>-0.05</formula>
      <formula>0.05</formula>
    </cfRule>
    <cfRule type="containsText" dxfId="2942" priority="2938" operator="containsText" text="NA">
      <formula>NOT(ISERROR(SEARCH("NA",R466)))</formula>
    </cfRule>
    <cfRule type="cellIs" dxfId="2941" priority="2939" operator="lessThan">
      <formula>-0.05</formula>
    </cfRule>
    <cfRule type="cellIs" dxfId="2940" priority="2940" operator="greaterThan">
      <formula>0.05</formula>
    </cfRule>
  </conditionalFormatting>
  <conditionalFormatting sqref="R467 T467 V467 Y467">
    <cfRule type="cellIs" dxfId="2939" priority="2933" operator="between">
      <formula>-0.05</formula>
      <formula>0.05</formula>
    </cfRule>
    <cfRule type="containsText" dxfId="2938" priority="2934" operator="containsText" text="NA">
      <formula>NOT(ISERROR(SEARCH("NA",R467)))</formula>
    </cfRule>
    <cfRule type="cellIs" dxfId="2937" priority="2935" operator="lessThan">
      <formula>-0.05</formula>
    </cfRule>
    <cfRule type="cellIs" dxfId="2936" priority="2936" operator="greaterThan">
      <formula>0.05</formula>
    </cfRule>
  </conditionalFormatting>
  <conditionalFormatting sqref="R468 T468 V468 Y468">
    <cfRule type="cellIs" dxfId="2935" priority="2929" operator="between">
      <formula>-0.05</formula>
      <formula>0.05</formula>
    </cfRule>
    <cfRule type="containsText" dxfId="2934" priority="2930" operator="containsText" text="NA">
      <formula>NOT(ISERROR(SEARCH("NA",R468)))</formula>
    </cfRule>
    <cfRule type="cellIs" dxfId="2933" priority="2931" operator="lessThan">
      <formula>-0.05</formula>
    </cfRule>
    <cfRule type="cellIs" dxfId="2932" priority="2932" operator="greaterThan">
      <formula>0.05</formula>
    </cfRule>
  </conditionalFormatting>
  <conditionalFormatting sqref="R469 T469 V469 Y469">
    <cfRule type="cellIs" dxfId="2931" priority="2925" operator="between">
      <formula>-0.05</formula>
      <formula>0.05</formula>
    </cfRule>
    <cfRule type="containsText" dxfId="2930" priority="2926" operator="containsText" text="NA">
      <formula>NOT(ISERROR(SEARCH("NA",R469)))</formula>
    </cfRule>
    <cfRule type="cellIs" dxfId="2929" priority="2927" operator="lessThan">
      <formula>-0.05</formula>
    </cfRule>
    <cfRule type="cellIs" dxfId="2928" priority="2928" operator="greaterThan">
      <formula>0.05</formula>
    </cfRule>
  </conditionalFormatting>
  <conditionalFormatting sqref="R470 T470 V470 Y470">
    <cfRule type="cellIs" dxfId="2927" priority="2921" operator="between">
      <formula>-0.05</formula>
      <formula>0.05</formula>
    </cfRule>
    <cfRule type="containsText" dxfId="2926" priority="2922" operator="containsText" text="NA">
      <formula>NOT(ISERROR(SEARCH("NA",R470)))</formula>
    </cfRule>
    <cfRule type="cellIs" dxfId="2925" priority="2923" operator="lessThan">
      <formula>-0.05</formula>
    </cfRule>
    <cfRule type="cellIs" dxfId="2924" priority="2924" operator="greaterThan">
      <formula>0.05</formula>
    </cfRule>
  </conditionalFormatting>
  <conditionalFormatting sqref="R471 T471 V471 Y471">
    <cfRule type="cellIs" dxfId="2923" priority="2917" operator="between">
      <formula>-0.05</formula>
      <formula>0.05</formula>
    </cfRule>
    <cfRule type="containsText" dxfId="2922" priority="2918" operator="containsText" text="NA">
      <formula>NOT(ISERROR(SEARCH("NA",R471)))</formula>
    </cfRule>
    <cfRule type="cellIs" dxfId="2921" priority="2919" operator="lessThan">
      <formula>-0.05</formula>
    </cfRule>
    <cfRule type="cellIs" dxfId="2920" priority="2920" operator="greaterThan">
      <formula>0.05</formula>
    </cfRule>
  </conditionalFormatting>
  <conditionalFormatting sqref="R472 T472 V472 Y472">
    <cfRule type="cellIs" dxfId="2919" priority="2913" operator="between">
      <formula>-0.05</formula>
      <formula>0.05</formula>
    </cfRule>
    <cfRule type="containsText" dxfId="2918" priority="2914" operator="containsText" text="NA">
      <formula>NOT(ISERROR(SEARCH("NA",R472)))</formula>
    </cfRule>
    <cfRule type="cellIs" dxfId="2917" priority="2915" operator="lessThan">
      <formula>-0.05</formula>
    </cfRule>
    <cfRule type="cellIs" dxfId="2916" priority="2916" operator="greaterThan">
      <formula>0.05</formula>
    </cfRule>
  </conditionalFormatting>
  <conditionalFormatting sqref="R473 T473 V473 Y473">
    <cfRule type="cellIs" dxfId="2915" priority="2909" operator="between">
      <formula>-0.05</formula>
      <formula>0.05</formula>
    </cfRule>
    <cfRule type="containsText" dxfId="2914" priority="2910" operator="containsText" text="NA">
      <formula>NOT(ISERROR(SEARCH("NA",R473)))</formula>
    </cfRule>
    <cfRule type="cellIs" dxfId="2913" priority="2911" operator="lessThan">
      <formula>-0.05</formula>
    </cfRule>
    <cfRule type="cellIs" dxfId="2912" priority="2912" operator="greaterThan">
      <formula>0.05</formula>
    </cfRule>
  </conditionalFormatting>
  <conditionalFormatting sqref="R474 T474 V474 Y474">
    <cfRule type="cellIs" dxfId="2911" priority="2905" operator="between">
      <formula>-0.05</formula>
      <formula>0.05</formula>
    </cfRule>
    <cfRule type="containsText" dxfId="2910" priority="2906" operator="containsText" text="NA">
      <formula>NOT(ISERROR(SEARCH("NA",R474)))</formula>
    </cfRule>
    <cfRule type="cellIs" dxfId="2909" priority="2907" operator="lessThan">
      <formula>-0.05</formula>
    </cfRule>
    <cfRule type="cellIs" dxfId="2908" priority="2908" operator="greaterThan">
      <formula>0.05</formula>
    </cfRule>
  </conditionalFormatting>
  <conditionalFormatting sqref="R475 T475 V475 Y475">
    <cfRule type="cellIs" dxfId="2907" priority="2901" operator="between">
      <formula>-0.05</formula>
      <formula>0.05</formula>
    </cfRule>
    <cfRule type="containsText" dxfId="2906" priority="2902" operator="containsText" text="NA">
      <formula>NOT(ISERROR(SEARCH("NA",R475)))</formula>
    </cfRule>
    <cfRule type="cellIs" dxfId="2905" priority="2903" operator="lessThan">
      <formula>-0.05</formula>
    </cfRule>
    <cfRule type="cellIs" dxfId="2904" priority="2904" operator="greaterThan">
      <formula>0.05</formula>
    </cfRule>
  </conditionalFormatting>
  <conditionalFormatting sqref="R476 T476 V476 Y476">
    <cfRule type="cellIs" dxfId="2903" priority="2897" operator="between">
      <formula>-0.05</formula>
      <formula>0.05</formula>
    </cfRule>
    <cfRule type="containsText" dxfId="2902" priority="2898" operator="containsText" text="NA">
      <formula>NOT(ISERROR(SEARCH("NA",R476)))</formula>
    </cfRule>
    <cfRule type="cellIs" dxfId="2901" priority="2899" operator="lessThan">
      <formula>-0.05</formula>
    </cfRule>
    <cfRule type="cellIs" dxfId="2900" priority="2900" operator="greaterThan">
      <formula>0.05</formula>
    </cfRule>
  </conditionalFormatting>
  <conditionalFormatting sqref="R477 T477 V477 Y477">
    <cfRule type="cellIs" dxfId="2899" priority="2893" operator="between">
      <formula>-0.05</formula>
      <formula>0.05</formula>
    </cfRule>
    <cfRule type="containsText" dxfId="2898" priority="2894" operator="containsText" text="NA">
      <formula>NOT(ISERROR(SEARCH("NA",R477)))</formula>
    </cfRule>
    <cfRule type="cellIs" dxfId="2897" priority="2895" operator="lessThan">
      <formula>-0.05</formula>
    </cfRule>
    <cfRule type="cellIs" dxfId="2896" priority="2896" operator="greaterThan">
      <formula>0.05</formula>
    </cfRule>
  </conditionalFormatting>
  <conditionalFormatting sqref="R478 T478 V478 Y478">
    <cfRule type="cellIs" dxfId="2895" priority="2889" operator="between">
      <formula>-0.05</formula>
      <formula>0.05</formula>
    </cfRule>
    <cfRule type="containsText" dxfId="2894" priority="2890" operator="containsText" text="NA">
      <formula>NOT(ISERROR(SEARCH("NA",R478)))</formula>
    </cfRule>
    <cfRule type="cellIs" dxfId="2893" priority="2891" operator="lessThan">
      <formula>-0.05</formula>
    </cfRule>
    <cfRule type="cellIs" dxfId="2892" priority="2892" operator="greaterThan">
      <formula>0.05</formula>
    </cfRule>
  </conditionalFormatting>
  <conditionalFormatting sqref="R479 T479 V479 Y479">
    <cfRule type="cellIs" dxfId="2891" priority="2885" operator="between">
      <formula>-0.05</formula>
      <formula>0.05</formula>
    </cfRule>
    <cfRule type="containsText" dxfId="2890" priority="2886" operator="containsText" text="NA">
      <formula>NOT(ISERROR(SEARCH("NA",R479)))</formula>
    </cfRule>
    <cfRule type="cellIs" dxfId="2889" priority="2887" operator="lessThan">
      <formula>-0.05</formula>
    </cfRule>
    <cfRule type="cellIs" dxfId="2888" priority="2888" operator="greaterThan">
      <formula>0.05</formula>
    </cfRule>
  </conditionalFormatting>
  <conditionalFormatting sqref="R480 T480 V480 Y480">
    <cfRule type="cellIs" dxfId="2887" priority="2881" operator="between">
      <formula>-0.05</formula>
      <formula>0.05</formula>
    </cfRule>
    <cfRule type="containsText" dxfId="2886" priority="2882" operator="containsText" text="NA">
      <formula>NOT(ISERROR(SEARCH("NA",R480)))</formula>
    </cfRule>
    <cfRule type="cellIs" dxfId="2885" priority="2883" operator="lessThan">
      <formula>-0.05</formula>
    </cfRule>
    <cfRule type="cellIs" dxfId="2884" priority="2884" operator="greaterThan">
      <formula>0.05</formula>
    </cfRule>
  </conditionalFormatting>
  <conditionalFormatting sqref="R481 T481 V481 Y481">
    <cfRule type="cellIs" dxfId="2883" priority="2877" operator="between">
      <formula>-0.05</formula>
      <formula>0.05</formula>
    </cfRule>
    <cfRule type="containsText" dxfId="2882" priority="2878" operator="containsText" text="NA">
      <formula>NOT(ISERROR(SEARCH("NA",R481)))</formula>
    </cfRule>
    <cfRule type="cellIs" dxfId="2881" priority="2879" operator="lessThan">
      <formula>-0.05</formula>
    </cfRule>
    <cfRule type="cellIs" dxfId="2880" priority="2880" operator="greaterThan">
      <formula>0.05</formula>
    </cfRule>
  </conditionalFormatting>
  <conditionalFormatting sqref="R482 T482 V482 Y482">
    <cfRule type="cellIs" dxfId="2879" priority="2873" operator="between">
      <formula>-0.05</formula>
      <formula>0.05</formula>
    </cfRule>
    <cfRule type="containsText" dxfId="2878" priority="2874" operator="containsText" text="NA">
      <formula>NOT(ISERROR(SEARCH("NA",R482)))</formula>
    </cfRule>
    <cfRule type="cellIs" dxfId="2877" priority="2875" operator="lessThan">
      <formula>-0.05</formula>
    </cfRule>
    <cfRule type="cellIs" dxfId="2876" priority="2876" operator="greaterThan">
      <formula>0.05</formula>
    </cfRule>
  </conditionalFormatting>
  <conditionalFormatting sqref="R483 T483 V483 Y483">
    <cfRule type="cellIs" dxfId="2875" priority="2869" operator="between">
      <formula>-0.05</formula>
      <formula>0.05</formula>
    </cfRule>
    <cfRule type="containsText" dxfId="2874" priority="2870" operator="containsText" text="NA">
      <formula>NOT(ISERROR(SEARCH("NA",R483)))</formula>
    </cfRule>
    <cfRule type="cellIs" dxfId="2873" priority="2871" operator="lessThan">
      <formula>-0.05</formula>
    </cfRule>
    <cfRule type="cellIs" dxfId="2872" priority="2872" operator="greaterThan">
      <formula>0.05</formula>
    </cfRule>
  </conditionalFormatting>
  <conditionalFormatting sqref="R484 T484 V484 Y484">
    <cfRule type="cellIs" dxfId="2871" priority="2865" operator="between">
      <formula>-0.05</formula>
      <formula>0.05</formula>
    </cfRule>
    <cfRule type="containsText" dxfId="2870" priority="2866" operator="containsText" text="NA">
      <formula>NOT(ISERROR(SEARCH("NA",R484)))</formula>
    </cfRule>
    <cfRule type="cellIs" dxfId="2869" priority="2867" operator="lessThan">
      <formula>-0.05</formula>
    </cfRule>
    <cfRule type="cellIs" dxfId="2868" priority="2868" operator="greaterThan">
      <formula>0.05</formula>
    </cfRule>
  </conditionalFormatting>
  <conditionalFormatting sqref="R485 T485 V485 Y485">
    <cfRule type="cellIs" dxfId="2867" priority="2861" operator="between">
      <formula>-0.05</formula>
      <formula>0.05</formula>
    </cfRule>
    <cfRule type="containsText" dxfId="2866" priority="2862" operator="containsText" text="NA">
      <formula>NOT(ISERROR(SEARCH("NA",R485)))</formula>
    </cfRule>
    <cfRule type="cellIs" dxfId="2865" priority="2863" operator="lessThan">
      <formula>-0.05</formula>
    </cfRule>
    <cfRule type="cellIs" dxfId="2864" priority="2864" operator="greaterThan">
      <formula>0.05</formula>
    </cfRule>
  </conditionalFormatting>
  <conditionalFormatting sqref="R486 T486 V486 Y486">
    <cfRule type="cellIs" dxfId="2863" priority="2857" operator="between">
      <formula>-0.05</formula>
      <formula>0.05</formula>
    </cfRule>
    <cfRule type="containsText" dxfId="2862" priority="2858" operator="containsText" text="NA">
      <formula>NOT(ISERROR(SEARCH("NA",R486)))</formula>
    </cfRule>
    <cfRule type="cellIs" dxfId="2861" priority="2859" operator="lessThan">
      <formula>-0.05</formula>
    </cfRule>
    <cfRule type="cellIs" dxfId="2860" priority="2860" operator="greaterThan">
      <formula>0.05</formula>
    </cfRule>
  </conditionalFormatting>
  <conditionalFormatting sqref="R487 T487 V487 Y487">
    <cfRule type="cellIs" dxfId="2859" priority="2853" operator="between">
      <formula>-0.05</formula>
      <formula>0.05</formula>
    </cfRule>
    <cfRule type="containsText" dxfId="2858" priority="2854" operator="containsText" text="NA">
      <formula>NOT(ISERROR(SEARCH("NA",R487)))</formula>
    </cfRule>
    <cfRule type="cellIs" dxfId="2857" priority="2855" operator="lessThan">
      <formula>-0.05</formula>
    </cfRule>
    <cfRule type="cellIs" dxfId="2856" priority="2856" operator="greaterThan">
      <formula>0.05</formula>
    </cfRule>
  </conditionalFormatting>
  <conditionalFormatting sqref="R488 T488 V488 Y488">
    <cfRule type="cellIs" dxfId="2855" priority="2849" operator="between">
      <formula>-0.05</formula>
      <formula>0.05</formula>
    </cfRule>
    <cfRule type="containsText" dxfId="2854" priority="2850" operator="containsText" text="NA">
      <formula>NOT(ISERROR(SEARCH("NA",R488)))</formula>
    </cfRule>
    <cfRule type="cellIs" dxfId="2853" priority="2851" operator="lessThan">
      <formula>-0.05</formula>
    </cfRule>
    <cfRule type="cellIs" dxfId="2852" priority="2852" operator="greaterThan">
      <formula>0.05</formula>
    </cfRule>
  </conditionalFormatting>
  <conditionalFormatting sqref="R489 T489 V489 Y489">
    <cfRule type="cellIs" dxfId="2851" priority="2845" operator="between">
      <formula>-0.05</formula>
      <formula>0.05</formula>
    </cfRule>
    <cfRule type="containsText" dxfId="2850" priority="2846" operator="containsText" text="NA">
      <formula>NOT(ISERROR(SEARCH("NA",R489)))</formula>
    </cfRule>
    <cfRule type="cellIs" dxfId="2849" priority="2847" operator="lessThan">
      <formula>-0.05</formula>
    </cfRule>
    <cfRule type="cellIs" dxfId="2848" priority="2848" operator="greaterThan">
      <formula>0.05</formula>
    </cfRule>
  </conditionalFormatting>
  <conditionalFormatting sqref="R490 T490 V490 Y490">
    <cfRule type="cellIs" dxfId="2847" priority="2841" operator="between">
      <formula>-0.05</formula>
      <formula>0.05</formula>
    </cfRule>
    <cfRule type="containsText" dxfId="2846" priority="2842" operator="containsText" text="NA">
      <formula>NOT(ISERROR(SEARCH("NA",R490)))</formula>
    </cfRule>
    <cfRule type="cellIs" dxfId="2845" priority="2843" operator="lessThan">
      <formula>-0.05</formula>
    </cfRule>
    <cfRule type="cellIs" dxfId="2844" priority="2844" operator="greaterThan">
      <formula>0.05</formula>
    </cfRule>
  </conditionalFormatting>
  <conditionalFormatting sqref="R491 T491 V491 Y491">
    <cfRule type="cellIs" dxfId="2843" priority="2837" operator="between">
      <formula>-0.05</formula>
      <formula>0.05</formula>
    </cfRule>
    <cfRule type="containsText" dxfId="2842" priority="2838" operator="containsText" text="NA">
      <formula>NOT(ISERROR(SEARCH("NA",R491)))</formula>
    </cfRule>
    <cfRule type="cellIs" dxfId="2841" priority="2839" operator="lessThan">
      <formula>-0.05</formula>
    </cfRule>
    <cfRule type="cellIs" dxfId="2840" priority="2840" operator="greaterThan">
      <formula>0.05</formula>
    </cfRule>
  </conditionalFormatting>
  <conditionalFormatting sqref="R492 T492 V492 Y492">
    <cfRule type="cellIs" dxfId="2839" priority="2833" operator="between">
      <formula>-0.05</formula>
      <formula>0.05</formula>
    </cfRule>
    <cfRule type="containsText" dxfId="2838" priority="2834" operator="containsText" text="NA">
      <formula>NOT(ISERROR(SEARCH("NA",R492)))</formula>
    </cfRule>
    <cfRule type="cellIs" dxfId="2837" priority="2835" operator="lessThan">
      <formula>-0.05</formula>
    </cfRule>
    <cfRule type="cellIs" dxfId="2836" priority="2836" operator="greaterThan">
      <formula>0.05</formula>
    </cfRule>
  </conditionalFormatting>
  <conditionalFormatting sqref="R493 T493 V493 Y493">
    <cfRule type="cellIs" dxfId="2835" priority="2829" operator="between">
      <formula>-0.05</formula>
      <formula>0.05</formula>
    </cfRule>
    <cfRule type="containsText" dxfId="2834" priority="2830" operator="containsText" text="NA">
      <formula>NOT(ISERROR(SEARCH("NA",R493)))</formula>
    </cfRule>
    <cfRule type="cellIs" dxfId="2833" priority="2831" operator="lessThan">
      <formula>-0.05</formula>
    </cfRule>
    <cfRule type="cellIs" dxfId="2832" priority="2832" operator="greaterThan">
      <formula>0.05</formula>
    </cfRule>
  </conditionalFormatting>
  <conditionalFormatting sqref="R494 T494 V494 Y494">
    <cfRule type="cellIs" dxfId="2831" priority="2825" operator="between">
      <formula>-0.05</formula>
      <formula>0.05</formula>
    </cfRule>
    <cfRule type="containsText" dxfId="2830" priority="2826" operator="containsText" text="NA">
      <formula>NOT(ISERROR(SEARCH("NA",R494)))</formula>
    </cfRule>
    <cfRule type="cellIs" dxfId="2829" priority="2827" operator="lessThan">
      <formula>-0.05</formula>
    </cfRule>
    <cfRule type="cellIs" dxfId="2828" priority="2828" operator="greaterThan">
      <formula>0.05</formula>
    </cfRule>
  </conditionalFormatting>
  <conditionalFormatting sqref="R495 T495 V495 Y495">
    <cfRule type="cellIs" dxfId="2827" priority="2821" operator="between">
      <formula>-0.05</formula>
      <formula>0.05</formula>
    </cfRule>
    <cfRule type="containsText" dxfId="2826" priority="2822" operator="containsText" text="NA">
      <formula>NOT(ISERROR(SEARCH("NA",R495)))</formula>
    </cfRule>
    <cfRule type="cellIs" dxfId="2825" priority="2823" operator="lessThan">
      <formula>-0.05</formula>
    </cfRule>
    <cfRule type="cellIs" dxfId="2824" priority="2824" operator="greaterThan">
      <formula>0.05</formula>
    </cfRule>
  </conditionalFormatting>
  <conditionalFormatting sqref="R496 T496 V496 Y496">
    <cfRule type="cellIs" dxfId="2823" priority="2817" operator="between">
      <formula>-0.05</formula>
      <formula>0.05</formula>
    </cfRule>
    <cfRule type="containsText" dxfId="2822" priority="2818" operator="containsText" text="NA">
      <formula>NOT(ISERROR(SEARCH("NA",R496)))</formula>
    </cfRule>
    <cfRule type="cellIs" dxfId="2821" priority="2819" operator="lessThan">
      <formula>-0.05</formula>
    </cfRule>
    <cfRule type="cellIs" dxfId="2820" priority="2820" operator="greaterThan">
      <formula>0.05</formula>
    </cfRule>
  </conditionalFormatting>
  <conditionalFormatting sqref="R497 T497 V497 Y497">
    <cfRule type="cellIs" dxfId="2819" priority="2813" operator="between">
      <formula>-0.05</formula>
      <formula>0.05</formula>
    </cfRule>
    <cfRule type="containsText" dxfId="2818" priority="2814" operator="containsText" text="NA">
      <formula>NOT(ISERROR(SEARCH("NA",R497)))</formula>
    </cfRule>
    <cfRule type="cellIs" dxfId="2817" priority="2815" operator="lessThan">
      <formula>-0.05</formula>
    </cfRule>
    <cfRule type="cellIs" dxfId="2816" priority="2816" operator="greaterThan">
      <formula>0.05</formula>
    </cfRule>
  </conditionalFormatting>
  <conditionalFormatting sqref="R498 T498 V498 Y498">
    <cfRule type="cellIs" dxfId="2815" priority="2809" operator="between">
      <formula>-0.05</formula>
      <formula>0.05</formula>
    </cfRule>
    <cfRule type="containsText" dxfId="2814" priority="2810" operator="containsText" text="NA">
      <formula>NOT(ISERROR(SEARCH("NA",R498)))</formula>
    </cfRule>
    <cfRule type="cellIs" dxfId="2813" priority="2811" operator="lessThan">
      <formula>-0.05</formula>
    </cfRule>
    <cfRule type="cellIs" dxfId="2812" priority="2812" operator="greaterThan">
      <formula>0.05</formula>
    </cfRule>
  </conditionalFormatting>
  <conditionalFormatting sqref="R499 T499 V499 Y499">
    <cfRule type="cellIs" dxfId="2811" priority="2805" operator="between">
      <formula>-0.05</formula>
      <formula>0.05</formula>
    </cfRule>
    <cfRule type="containsText" dxfId="2810" priority="2806" operator="containsText" text="NA">
      <formula>NOT(ISERROR(SEARCH("NA",R499)))</formula>
    </cfRule>
    <cfRule type="cellIs" dxfId="2809" priority="2807" operator="lessThan">
      <formula>-0.05</formula>
    </cfRule>
    <cfRule type="cellIs" dxfId="2808" priority="2808" operator="greaterThan">
      <formula>0.05</formula>
    </cfRule>
  </conditionalFormatting>
  <conditionalFormatting sqref="R500 T500 V500 Y500">
    <cfRule type="cellIs" dxfId="2807" priority="2801" operator="between">
      <formula>-0.05</formula>
      <formula>0.05</formula>
    </cfRule>
    <cfRule type="containsText" dxfId="2806" priority="2802" operator="containsText" text="NA">
      <formula>NOT(ISERROR(SEARCH("NA",R500)))</formula>
    </cfRule>
    <cfRule type="cellIs" dxfId="2805" priority="2803" operator="lessThan">
      <formula>-0.05</formula>
    </cfRule>
    <cfRule type="cellIs" dxfId="2804" priority="2804" operator="greaterThan">
      <formula>0.05</formula>
    </cfRule>
  </conditionalFormatting>
  <conditionalFormatting sqref="R501 T501 V501 Y501">
    <cfRule type="cellIs" dxfId="2803" priority="2797" operator="between">
      <formula>-0.05</formula>
      <formula>0.05</formula>
    </cfRule>
    <cfRule type="containsText" dxfId="2802" priority="2798" operator="containsText" text="NA">
      <formula>NOT(ISERROR(SEARCH("NA",R501)))</formula>
    </cfRule>
    <cfRule type="cellIs" dxfId="2801" priority="2799" operator="lessThan">
      <formula>-0.05</formula>
    </cfRule>
    <cfRule type="cellIs" dxfId="2800" priority="2800" operator="greaterThan">
      <formula>0.05</formula>
    </cfRule>
  </conditionalFormatting>
  <conditionalFormatting sqref="R502 T502 V502 Y502">
    <cfRule type="cellIs" dxfId="2799" priority="2793" operator="between">
      <formula>-0.05</formula>
      <formula>0.05</formula>
    </cfRule>
    <cfRule type="containsText" dxfId="2798" priority="2794" operator="containsText" text="NA">
      <formula>NOT(ISERROR(SEARCH("NA",R502)))</formula>
    </cfRule>
    <cfRule type="cellIs" dxfId="2797" priority="2795" operator="lessThan">
      <formula>-0.05</formula>
    </cfRule>
    <cfRule type="cellIs" dxfId="2796" priority="2796" operator="greaterThan">
      <formula>0.05</formula>
    </cfRule>
  </conditionalFormatting>
  <conditionalFormatting sqref="R503 T503 V503 Y503">
    <cfRule type="cellIs" dxfId="2795" priority="2789" operator="between">
      <formula>-0.05</formula>
      <formula>0.05</formula>
    </cfRule>
    <cfRule type="containsText" dxfId="2794" priority="2790" operator="containsText" text="NA">
      <formula>NOT(ISERROR(SEARCH("NA",R503)))</formula>
    </cfRule>
    <cfRule type="cellIs" dxfId="2793" priority="2791" operator="lessThan">
      <formula>-0.05</formula>
    </cfRule>
    <cfRule type="cellIs" dxfId="2792" priority="2792" operator="greaterThan">
      <formula>0.05</formula>
    </cfRule>
  </conditionalFormatting>
  <conditionalFormatting sqref="R504 T504 V504 Y504">
    <cfRule type="cellIs" dxfId="2791" priority="2785" operator="between">
      <formula>-0.05</formula>
      <formula>0.05</formula>
    </cfRule>
    <cfRule type="containsText" dxfId="2790" priority="2786" operator="containsText" text="NA">
      <formula>NOT(ISERROR(SEARCH("NA",R504)))</formula>
    </cfRule>
    <cfRule type="cellIs" dxfId="2789" priority="2787" operator="lessThan">
      <formula>-0.05</formula>
    </cfRule>
    <cfRule type="cellIs" dxfId="2788" priority="2788" operator="greaterThan">
      <formula>0.05</formula>
    </cfRule>
  </conditionalFormatting>
  <conditionalFormatting sqref="R505 T505 V505 Y505">
    <cfRule type="cellIs" dxfId="2787" priority="2781" operator="between">
      <formula>-0.05</formula>
      <formula>0.05</formula>
    </cfRule>
    <cfRule type="containsText" dxfId="2786" priority="2782" operator="containsText" text="NA">
      <formula>NOT(ISERROR(SEARCH("NA",R505)))</formula>
    </cfRule>
    <cfRule type="cellIs" dxfId="2785" priority="2783" operator="lessThan">
      <formula>-0.05</formula>
    </cfRule>
    <cfRule type="cellIs" dxfId="2784" priority="2784" operator="greaterThan">
      <formula>0.05</formula>
    </cfRule>
  </conditionalFormatting>
  <conditionalFormatting sqref="R506 T506 V506 Y506">
    <cfRule type="cellIs" dxfId="2783" priority="2777" operator="between">
      <formula>-0.05</formula>
      <formula>0.05</formula>
    </cfRule>
    <cfRule type="containsText" dxfId="2782" priority="2778" operator="containsText" text="NA">
      <formula>NOT(ISERROR(SEARCH("NA",R506)))</formula>
    </cfRule>
    <cfRule type="cellIs" dxfId="2781" priority="2779" operator="lessThan">
      <formula>-0.05</formula>
    </cfRule>
    <cfRule type="cellIs" dxfId="2780" priority="2780" operator="greaterThan">
      <formula>0.05</formula>
    </cfRule>
  </conditionalFormatting>
  <conditionalFormatting sqref="R507 T507 V507 Y507">
    <cfRule type="cellIs" dxfId="2779" priority="2773" operator="between">
      <formula>-0.05</formula>
      <formula>0.05</formula>
    </cfRule>
    <cfRule type="containsText" dxfId="2778" priority="2774" operator="containsText" text="NA">
      <formula>NOT(ISERROR(SEARCH("NA",R507)))</formula>
    </cfRule>
    <cfRule type="cellIs" dxfId="2777" priority="2775" operator="lessThan">
      <formula>-0.05</formula>
    </cfRule>
    <cfRule type="cellIs" dxfId="2776" priority="2776" operator="greaterThan">
      <formula>0.05</formula>
    </cfRule>
  </conditionalFormatting>
  <conditionalFormatting sqref="R508 T508 V508 Y508">
    <cfRule type="cellIs" dxfId="2775" priority="2769" operator="between">
      <formula>-0.05</formula>
      <formula>0.05</formula>
    </cfRule>
    <cfRule type="containsText" dxfId="2774" priority="2770" operator="containsText" text="NA">
      <formula>NOT(ISERROR(SEARCH("NA",R508)))</formula>
    </cfRule>
    <cfRule type="cellIs" dxfId="2773" priority="2771" operator="lessThan">
      <formula>-0.05</formula>
    </cfRule>
    <cfRule type="cellIs" dxfId="2772" priority="2772" operator="greaterThan">
      <formula>0.05</formula>
    </cfRule>
  </conditionalFormatting>
  <conditionalFormatting sqref="R509 T509 V509 Y509">
    <cfRule type="cellIs" dxfId="2771" priority="2765" operator="between">
      <formula>-0.05</formula>
      <formula>0.05</formula>
    </cfRule>
    <cfRule type="containsText" dxfId="2770" priority="2766" operator="containsText" text="NA">
      <formula>NOT(ISERROR(SEARCH("NA",R509)))</formula>
    </cfRule>
    <cfRule type="cellIs" dxfId="2769" priority="2767" operator="lessThan">
      <formula>-0.05</formula>
    </cfRule>
    <cfRule type="cellIs" dxfId="2768" priority="2768" operator="greaterThan">
      <formula>0.05</formula>
    </cfRule>
  </conditionalFormatting>
  <conditionalFormatting sqref="R510 T510 V510 Y510">
    <cfRule type="cellIs" dxfId="2767" priority="2761" operator="between">
      <formula>-0.05</formula>
      <formula>0.05</formula>
    </cfRule>
    <cfRule type="containsText" dxfId="2766" priority="2762" operator="containsText" text="NA">
      <formula>NOT(ISERROR(SEARCH("NA",R510)))</formula>
    </cfRule>
    <cfRule type="cellIs" dxfId="2765" priority="2763" operator="lessThan">
      <formula>-0.05</formula>
    </cfRule>
    <cfRule type="cellIs" dxfId="2764" priority="2764" operator="greaterThan">
      <formula>0.05</formula>
    </cfRule>
  </conditionalFormatting>
  <conditionalFormatting sqref="R511 T511 V511 Y511">
    <cfRule type="cellIs" dxfId="2763" priority="2757" operator="between">
      <formula>-0.05</formula>
      <formula>0.05</formula>
    </cfRule>
    <cfRule type="containsText" dxfId="2762" priority="2758" operator="containsText" text="NA">
      <formula>NOT(ISERROR(SEARCH("NA",R511)))</formula>
    </cfRule>
    <cfRule type="cellIs" dxfId="2761" priority="2759" operator="lessThan">
      <formula>-0.05</formula>
    </cfRule>
    <cfRule type="cellIs" dxfId="2760" priority="2760" operator="greaterThan">
      <formula>0.05</formula>
    </cfRule>
  </conditionalFormatting>
  <conditionalFormatting sqref="R512 T512 V512 Y512">
    <cfRule type="cellIs" dxfId="2759" priority="2753" operator="between">
      <formula>-0.05</formula>
      <formula>0.05</formula>
    </cfRule>
    <cfRule type="containsText" dxfId="2758" priority="2754" operator="containsText" text="NA">
      <formula>NOT(ISERROR(SEARCH("NA",R512)))</formula>
    </cfRule>
    <cfRule type="cellIs" dxfId="2757" priority="2755" operator="lessThan">
      <formula>-0.05</formula>
    </cfRule>
    <cfRule type="cellIs" dxfId="2756" priority="2756" operator="greaterThan">
      <formula>0.05</formula>
    </cfRule>
  </conditionalFormatting>
  <conditionalFormatting sqref="R513 T513 V513 Y513">
    <cfRule type="cellIs" dxfId="2755" priority="2749" operator="between">
      <formula>-0.05</formula>
      <formula>0.05</formula>
    </cfRule>
    <cfRule type="containsText" dxfId="2754" priority="2750" operator="containsText" text="NA">
      <formula>NOT(ISERROR(SEARCH("NA",R513)))</formula>
    </cfRule>
    <cfRule type="cellIs" dxfId="2753" priority="2751" operator="lessThan">
      <formula>-0.05</formula>
    </cfRule>
    <cfRule type="cellIs" dxfId="2752" priority="2752" operator="greaterThan">
      <formula>0.05</formula>
    </cfRule>
  </conditionalFormatting>
  <conditionalFormatting sqref="R514 T514 V514 Y514">
    <cfRule type="cellIs" dxfId="2751" priority="2745" operator="between">
      <formula>-0.05</formula>
      <formula>0.05</formula>
    </cfRule>
    <cfRule type="containsText" dxfId="2750" priority="2746" operator="containsText" text="NA">
      <formula>NOT(ISERROR(SEARCH("NA",R514)))</formula>
    </cfRule>
    <cfRule type="cellIs" dxfId="2749" priority="2747" operator="lessThan">
      <formula>-0.05</formula>
    </cfRule>
    <cfRule type="cellIs" dxfId="2748" priority="2748" operator="greaterThan">
      <formula>0.05</formula>
    </cfRule>
  </conditionalFormatting>
  <conditionalFormatting sqref="R515 T515 V515 Y515">
    <cfRule type="cellIs" dxfId="2747" priority="2741" operator="between">
      <formula>-0.05</formula>
      <formula>0.05</formula>
    </cfRule>
    <cfRule type="containsText" dxfId="2746" priority="2742" operator="containsText" text="NA">
      <formula>NOT(ISERROR(SEARCH("NA",R515)))</formula>
    </cfRule>
    <cfRule type="cellIs" dxfId="2745" priority="2743" operator="lessThan">
      <formula>-0.05</formula>
    </cfRule>
    <cfRule type="cellIs" dxfId="2744" priority="2744" operator="greaterThan">
      <formula>0.05</formula>
    </cfRule>
  </conditionalFormatting>
  <conditionalFormatting sqref="R516 T516 V516 Y516">
    <cfRule type="cellIs" dxfId="2743" priority="2737" operator="between">
      <formula>-0.05</formula>
      <formula>0.05</formula>
    </cfRule>
    <cfRule type="containsText" dxfId="2742" priority="2738" operator="containsText" text="NA">
      <formula>NOT(ISERROR(SEARCH("NA",R516)))</formula>
    </cfRule>
    <cfRule type="cellIs" dxfId="2741" priority="2739" operator="lessThan">
      <formula>-0.05</formula>
    </cfRule>
    <cfRule type="cellIs" dxfId="2740" priority="2740" operator="greaterThan">
      <formula>0.05</formula>
    </cfRule>
  </conditionalFormatting>
  <conditionalFormatting sqref="R517 T517 V517 Y517">
    <cfRule type="cellIs" dxfId="2739" priority="2733" operator="between">
      <formula>-0.05</formula>
      <formula>0.05</formula>
    </cfRule>
    <cfRule type="containsText" dxfId="2738" priority="2734" operator="containsText" text="NA">
      <formula>NOT(ISERROR(SEARCH("NA",R517)))</formula>
    </cfRule>
    <cfRule type="cellIs" dxfId="2737" priority="2735" operator="lessThan">
      <formula>-0.05</formula>
    </cfRule>
    <cfRule type="cellIs" dxfId="2736" priority="2736" operator="greaterThan">
      <formula>0.05</formula>
    </cfRule>
  </conditionalFormatting>
  <conditionalFormatting sqref="R518 T518 V518 Y518">
    <cfRule type="cellIs" dxfId="2735" priority="2729" operator="between">
      <formula>-0.05</formula>
      <formula>0.05</formula>
    </cfRule>
    <cfRule type="containsText" dxfId="2734" priority="2730" operator="containsText" text="NA">
      <formula>NOT(ISERROR(SEARCH("NA",R518)))</formula>
    </cfRule>
    <cfRule type="cellIs" dxfId="2733" priority="2731" operator="lessThan">
      <formula>-0.05</formula>
    </cfRule>
    <cfRule type="cellIs" dxfId="2732" priority="2732" operator="greaterThan">
      <formula>0.05</formula>
    </cfRule>
  </conditionalFormatting>
  <conditionalFormatting sqref="R519 T519 V519 Y519">
    <cfRule type="cellIs" dxfId="2731" priority="2725" operator="between">
      <formula>-0.05</formula>
      <formula>0.05</formula>
    </cfRule>
    <cfRule type="containsText" dxfId="2730" priority="2726" operator="containsText" text="NA">
      <formula>NOT(ISERROR(SEARCH("NA",R519)))</formula>
    </cfRule>
    <cfRule type="cellIs" dxfId="2729" priority="2727" operator="lessThan">
      <formula>-0.05</formula>
    </cfRule>
    <cfRule type="cellIs" dxfId="2728" priority="2728" operator="greaterThan">
      <formula>0.05</formula>
    </cfRule>
  </conditionalFormatting>
  <conditionalFormatting sqref="R520 T520 V520 Y520">
    <cfRule type="cellIs" dxfId="2727" priority="2721" operator="between">
      <formula>-0.05</formula>
      <formula>0.05</formula>
    </cfRule>
    <cfRule type="containsText" dxfId="2726" priority="2722" operator="containsText" text="NA">
      <formula>NOT(ISERROR(SEARCH("NA",R520)))</formula>
    </cfRule>
    <cfRule type="cellIs" dxfId="2725" priority="2723" operator="lessThan">
      <formula>-0.05</formula>
    </cfRule>
    <cfRule type="cellIs" dxfId="2724" priority="2724" operator="greaterThan">
      <formula>0.05</formula>
    </cfRule>
  </conditionalFormatting>
  <conditionalFormatting sqref="R521 T521 V521 Y521">
    <cfRule type="cellIs" dxfId="2723" priority="2717" operator="between">
      <formula>-0.05</formula>
      <formula>0.05</formula>
    </cfRule>
    <cfRule type="containsText" dxfId="2722" priority="2718" operator="containsText" text="NA">
      <formula>NOT(ISERROR(SEARCH("NA",R521)))</formula>
    </cfRule>
    <cfRule type="cellIs" dxfId="2721" priority="2719" operator="lessThan">
      <formula>-0.05</formula>
    </cfRule>
    <cfRule type="cellIs" dxfId="2720" priority="2720" operator="greaterThan">
      <formula>0.05</formula>
    </cfRule>
  </conditionalFormatting>
  <conditionalFormatting sqref="R522 T522 V522 Y522">
    <cfRule type="cellIs" dxfId="2719" priority="2713" operator="between">
      <formula>-0.05</formula>
      <formula>0.05</formula>
    </cfRule>
    <cfRule type="containsText" dxfId="2718" priority="2714" operator="containsText" text="NA">
      <formula>NOT(ISERROR(SEARCH("NA",R522)))</formula>
    </cfRule>
    <cfRule type="cellIs" dxfId="2717" priority="2715" operator="lessThan">
      <formula>-0.05</formula>
    </cfRule>
    <cfRule type="cellIs" dxfId="2716" priority="2716" operator="greaterThan">
      <formula>0.05</formula>
    </cfRule>
  </conditionalFormatting>
  <conditionalFormatting sqref="R523 T523 V523 Y523">
    <cfRule type="cellIs" dxfId="2715" priority="2709" operator="between">
      <formula>-0.05</formula>
      <formula>0.05</formula>
    </cfRule>
    <cfRule type="containsText" dxfId="2714" priority="2710" operator="containsText" text="NA">
      <formula>NOT(ISERROR(SEARCH("NA",R523)))</formula>
    </cfRule>
    <cfRule type="cellIs" dxfId="2713" priority="2711" operator="lessThan">
      <formula>-0.05</formula>
    </cfRule>
    <cfRule type="cellIs" dxfId="2712" priority="2712" operator="greaterThan">
      <formula>0.05</formula>
    </cfRule>
  </conditionalFormatting>
  <conditionalFormatting sqref="R524 T524 V524 Y524">
    <cfRule type="cellIs" dxfId="2711" priority="2705" operator="between">
      <formula>-0.05</formula>
      <formula>0.05</formula>
    </cfRule>
    <cfRule type="containsText" dxfId="2710" priority="2706" operator="containsText" text="NA">
      <formula>NOT(ISERROR(SEARCH("NA",R524)))</formula>
    </cfRule>
    <cfRule type="cellIs" dxfId="2709" priority="2707" operator="lessThan">
      <formula>-0.05</formula>
    </cfRule>
    <cfRule type="cellIs" dxfId="2708" priority="2708" operator="greaterThan">
      <formula>0.05</formula>
    </cfRule>
  </conditionalFormatting>
  <conditionalFormatting sqref="R525 T525 V525 Y525">
    <cfRule type="cellIs" dxfId="2707" priority="2701" operator="between">
      <formula>-0.05</formula>
      <formula>0.05</formula>
    </cfRule>
    <cfRule type="containsText" dxfId="2706" priority="2702" operator="containsText" text="NA">
      <formula>NOT(ISERROR(SEARCH("NA",R525)))</formula>
    </cfRule>
    <cfRule type="cellIs" dxfId="2705" priority="2703" operator="lessThan">
      <formula>-0.05</formula>
    </cfRule>
    <cfRule type="cellIs" dxfId="2704" priority="2704" operator="greaterThan">
      <formula>0.05</formula>
    </cfRule>
  </conditionalFormatting>
  <conditionalFormatting sqref="R526 T526 V526 Y526">
    <cfRule type="cellIs" dxfId="2703" priority="2697" operator="between">
      <formula>-0.05</formula>
      <formula>0.05</formula>
    </cfRule>
    <cfRule type="containsText" dxfId="2702" priority="2698" operator="containsText" text="NA">
      <formula>NOT(ISERROR(SEARCH("NA",R526)))</formula>
    </cfRule>
    <cfRule type="cellIs" dxfId="2701" priority="2699" operator="lessThan">
      <formula>-0.05</formula>
    </cfRule>
    <cfRule type="cellIs" dxfId="2700" priority="2700" operator="greaterThan">
      <formula>0.05</formula>
    </cfRule>
  </conditionalFormatting>
  <conditionalFormatting sqref="R527 T527 V527 Y527">
    <cfRule type="cellIs" dxfId="2699" priority="2693" operator="between">
      <formula>-0.05</formula>
      <formula>0.05</formula>
    </cfRule>
    <cfRule type="containsText" dxfId="2698" priority="2694" operator="containsText" text="NA">
      <formula>NOT(ISERROR(SEARCH("NA",R527)))</formula>
    </cfRule>
    <cfRule type="cellIs" dxfId="2697" priority="2695" operator="lessThan">
      <formula>-0.05</formula>
    </cfRule>
    <cfRule type="cellIs" dxfId="2696" priority="2696" operator="greaterThan">
      <formula>0.05</formula>
    </cfRule>
  </conditionalFormatting>
  <conditionalFormatting sqref="R528 T528 V528 Y528">
    <cfRule type="cellIs" dxfId="2695" priority="2689" operator="between">
      <formula>-0.05</formula>
      <formula>0.05</formula>
    </cfRule>
    <cfRule type="containsText" dxfId="2694" priority="2690" operator="containsText" text="NA">
      <formula>NOT(ISERROR(SEARCH("NA",R528)))</formula>
    </cfRule>
    <cfRule type="cellIs" dxfId="2693" priority="2691" operator="lessThan">
      <formula>-0.05</formula>
    </cfRule>
    <cfRule type="cellIs" dxfId="2692" priority="2692" operator="greaterThan">
      <formula>0.05</formula>
    </cfRule>
  </conditionalFormatting>
  <conditionalFormatting sqref="R529 T529 V529 Y529">
    <cfRule type="cellIs" dxfId="2691" priority="2685" operator="between">
      <formula>-0.05</formula>
      <formula>0.05</formula>
    </cfRule>
    <cfRule type="containsText" dxfId="2690" priority="2686" operator="containsText" text="NA">
      <formula>NOT(ISERROR(SEARCH("NA",R529)))</formula>
    </cfRule>
    <cfRule type="cellIs" dxfId="2689" priority="2687" operator="lessThan">
      <formula>-0.05</formula>
    </cfRule>
    <cfRule type="cellIs" dxfId="2688" priority="2688" operator="greaterThan">
      <formula>0.05</formula>
    </cfRule>
  </conditionalFormatting>
  <conditionalFormatting sqref="R530 T530 V530 Y530">
    <cfRule type="cellIs" dxfId="2687" priority="2681" operator="between">
      <formula>-0.05</formula>
      <formula>0.05</formula>
    </cfRule>
    <cfRule type="containsText" dxfId="2686" priority="2682" operator="containsText" text="NA">
      <formula>NOT(ISERROR(SEARCH("NA",R530)))</formula>
    </cfRule>
    <cfRule type="cellIs" dxfId="2685" priority="2683" operator="lessThan">
      <formula>-0.05</formula>
    </cfRule>
    <cfRule type="cellIs" dxfId="2684" priority="2684" operator="greaterThan">
      <formula>0.05</formula>
    </cfRule>
  </conditionalFormatting>
  <conditionalFormatting sqref="R531 T531 V531 Y531">
    <cfRule type="cellIs" dxfId="2683" priority="2677" operator="between">
      <formula>-0.05</formula>
      <formula>0.05</formula>
    </cfRule>
    <cfRule type="containsText" dxfId="2682" priority="2678" operator="containsText" text="NA">
      <formula>NOT(ISERROR(SEARCH("NA",R531)))</formula>
    </cfRule>
    <cfRule type="cellIs" dxfId="2681" priority="2679" operator="lessThan">
      <formula>-0.05</formula>
    </cfRule>
    <cfRule type="cellIs" dxfId="2680" priority="2680" operator="greaterThan">
      <formula>0.05</formula>
    </cfRule>
  </conditionalFormatting>
  <conditionalFormatting sqref="R532 T532 V532 Y532">
    <cfRule type="cellIs" dxfId="2679" priority="2673" operator="between">
      <formula>-0.05</formula>
      <formula>0.05</formula>
    </cfRule>
    <cfRule type="containsText" dxfId="2678" priority="2674" operator="containsText" text="NA">
      <formula>NOT(ISERROR(SEARCH("NA",R532)))</formula>
    </cfRule>
    <cfRule type="cellIs" dxfId="2677" priority="2675" operator="lessThan">
      <formula>-0.05</formula>
    </cfRule>
    <cfRule type="cellIs" dxfId="2676" priority="2676" operator="greaterThan">
      <formula>0.05</formula>
    </cfRule>
  </conditionalFormatting>
  <conditionalFormatting sqref="R533 T533 V533 Y533">
    <cfRule type="cellIs" dxfId="2675" priority="2669" operator="between">
      <formula>-0.05</formula>
      <formula>0.05</formula>
    </cfRule>
    <cfRule type="containsText" dxfId="2674" priority="2670" operator="containsText" text="NA">
      <formula>NOT(ISERROR(SEARCH("NA",R533)))</formula>
    </cfRule>
    <cfRule type="cellIs" dxfId="2673" priority="2671" operator="lessThan">
      <formula>-0.05</formula>
    </cfRule>
    <cfRule type="cellIs" dxfId="2672" priority="2672" operator="greaterThan">
      <formula>0.05</formula>
    </cfRule>
  </conditionalFormatting>
  <conditionalFormatting sqref="R534 T534 V534 Y534">
    <cfRule type="cellIs" dxfId="2671" priority="2665" operator="between">
      <formula>-0.05</formula>
      <formula>0.05</formula>
    </cfRule>
    <cfRule type="containsText" dxfId="2670" priority="2666" operator="containsText" text="NA">
      <formula>NOT(ISERROR(SEARCH("NA",R534)))</formula>
    </cfRule>
    <cfRule type="cellIs" dxfId="2669" priority="2667" operator="lessThan">
      <formula>-0.05</formula>
    </cfRule>
    <cfRule type="cellIs" dxfId="2668" priority="2668" operator="greaterThan">
      <formula>0.05</formula>
    </cfRule>
  </conditionalFormatting>
  <conditionalFormatting sqref="R535 T535 V535 Y535">
    <cfRule type="cellIs" dxfId="2667" priority="2661" operator="between">
      <formula>-0.05</formula>
      <formula>0.05</formula>
    </cfRule>
    <cfRule type="containsText" dxfId="2666" priority="2662" operator="containsText" text="NA">
      <formula>NOT(ISERROR(SEARCH("NA",R535)))</formula>
    </cfRule>
    <cfRule type="cellIs" dxfId="2665" priority="2663" operator="lessThan">
      <formula>-0.05</formula>
    </cfRule>
    <cfRule type="cellIs" dxfId="2664" priority="2664" operator="greaterThan">
      <formula>0.05</formula>
    </cfRule>
  </conditionalFormatting>
  <conditionalFormatting sqref="R536 T536 V536 Y536">
    <cfRule type="cellIs" dxfId="2663" priority="2657" operator="between">
      <formula>-0.05</formula>
      <formula>0.05</formula>
    </cfRule>
    <cfRule type="containsText" dxfId="2662" priority="2658" operator="containsText" text="NA">
      <formula>NOT(ISERROR(SEARCH("NA",R536)))</formula>
    </cfRule>
    <cfRule type="cellIs" dxfId="2661" priority="2659" operator="lessThan">
      <formula>-0.05</formula>
    </cfRule>
    <cfRule type="cellIs" dxfId="2660" priority="2660" operator="greaterThan">
      <formula>0.05</formula>
    </cfRule>
  </conditionalFormatting>
  <conditionalFormatting sqref="R537 T537 V537 Y537">
    <cfRule type="cellIs" dxfId="2659" priority="2653" operator="between">
      <formula>-0.05</formula>
      <formula>0.05</formula>
    </cfRule>
    <cfRule type="containsText" dxfId="2658" priority="2654" operator="containsText" text="NA">
      <formula>NOT(ISERROR(SEARCH("NA",R537)))</formula>
    </cfRule>
    <cfRule type="cellIs" dxfId="2657" priority="2655" operator="lessThan">
      <formula>-0.05</formula>
    </cfRule>
    <cfRule type="cellIs" dxfId="2656" priority="2656" operator="greaterThan">
      <formula>0.05</formula>
    </cfRule>
  </conditionalFormatting>
  <conditionalFormatting sqref="R538 T538 V538 Y538">
    <cfRule type="cellIs" dxfId="2655" priority="2649" operator="between">
      <formula>-0.05</formula>
      <formula>0.05</formula>
    </cfRule>
    <cfRule type="containsText" dxfId="2654" priority="2650" operator="containsText" text="NA">
      <formula>NOT(ISERROR(SEARCH("NA",R538)))</formula>
    </cfRule>
    <cfRule type="cellIs" dxfId="2653" priority="2651" operator="lessThan">
      <formula>-0.05</formula>
    </cfRule>
    <cfRule type="cellIs" dxfId="2652" priority="2652" operator="greaterThan">
      <formula>0.05</formula>
    </cfRule>
  </conditionalFormatting>
  <conditionalFormatting sqref="R539 T539 V539 Y539">
    <cfRule type="cellIs" dxfId="2651" priority="2645" operator="between">
      <formula>-0.05</formula>
      <formula>0.05</formula>
    </cfRule>
    <cfRule type="containsText" dxfId="2650" priority="2646" operator="containsText" text="NA">
      <formula>NOT(ISERROR(SEARCH("NA",R539)))</formula>
    </cfRule>
    <cfRule type="cellIs" dxfId="2649" priority="2647" operator="lessThan">
      <formula>-0.05</formula>
    </cfRule>
    <cfRule type="cellIs" dxfId="2648" priority="2648" operator="greaterThan">
      <formula>0.05</formula>
    </cfRule>
  </conditionalFormatting>
  <conditionalFormatting sqref="R540 T540 V540 Y540">
    <cfRule type="cellIs" dxfId="2647" priority="2641" operator="between">
      <formula>-0.05</formula>
      <formula>0.05</formula>
    </cfRule>
    <cfRule type="containsText" dxfId="2646" priority="2642" operator="containsText" text="NA">
      <formula>NOT(ISERROR(SEARCH("NA",R540)))</formula>
    </cfRule>
    <cfRule type="cellIs" dxfId="2645" priority="2643" operator="lessThan">
      <formula>-0.05</formula>
    </cfRule>
    <cfRule type="cellIs" dxfId="2644" priority="2644" operator="greaterThan">
      <formula>0.05</formula>
    </cfRule>
  </conditionalFormatting>
  <conditionalFormatting sqref="R541 T541 V541 Y541">
    <cfRule type="cellIs" dxfId="2643" priority="2637" operator="between">
      <formula>-0.05</formula>
      <formula>0.05</formula>
    </cfRule>
    <cfRule type="containsText" dxfId="2642" priority="2638" operator="containsText" text="NA">
      <formula>NOT(ISERROR(SEARCH("NA",R541)))</formula>
    </cfRule>
    <cfRule type="cellIs" dxfId="2641" priority="2639" operator="lessThan">
      <formula>-0.05</formula>
    </cfRule>
    <cfRule type="cellIs" dxfId="2640" priority="2640" operator="greaterThan">
      <formula>0.05</formula>
    </cfRule>
  </conditionalFormatting>
  <conditionalFormatting sqref="R542 T542 V542 Y542">
    <cfRule type="cellIs" dxfId="2639" priority="2633" operator="between">
      <formula>-0.05</formula>
      <formula>0.05</formula>
    </cfRule>
    <cfRule type="containsText" dxfId="2638" priority="2634" operator="containsText" text="NA">
      <formula>NOT(ISERROR(SEARCH("NA",R542)))</formula>
    </cfRule>
    <cfRule type="cellIs" dxfId="2637" priority="2635" operator="lessThan">
      <formula>-0.05</formula>
    </cfRule>
    <cfRule type="cellIs" dxfId="2636" priority="2636" operator="greaterThan">
      <formula>0.05</formula>
    </cfRule>
  </conditionalFormatting>
  <conditionalFormatting sqref="R543 T543 V543 Y543">
    <cfRule type="cellIs" dxfId="2635" priority="2629" operator="between">
      <formula>-0.05</formula>
      <formula>0.05</formula>
    </cfRule>
    <cfRule type="containsText" dxfId="2634" priority="2630" operator="containsText" text="NA">
      <formula>NOT(ISERROR(SEARCH("NA",R543)))</formula>
    </cfRule>
    <cfRule type="cellIs" dxfId="2633" priority="2631" operator="lessThan">
      <formula>-0.05</formula>
    </cfRule>
    <cfRule type="cellIs" dxfId="2632" priority="2632" operator="greaterThan">
      <formula>0.05</formula>
    </cfRule>
  </conditionalFormatting>
  <conditionalFormatting sqref="R544 T544 V544 Y544">
    <cfRule type="cellIs" dxfId="2631" priority="2625" operator="between">
      <formula>-0.05</formula>
      <formula>0.05</formula>
    </cfRule>
    <cfRule type="containsText" dxfId="2630" priority="2626" operator="containsText" text="NA">
      <formula>NOT(ISERROR(SEARCH("NA",R544)))</formula>
    </cfRule>
    <cfRule type="cellIs" dxfId="2629" priority="2627" operator="lessThan">
      <formula>-0.05</formula>
    </cfRule>
    <cfRule type="cellIs" dxfId="2628" priority="2628" operator="greaterThan">
      <formula>0.05</formula>
    </cfRule>
  </conditionalFormatting>
  <conditionalFormatting sqref="R545 T545 V545 Y545">
    <cfRule type="cellIs" dxfId="2627" priority="2621" operator="between">
      <formula>-0.05</formula>
      <formula>0.05</formula>
    </cfRule>
    <cfRule type="containsText" dxfId="2626" priority="2622" operator="containsText" text="NA">
      <formula>NOT(ISERROR(SEARCH("NA",R545)))</formula>
    </cfRule>
    <cfRule type="cellIs" dxfId="2625" priority="2623" operator="lessThan">
      <formula>-0.05</formula>
    </cfRule>
    <cfRule type="cellIs" dxfId="2624" priority="2624" operator="greaterThan">
      <formula>0.05</formula>
    </cfRule>
  </conditionalFormatting>
  <conditionalFormatting sqref="R546 T546 V546 Y546">
    <cfRule type="cellIs" dxfId="2623" priority="2617" operator="between">
      <formula>-0.05</formula>
      <formula>0.05</formula>
    </cfRule>
    <cfRule type="containsText" dxfId="2622" priority="2618" operator="containsText" text="NA">
      <formula>NOT(ISERROR(SEARCH("NA",R546)))</formula>
    </cfRule>
    <cfRule type="cellIs" dxfId="2621" priority="2619" operator="lessThan">
      <formula>-0.05</formula>
    </cfRule>
    <cfRule type="cellIs" dxfId="2620" priority="2620" operator="greaterThan">
      <formula>0.05</formula>
    </cfRule>
  </conditionalFormatting>
  <conditionalFormatting sqref="R547 T547 V547 Y547">
    <cfRule type="cellIs" dxfId="2619" priority="2613" operator="between">
      <formula>-0.05</formula>
      <formula>0.05</formula>
    </cfRule>
    <cfRule type="containsText" dxfId="2618" priority="2614" operator="containsText" text="NA">
      <formula>NOT(ISERROR(SEARCH("NA",R547)))</formula>
    </cfRule>
    <cfRule type="cellIs" dxfId="2617" priority="2615" operator="lessThan">
      <formula>-0.05</formula>
    </cfRule>
    <cfRule type="cellIs" dxfId="2616" priority="2616" operator="greaterThan">
      <formula>0.05</formula>
    </cfRule>
  </conditionalFormatting>
  <conditionalFormatting sqref="R548 T548 V548 Y548">
    <cfRule type="cellIs" dxfId="2615" priority="2609" operator="between">
      <formula>-0.05</formula>
      <formula>0.05</formula>
    </cfRule>
    <cfRule type="containsText" dxfId="2614" priority="2610" operator="containsText" text="NA">
      <formula>NOT(ISERROR(SEARCH("NA",R548)))</formula>
    </cfRule>
    <cfRule type="cellIs" dxfId="2613" priority="2611" operator="lessThan">
      <formula>-0.05</formula>
    </cfRule>
    <cfRule type="cellIs" dxfId="2612" priority="2612" operator="greaterThan">
      <formula>0.05</formula>
    </cfRule>
  </conditionalFormatting>
  <conditionalFormatting sqref="R549 T549 V549 Y549">
    <cfRule type="cellIs" dxfId="2611" priority="2605" operator="between">
      <formula>-0.05</formula>
      <formula>0.05</formula>
    </cfRule>
    <cfRule type="containsText" dxfId="2610" priority="2606" operator="containsText" text="NA">
      <formula>NOT(ISERROR(SEARCH("NA",R549)))</formula>
    </cfRule>
    <cfRule type="cellIs" dxfId="2609" priority="2607" operator="lessThan">
      <formula>-0.05</formula>
    </cfRule>
    <cfRule type="cellIs" dxfId="2608" priority="2608" operator="greaterThan">
      <formula>0.05</formula>
    </cfRule>
  </conditionalFormatting>
  <conditionalFormatting sqref="R550 T550 V550 Y550">
    <cfRule type="cellIs" dxfId="2607" priority="2601" operator="between">
      <formula>-0.05</formula>
      <formula>0.05</formula>
    </cfRule>
    <cfRule type="containsText" dxfId="2606" priority="2602" operator="containsText" text="NA">
      <formula>NOT(ISERROR(SEARCH("NA",R550)))</formula>
    </cfRule>
    <cfRule type="cellIs" dxfId="2605" priority="2603" operator="lessThan">
      <formula>-0.05</formula>
    </cfRule>
    <cfRule type="cellIs" dxfId="2604" priority="2604" operator="greaterThan">
      <formula>0.05</formula>
    </cfRule>
  </conditionalFormatting>
  <conditionalFormatting sqref="R551 T551 V551 Y551">
    <cfRule type="cellIs" dxfId="2603" priority="2597" operator="between">
      <formula>-0.05</formula>
      <formula>0.05</formula>
    </cfRule>
    <cfRule type="containsText" dxfId="2602" priority="2598" operator="containsText" text="NA">
      <formula>NOT(ISERROR(SEARCH("NA",R551)))</formula>
    </cfRule>
    <cfRule type="cellIs" dxfId="2601" priority="2599" operator="lessThan">
      <formula>-0.05</formula>
    </cfRule>
    <cfRule type="cellIs" dxfId="2600" priority="2600" operator="greaterThan">
      <formula>0.05</formula>
    </cfRule>
  </conditionalFormatting>
  <conditionalFormatting sqref="R552 T552 V552 Y552">
    <cfRule type="cellIs" dxfId="2599" priority="2593" operator="between">
      <formula>-0.05</formula>
      <formula>0.05</formula>
    </cfRule>
    <cfRule type="containsText" dxfId="2598" priority="2594" operator="containsText" text="NA">
      <formula>NOT(ISERROR(SEARCH("NA",R552)))</formula>
    </cfRule>
    <cfRule type="cellIs" dxfId="2597" priority="2595" operator="lessThan">
      <formula>-0.05</formula>
    </cfRule>
    <cfRule type="cellIs" dxfId="2596" priority="2596" operator="greaterThan">
      <formula>0.05</formula>
    </cfRule>
  </conditionalFormatting>
  <conditionalFormatting sqref="R553 T553 V553 Y553">
    <cfRule type="cellIs" dxfId="2595" priority="2589" operator="between">
      <formula>-0.05</formula>
      <formula>0.05</formula>
    </cfRule>
    <cfRule type="containsText" dxfId="2594" priority="2590" operator="containsText" text="NA">
      <formula>NOT(ISERROR(SEARCH("NA",R553)))</formula>
    </cfRule>
    <cfRule type="cellIs" dxfId="2593" priority="2591" operator="lessThan">
      <formula>-0.05</formula>
    </cfRule>
    <cfRule type="cellIs" dxfId="2592" priority="2592" operator="greaterThan">
      <formula>0.05</formula>
    </cfRule>
  </conditionalFormatting>
  <conditionalFormatting sqref="R554 T554 V554 Y554">
    <cfRule type="cellIs" dxfId="2591" priority="2585" operator="between">
      <formula>-0.05</formula>
      <formula>0.05</formula>
    </cfRule>
    <cfRule type="containsText" dxfId="2590" priority="2586" operator="containsText" text="NA">
      <formula>NOT(ISERROR(SEARCH("NA",R554)))</formula>
    </cfRule>
    <cfRule type="cellIs" dxfId="2589" priority="2587" operator="lessThan">
      <formula>-0.05</formula>
    </cfRule>
    <cfRule type="cellIs" dxfId="2588" priority="2588" operator="greaterThan">
      <formula>0.05</formula>
    </cfRule>
  </conditionalFormatting>
  <conditionalFormatting sqref="R555 T555 V555 Y555">
    <cfRule type="cellIs" dxfId="2587" priority="2581" operator="between">
      <formula>-0.05</formula>
      <formula>0.05</formula>
    </cfRule>
    <cfRule type="containsText" dxfId="2586" priority="2582" operator="containsText" text="NA">
      <formula>NOT(ISERROR(SEARCH("NA",R555)))</formula>
    </cfRule>
    <cfRule type="cellIs" dxfId="2585" priority="2583" operator="lessThan">
      <formula>-0.05</formula>
    </cfRule>
    <cfRule type="cellIs" dxfId="2584" priority="2584" operator="greaterThan">
      <formula>0.05</formula>
    </cfRule>
  </conditionalFormatting>
  <conditionalFormatting sqref="R556 T556 V556 Y556">
    <cfRule type="cellIs" dxfId="2583" priority="2577" operator="between">
      <formula>-0.05</formula>
      <formula>0.05</formula>
    </cfRule>
    <cfRule type="containsText" dxfId="2582" priority="2578" operator="containsText" text="NA">
      <formula>NOT(ISERROR(SEARCH("NA",R556)))</formula>
    </cfRule>
    <cfRule type="cellIs" dxfId="2581" priority="2579" operator="lessThan">
      <formula>-0.05</formula>
    </cfRule>
    <cfRule type="cellIs" dxfId="2580" priority="2580" operator="greaterThan">
      <formula>0.05</formula>
    </cfRule>
  </conditionalFormatting>
  <conditionalFormatting sqref="R557 T557 V557 Y557">
    <cfRule type="cellIs" dxfId="2579" priority="2573" operator="between">
      <formula>-0.05</formula>
      <formula>0.05</formula>
    </cfRule>
    <cfRule type="containsText" dxfId="2578" priority="2574" operator="containsText" text="NA">
      <formula>NOT(ISERROR(SEARCH("NA",R557)))</formula>
    </cfRule>
    <cfRule type="cellIs" dxfId="2577" priority="2575" operator="lessThan">
      <formula>-0.05</formula>
    </cfRule>
    <cfRule type="cellIs" dxfId="2576" priority="2576" operator="greaterThan">
      <formula>0.05</formula>
    </cfRule>
  </conditionalFormatting>
  <conditionalFormatting sqref="R558 T558 V558 Y558">
    <cfRule type="cellIs" dxfId="2575" priority="2569" operator="between">
      <formula>-0.05</formula>
      <formula>0.05</formula>
    </cfRule>
    <cfRule type="containsText" dxfId="2574" priority="2570" operator="containsText" text="NA">
      <formula>NOT(ISERROR(SEARCH("NA",R558)))</formula>
    </cfRule>
    <cfRule type="cellIs" dxfId="2573" priority="2571" operator="lessThan">
      <formula>-0.05</formula>
    </cfRule>
    <cfRule type="cellIs" dxfId="2572" priority="2572" operator="greaterThan">
      <formula>0.05</formula>
    </cfRule>
  </conditionalFormatting>
  <conditionalFormatting sqref="R559 T559 V559 Y559">
    <cfRule type="cellIs" dxfId="2571" priority="2565" operator="between">
      <formula>-0.05</formula>
      <formula>0.05</formula>
    </cfRule>
    <cfRule type="containsText" dxfId="2570" priority="2566" operator="containsText" text="NA">
      <formula>NOT(ISERROR(SEARCH("NA",R559)))</formula>
    </cfRule>
    <cfRule type="cellIs" dxfId="2569" priority="2567" operator="lessThan">
      <formula>-0.05</formula>
    </cfRule>
    <cfRule type="cellIs" dxfId="2568" priority="2568" operator="greaterThan">
      <formula>0.05</formula>
    </cfRule>
  </conditionalFormatting>
  <conditionalFormatting sqref="R560 T560 V560 Y560">
    <cfRule type="cellIs" dxfId="2567" priority="2561" operator="between">
      <formula>-0.05</formula>
      <formula>0.05</formula>
    </cfRule>
    <cfRule type="containsText" dxfId="2566" priority="2562" operator="containsText" text="NA">
      <formula>NOT(ISERROR(SEARCH("NA",R560)))</formula>
    </cfRule>
    <cfRule type="cellIs" dxfId="2565" priority="2563" operator="lessThan">
      <formula>-0.05</formula>
    </cfRule>
    <cfRule type="cellIs" dxfId="2564" priority="2564" operator="greaterThan">
      <formula>0.05</formula>
    </cfRule>
  </conditionalFormatting>
  <conditionalFormatting sqref="R561 T561 V561 Y561">
    <cfRule type="cellIs" dxfId="2563" priority="2557" operator="between">
      <formula>-0.05</formula>
      <formula>0.05</formula>
    </cfRule>
    <cfRule type="containsText" dxfId="2562" priority="2558" operator="containsText" text="NA">
      <formula>NOT(ISERROR(SEARCH("NA",R561)))</formula>
    </cfRule>
    <cfRule type="cellIs" dxfId="2561" priority="2559" operator="lessThan">
      <formula>-0.05</formula>
    </cfRule>
    <cfRule type="cellIs" dxfId="2560" priority="2560" operator="greaterThan">
      <formula>0.05</formula>
    </cfRule>
  </conditionalFormatting>
  <conditionalFormatting sqref="R562 T562 V562 Y562">
    <cfRule type="cellIs" dxfId="2559" priority="2553" operator="between">
      <formula>-0.05</formula>
      <formula>0.05</formula>
    </cfRule>
    <cfRule type="containsText" dxfId="2558" priority="2554" operator="containsText" text="NA">
      <formula>NOT(ISERROR(SEARCH("NA",R562)))</formula>
    </cfRule>
    <cfRule type="cellIs" dxfId="2557" priority="2555" operator="lessThan">
      <formula>-0.05</formula>
    </cfRule>
    <cfRule type="cellIs" dxfId="2556" priority="2556" operator="greaterThan">
      <formula>0.05</formula>
    </cfRule>
  </conditionalFormatting>
  <conditionalFormatting sqref="R563 T563 V563 Y563">
    <cfRule type="cellIs" dxfId="2555" priority="2549" operator="between">
      <formula>-0.05</formula>
      <formula>0.05</formula>
    </cfRule>
    <cfRule type="containsText" dxfId="2554" priority="2550" operator="containsText" text="NA">
      <formula>NOT(ISERROR(SEARCH("NA",R563)))</formula>
    </cfRule>
    <cfRule type="cellIs" dxfId="2553" priority="2551" operator="lessThan">
      <formula>-0.05</formula>
    </cfRule>
    <cfRule type="cellIs" dxfId="2552" priority="2552" operator="greaterThan">
      <formula>0.05</formula>
    </cfRule>
  </conditionalFormatting>
  <conditionalFormatting sqref="R564 T564 V564 Y564">
    <cfRule type="cellIs" dxfId="2551" priority="2545" operator="between">
      <formula>-0.05</formula>
      <formula>0.05</formula>
    </cfRule>
    <cfRule type="containsText" dxfId="2550" priority="2546" operator="containsText" text="NA">
      <formula>NOT(ISERROR(SEARCH("NA",R564)))</formula>
    </cfRule>
    <cfRule type="cellIs" dxfId="2549" priority="2547" operator="lessThan">
      <formula>-0.05</formula>
    </cfRule>
    <cfRule type="cellIs" dxfId="2548" priority="2548" operator="greaterThan">
      <formula>0.05</formula>
    </cfRule>
  </conditionalFormatting>
  <conditionalFormatting sqref="R565 T565 V565 Y565">
    <cfRule type="cellIs" dxfId="2547" priority="2541" operator="between">
      <formula>-0.05</formula>
      <formula>0.05</formula>
    </cfRule>
    <cfRule type="containsText" dxfId="2546" priority="2542" operator="containsText" text="NA">
      <formula>NOT(ISERROR(SEARCH("NA",R565)))</formula>
    </cfRule>
    <cfRule type="cellIs" dxfId="2545" priority="2543" operator="lessThan">
      <formula>-0.05</formula>
    </cfRule>
    <cfRule type="cellIs" dxfId="2544" priority="2544" operator="greaterThan">
      <formula>0.05</formula>
    </cfRule>
  </conditionalFormatting>
  <conditionalFormatting sqref="R566 T566 V566 Y566">
    <cfRule type="cellIs" dxfId="2543" priority="2537" operator="between">
      <formula>-0.05</formula>
      <formula>0.05</formula>
    </cfRule>
    <cfRule type="containsText" dxfId="2542" priority="2538" operator="containsText" text="NA">
      <formula>NOT(ISERROR(SEARCH("NA",R566)))</formula>
    </cfRule>
    <cfRule type="cellIs" dxfId="2541" priority="2539" operator="lessThan">
      <formula>-0.05</formula>
    </cfRule>
    <cfRule type="cellIs" dxfId="2540" priority="2540" operator="greaterThan">
      <formula>0.05</formula>
    </cfRule>
  </conditionalFormatting>
  <conditionalFormatting sqref="R567 T567 V567 Y567">
    <cfRule type="cellIs" dxfId="2539" priority="2533" operator="between">
      <formula>-0.05</formula>
      <formula>0.05</formula>
    </cfRule>
    <cfRule type="containsText" dxfId="2538" priority="2534" operator="containsText" text="NA">
      <formula>NOT(ISERROR(SEARCH("NA",R567)))</formula>
    </cfRule>
    <cfRule type="cellIs" dxfId="2537" priority="2535" operator="lessThan">
      <formula>-0.05</formula>
    </cfRule>
    <cfRule type="cellIs" dxfId="2536" priority="2536" operator="greaterThan">
      <formula>0.05</formula>
    </cfRule>
  </conditionalFormatting>
  <conditionalFormatting sqref="R568 T568 V568 Y568">
    <cfRule type="cellIs" dxfId="2535" priority="2529" operator="between">
      <formula>-0.05</formula>
      <formula>0.05</formula>
    </cfRule>
    <cfRule type="containsText" dxfId="2534" priority="2530" operator="containsText" text="NA">
      <formula>NOT(ISERROR(SEARCH("NA",R568)))</formula>
    </cfRule>
    <cfRule type="cellIs" dxfId="2533" priority="2531" operator="lessThan">
      <formula>-0.05</formula>
    </cfRule>
    <cfRule type="cellIs" dxfId="2532" priority="2532" operator="greaterThan">
      <formula>0.05</formula>
    </cfRule>
  </conditionalFormatting>
  <conditionalFormatting sqref="R569 T569 V569 Y569">
    <cfRule type="cellIs" dxfId="2531" priority="2525" operator="between">
      <formula>-0.05</formula>
      <formula>0.05</formula>
    </cfRule>
    <cfRule type="containsText" dxfId="2530" priority="2526" operator="containsText" text="NA">
      <formula>NOT(ISERROR(SEARCH("NA",R569)))</formula>
    </cfRule>
    <cfRule type="cellIs" dxfId="2529" priority="2527" operator="lessThan">
      <formula>-0.05</formula>
    </cfRule>
    <cfRule type="cellIs" dxfId="2528" priority="2528" operator="greaterThan">
      <formula>0.05</formula>
    </cfRule>
  </conditionalFormatting>
  <conditionalFormatting sqref="R570 T570 V570 Y570">
    <cfRule type="cellIs" dxfId="2527" priority="2521" operator="between">
      <formula>-0.05</formula>
      <formula>0.05</formula>
    </cfRule>
    <cfRule type="containsText" dxfId="2526" priority="2522" operator="containsText" text="NA">
      <formula>NOT(ISERROR(SEARCH("NA",R570)))</formula>
    </cfRule>
    <cfRule type="cellIs" dxfId="2525" priority="2523" operator="lessThan">
      <formula>-0.05</formula>
    </cfRule>
    <cfRule type="cellIs" dxfId="2524" priority="2524" operator="greaterThan">
      <formula>0.05</formula>
    </cfRule>
  </conditionalFormatting>
  <conditionalFormatting sqref="R571 T571 V571 Y571">
    <cfRule type="cellIs" dxfId="2523" priority="2517" operator="between">
      <formula>-0.05</formula>
      <formula>0.05</formula>
    </cfRule>
    <cfRule type="containsText" dxfId="2522" priority="2518" operator="containsText" text="NA">
      <formula>NOT(ISERROR(SEARCH("NA",R571)))</formula>
    </cfRule>
    <cfRule type="cellIs" dxfId="2521" priority="2519" operator="lessThan">
      <formula>-0.05</formula>
    </cfRule>
    <cfRule type="cellIs" dxfId="2520" priority="2520" operator="greaterThan">
      <formula>0.05</formula>
    </cfRule>
  </conditionalFormatting>
  <conditionalFormatting sqref="R572 T572 V572 Y572">
    <cfRule type="cellIs" dxfId="2519" priority="2513" operator="between">
      <formula>-0.05</formula>
      <formula>0.05</formula>
    </cfRule>
    <cfRule type="containsText" dxfId="2518" priority="2514" operator="containsText" text="NA">
      <formula>NOT(ISERROR(SEARCH("NA",R572)))</formula>
    </cfRule>
    <cfRule type="cellIs" dxfId="2517" priority="2515" operator="lessThan">
      <formula>-0.05</formula>
    </cfRule>
    <cfRule type="cellIs" dxfId="2516" priority="2516" operator="greaterThan">
      <formula>0.05</formula>
    </cfRule>
  </conditionalFormatting>
  <conditionalFormatting sqref="R573 T573 V573 Y573">
    <cfRule type="cellIs" dxfId="2515" priority="2509" operator="between">
      <formula>-0.05</formula>
      <formula>0.05</formula>
    </cfRule>
    <cfRule type="containsText" dxfId="2514" priority="2510" operator="containsText" text="NA">
      <formula>NOT(ISERROR(SEARCH("NA",R573)))</formula>
    </cfRule>
    <cfRule type="cellIs" dxfId="2513" priority="2511" operator="lessThan">
      <formula>-0.05</formula>
    </cfRule>
    <cfRule type="cellIs" dxfId="2512" priority="2512" operator="greaterThan">
      <formula>0.05</formula>
    </cfRule>
  </conditionalFormatting>
  <conditionalFormatting sqref="R574 T574 V574 Y574">
    <cfRule type="cellIs" dxfId="2511" priority="2505" operator="between">
      <formula>-0.05</formula>
      <formula>0.05</formula>
    </cfRule>
    <cfRule type="containsText" dxfId="2510" priority="2506" operator="containsText" text="NA">
      <formula>NOT(ISERROR(SEARCH("NA",R574)))</formula>
    </cfRule>
    <cfRule type="cellIs" dxfId="2509" priority="2507" operator="lessThan">
      <formula>-0.05</formula>
    </cfRule>
    <cfRule type="cellIs" dxfId="2508" priority="2508" operator="greaterThan">
      <formula>0.05</formula>
    </cfRule>
  </conditionalFormatting>
  <conditionalFormatting sqref="R575 T575 V575 Y575">
    <cfRule type="cellIs" dxfId="2507" priority="2501" operator="between">
      <formula>-0.05</formula>
      <formula>0.05</formula>
    </cfRule>
    <cfRule type="containsText" dxfId="2506" priority="2502" operator="containsText" text="NA">
      <formula>NOT(ISERROR(SEARCH("NA",R575)))</formula>
    </cfRule>
    <cfRule type="cellIs" dxfId="2505" priority="2503" operator="lessThan">
      <formula>-0.05</formula>
    </cfRule>
    <cfRule type="cellIs" dxfId="2504" priority="2504" operator="greaterThan">
      <formula>0.05</formula>
    </cfRule>
  </conditionalFormatting>
  <conditionalFormatting sqref="R576 T576 V576 Y576">
    <cfRule type="cellIs" dxfId="2503" priority="2497" operator="between">
      <formula>-0.05</formula>
      <formula>0.05</formula>
    </cfRule>
    <cfRule type="containsText" dxfId="2502" priority="2498" operator="containsText" text="NA">
      <formula>NOT(ISERROR(SEARCH("NA",R576)))</formula>
    </cfRule>
    <cfRule type="cellIs" dxfId="2501" priority="2499" operator="lessThan">
      <formula>-0.05</formula>
    </cfRule>
    <cfRule type="cellIs" dxfId="2500" priority="2500" operator="greaterThan">
      <formula>0.05</formula>
    </cfRule>
  </conditionalFormatting>
  <conditionalFormatting sqref="R577 T577 V577 Y577">
    <cfRule type="cellIs" dxfId="2499" priority="2493" operator="between">
      <formula>-0.05</formula>
      <formula>0.05</formula>
    </cfRule>
    <cfRule type="containsText" dxfId="2498" priority="2494" operator="containsText" text="NA">
      <formula>NOT(ISERROR(SEARCH("NA",R577)))</formula>
    </cfRule>
    <cfRule type="cellIs" dxfId="2497" priority="2495" operator="lessThan">
      <formula>-0.05</formula>
    </cfRule>
    <cfRule type="cellIs" dxfId="2496" priority="2496" operator="greaterThan">
      <formula>0.05</formula>
    </cfRule>
  </conditionalFormatting>
  <conditionalFormatting sqref="R578 T578 V578 Y578">
    <cfRule type="cellIs" dxfId="2495" priority="2489" operator="between">
      <formula>-0.05</formula>
      <formula>0.05</formula>
    </cfRule>
    <cfRule type="containsText" dxfId="2494" priority="2490" operator="containsText" text="NA">
      <formula>NOT(ISERROR(SEARCH("NA",R578)))</formula>
    </cfRule>
    <cfRule type="cellIs" dxfId="2493" priority="2491" operator="lessThan">
      <formula>-0.05</formula>
    </cfRule>
    <cfRule type="cellIs" dxfId="2492" priority="2492" operator="greaterThan">
      <formula>0.05</formula>
    </cfRule>
  </conditionalFormatting>
  <conditionalFormatting sqref="R579 T579 V579 Y579">
    <cfRule type="cellIs" dxfId="2491" priority="2485" operator="between">
      <formula>-0.05</formula>
      <formula>0.05</formula>
    </cfRule>
    <cfRule type="containsText" dxfId="2490" priority="2486" operator="containsText" text="NA">
      <formula>NOT(ISERROR(SEARCH("NA",R579)))</formula>
    </cfRule>
    <cfRule type="cellIs" dxfId="2489" priority="2487" operator="lessThan">
      <formula>-0.05</formula>
    </cfRule>
    <cfRule type="cellIs" dxfId="2488" priority="2488" operator="greaterThan">
      <formula>0.05</formula>
    </cfRule>
  </conditionalFormatting>
  <conditionalFormatting sqref="R580 T580 V580 Y580">
    <cfRule type="cellIs" dxfId="2487" priority="2481" operator="between">
      <formula>-0.05</formula>
      <formula>0.05</formula>
    </cfRule>
    <cfRule type="containsText" dxfId="2486" priority="2482" operator="containsText" text="NA">
      <formula>NOT(ISERROR(SEARCH("NA",R580)))</formula>
    </cfRule>
    <cfRule type="cellIs" dxfId="2485" priority="2483" operator="lessThan">
      <formula>-0.05</formula>
    </cfRule>
    <cfRule type="cellIs" dxfId="2484" priority="2484" operator="greaterThan">
      <formula>0.05</formula>
    </cfRule>
  </conditionalFormatting>
  <conditionalFormatting sqref="R581 T581 V581 Y581">
    <cfRule type="cellIs" dxfId="2483" priority="2477" operator="between">
      <formula>-0.05</formula>
      <formula>0.05</formula>
    </cfRule>
    <cfRule type="containsText" dxfId="2482" priority="2478" operator="containsText" text="NA">
      <formula>NOT(ISERROR(SEARCH("NA",R581)))</formula>
    </cfRule>
    <cfRule type="cellIs" dxfId="2481" priority="2479" operator="lessThan">
      <formula>-0.05</formula>
    </cfRule>
    <cfRule type="cellIs" dxfId="2480" priority="2480" operator="greaterThan">
      <formula>0.05</formula>
    </cfRule>
  </conditionalFormatting>
  <conditionalFormatting sqref="R582 T582 V582 Y582">
    <cfRule type="cellIs" dxfId="2479" priority="2473" operator="between">
      <formula>-0.05</formula>
      <formula>0.05</formula>
    </cfRule>
    <cfRule type="containsText" dxfId="2478" priority="2474" operator="containsText" text="NA">
      <formula>NOT(ISERROR(SEARCH("NA",R582)))</formula>
    </cfRule>
    <cfRule type="cellIs" dxfId="2477" priority="2475" operator="lessThan">
      <formula>-0.05</formula>
    </cfRule>
    <cfRule type="cellIs" dxfId="2476" priority="2476" operator="greaterThan">
      <formula>0.05</formula>
    </cfRule>
  </conditionalFormatting>
  <conditionalFormatting sqref="R583 T583 V583 Y583">
    <cfRule type="cellIs" dxfId="2475" priority="2469" operator="between">
      <formula>-0.05</formula>
      <formula>0.05</formula>
    </cfRule>
    <cfRule type="containsText" dxfId="2474" priority="2470" operator="containsText" text="NA">
      <formula>NOT(ISERROR(SEARCH("NA",R583)))</formula>
    </cfRule>
    <cfRule type="cellIs" dxfId="2473" priority="2471" operator="lessThan">
      <formula>-0.05</formula>
    </cfRule>
    <cfRule type="cellIs" dxfId="2472" priority="2472" operator="greaterThan">
      <formula>0.05</formula>
    </cfRule>
  </conditionalFormatting>
  <conditionalFormatting sqref="R584 T584 V584 Y584">
    <cfRule type="cellIs" dxfId="2471" priority="2465" operator="between">
      <formula>-0.05</formula>
      <formula>0.05</formula>
    </cfRule>
    <cfRule type="containsText" dxfId="2470" priority="2466" operator="containsText" text="NA">
      <formula>NOT(ISERROR(SEARCH("NA",R584)))</formula>
    </cfRule>
    <cfRule type="cellIs" dxfId="2469" priority="2467" operator="lessThan">
      <formula>-0.05</formula>
    </cfRule>
    <cfRule type="cellIs" dxfId="2468" priority="2468" operator="greaterThan">
      <formula>0.05</formula>
    </cfRule>
  </conditionalFormatting>
  <conditionalFormatting sqref="R585 T585 V585 Y585">
    <cfRule type="cellIs" dxfId="2467" priority="2461" operator="between">
      <formula>-0.05</formula>
      <formula>0.05</formula>
    </cfRule>
    <cfRule type="containsText" dxfId="2466" priority="2462" operator="containsText" text="NA">
      <formula>NOT(ISERROR(SEARCH("NA",R585)))</formula>
    </cfRule>
    <cfRule type="cellIs" dxfId="2465" priority="2463" operator="lessThan">
      <formula>-0.05</formula>
    </cfRule>
    <cfRule type="cellIs" dxfId="2464" priority="2464" operator="greaterThan">
      <formula>0.05</formula>
    </cfRule>
  </conditionalFormatting>
  <conditionalFormatting sqref="R586 T586 V586 Y586">
    <cfRule type="cellIs" dxfId="2463" priority="2457" operator="between">
      <formula>-0.05</formula>
      <formula>0.05</formula>
    </cfRule>
    <cfRule type="containsText" dxfId="2462" priority="2458" operator="containsText" text="NA">
      <formula>NOT(ISERROR(SEARCH("NA",R586)))</formula>
    </cfRule>
    <cfRule type="cellIs" dxfId="2461" priority="2459" operator="lessThan">
      <formula>-0.05</formula>
    </cfRule>
    <cfRule type="cellIs" dxfId="2460" priority="2460" operator="greaterThan">
      <formula>0.05</formula>
    </cfRule>
  </conditionalFormatting>
  <conditionalFormatting sqref="R587 T587 V587 Y587">
    <cfRule type="cellIs" dxfId="2459" priority="2453" operator="between">
      <formula>-0.05</formula>
      <formula>0.05</formula>
    </cfRule>
    <cfRule type="containsText" dxfId="2458" priority="2454" operator="containsText" text="NA">
      <formula>NOT(ISERROR(SEARCH("NA",R587)))</formula>
    </cfRule>
    <cfRule type="cellIs" dxfId="2457" priority="2455" operator="lessThan">
      <formula>-0.05</formula>
    </cfRule>
    <cfRule type="cellIs" dxfId="2456" priority="2456" operator="greaterThan">
      <formula>0.05</formula>
    </cfRule>
  </conditionalFormatting>
  <conditionalFormatting sqref="R588 T588 V588 Y588">
    <cfRule type="cellIs" dxfId="2455" priority="2449" operator="between">
      <formula>-0.05</formula>
      <formula>0.05</formula>
    </cfRule>
    <cfRule type="containsText" dxfId="2454" priority="2450" operator="containsText" text="NA">
      <formula>NOT(ISERROR(SEARCH("NA",R588)))</formula>
    </cfRule>
    <cfRule type="cellIs" dxfId="2453" priority="2451" operator="lessThan">
      <formula>-0.05</formula>
    </cfRule>
    <cfRule type="cellIs" dxfId="2452" priority="2452" operator="greaterThan">
      <formula>0.05</formula>
    </cfRule>
  </conditionalFormatting>
  <conditionalFormatting sqref="R589 T589 V589 Y589">
    <cfRule type="cellIs" dxfId="2451" priority="2445" operator="between">
      <formula>-0.05</formula>
      <formula>0.05</formula>
    </cfRule>
    <cfRule type="containsText" dxfId="2450" priority="2446" operator="containsText" text="NA">
      <formula>NOT(ISERROR(SEARCH("NA",R589)))</formula>
    </cfRule>
    <cfRule type="cellIs" dxfId="2449" priority="2447" operator="lessThan">
      <formula>-0.05</formula>
    </cfRule>
    <cfRule type="cellIs" dxfId="2448" priority="2448" operator="greaterThan">
      <formula>0.05</formula>
    </cfRule>
  </conditionalFormatting>
  <conditionalFormatting sqref="R590 T590 V590 Y590">
    <cfRule type="cellIs" dxfId="2447" priority="2441" operator="between">
      <formula>-0.05</formula>
      <formula>0.05</formula>
    </cfRule>
    <cfRule type="containsText" dxfId="2446" priority="2442" operator="containsText" text="NA">
      <formula>NOT(ISERROR(SEARCH("NA",R590)))</formula>
    </cfRule>
    <cfRule type="cellIs" dxfId="2445" priority="2443" operator="lessThan">
      <formula>-0.05</formula>
    </cfRule>
    <cfRule type="cellIs" dxfId="2444" priority="2444" operator="greaterThan">
      <formula>0.05</formula>
    </cfRule>
  </conditionalFormatting>
  <conditionalFormatting sqref="R591 T591 V591 Y591">
    <cfRule type="cellIs" dxfId="2443" priority="2437" operator="between">
      <formula>-0.05</formula>
      <formula>0.05</formula>
    </cfRule>
    <cfRule type="containsText" dxfId="2442" priority="2438" operator="containsText" text="NA">
      <formula>NOT(ISERROR(SEARCH("NA",R591)))</formula>
    </cfRule>
    <cfRule type="cellIs" dxfId="2441" priority="2439" operator="lessThan">
      <formula>-0.05</formula>
    </cfRule>
    <cfRule type="cellIs" dxfId="2440" priority="2440" operator="greaterThan">
      <formula>0.05</formula>
    </cfRule>
  </conditionalFormatting>
  <conditionalFormatting sqref="R592 T592 V592 Y592">
    <cfRule type="cellIs" dxfId="2439" priority="2433" operator="between">
      <formula>-0.05</formula>
      <formula>0.05</formula>
    </cfRule>
    <cfRule type="containsText" dxfId="2438" priority="2434" operator="containsText" text="NA">
      <formula>NOT(ISERROR(SEARCH("NA",R592)))</formula>
    </cfRule>
    <cfRule type="cellIs" dxfId="2437" priority="2435" operator="lessThan">
      <formula>-0.05</formula>
    </cfRule>
    <cfRule type="cellIs" dxfId="2436" priority="2436" operator="greaterThan">
      <formula>0.05</formula>
    </cfRule>
  </conditionalFormatting>
  <conditionalFormatting sqref="R593 T593 V593 Y593">
    <cfRule type="cellIs" dxfId="2435" priority="2429" operator="between">
      <formula>-0.05</formula>
      <formula>0.05</formula>
    </cfRule>
    <cfRule type="containsText" dxfId="2434" priority="2430" operator="containsText" text="NA">
      <formula>NOT(ISERROR(SEARCH("NA",R593)))</formula>
    </cfRule>
    <cfRule type="cellIs" dxfId="2433" priority="2431" operator="lessThan">
      <formula>-0.05</formula>
    </cfRule>
    <cfRule type="cellIs" dxfId="2432" priority="2432" operator="greaterThan">
      <formula>0.05</formula>
    </cfRule>
  </conditionalFormatting>
  <conditionalFormatting sqref="R594 T594 V594 Y594">
    <cfRule type="cellIs" dxfId="2431" priority="2425" operator="between">
      <formula>-0.05</formula>
      <formula>0.05</formula>
    </cfRule>
    <cfRule type="containsText" dxfId="2430" priority="2426" operator="containsText" text="NA">
      <formula>NOT(ISERROR(SEARCH("NA",R594)))</formula>
    </cfRule>
    <cfRule type="cellIs" dxfId="2429" priority="2427" operator="lessThan">
      <formula>-0.05</formula>
    </cfRule>
    <cfRule type="cellIs" dxfId="2428" priority="2428" operator="greaterThan">
      <formula>0.05</formula>
    </cfRule>
  </conditionalFormatting>
  <conditionalFormatting sqref="R595 T595 V595 Y595">
    <cfRule type="cellIs" dxfId="2427" priority="2421" operator="between">
      <formula>-0.05</formula>
      <formula>0.05</formula>
    </cfRule>
    <cfRule type="containsText" dxfId="2426" priority="2422" operator="containsText" text="NA">
      <formula>NOT(ISERROR(SEARCH("NA",R595)))</formula>
    </cfRule>
    <cfRule type="cellIs" dxfId="2425" priority="2423" operator="lessThan">
      <formula>-0.05</formula>
    </cfRule>
    <cfRule type="cellIs" dxfId="2424" priority="2424" operator="greaterThan">
      <formula>0.05</formula>
    </cfRule>
  </conditionalFormatting>
  <conditionalFormatting sqref="R596 T596 V596 Y596">
    <cfRule type="cellIs" dxfId="2423" priority="2417" operator="between">
      <formula>-0.05</formula>
      <formula>0.05</formula>
    </cfRule>
    <cfRule type="containsText" dxfId="2422" priority="2418" operator="containsText" text="NA">
      <formula>NOT(ISERROR(SEARCH("NA",R596)))</formula>
    </cfRule>
    <cfRule type="cellIs" dxfId="2421" priority="2419" operator="lessThan">
      <formula>-0.05</formula>
    </cfRule>
    <cfRule type="cellIs" dxfId="2420" priority="2420" operator="greaterThan">
      <formula>0.05</formula>
    </cfRule>
  </conditionalFormatting>
  <conditionalFormatting sqref="R597 T597 V597 Y597">
    <cfRule type="cellIs" dxfId="2419" priority="2413" operator="between">
      <formula>-0.05</formula>
      <formula>0.05</formula>
    </cfRule>
    <cfRule type="containsText" dxfId="2418" priority="2414" operator="containsText" text="NA">
      <formula>NOT(ISERROR(SEARCH("NA",R597)))</formula>
    </cfRule>
    <cfRule type="cellIs" dxfId="2417" priority="2415" operator="lessThan">
      <formula>-0.05</formula>
    </cfRule>
    <cfRule type="cellIs" dxfId="2416" priority="2416" operator="greaterThan">
      <formula>0.05</formula>
    </cfRule>
  </conditionalFormatting>
  <conditionalFormatting sqref="R598 T598 V598 Y598">
    <cfRule type="cellIs" dxfId="2415" priority="2409" operator="between">
      <formula>-0.05</formula>
      <formula>0.05</formula>
    </cfRule>
    <cfRule type="containsText" dxfId="2414" priority="2410" operator="containsText" text="NA">
      <formula>NOT(ISERROR(SEARCH("NA",R598)))</formula>
    </cfRule>
    <cfRule type="cellIs" dxfId="2413" priority="2411" operator="lessThan">
      <formula>-0.05</formula>
    </cfRule>
    <cfRule type="cellIs" dxfId="2412" priority="2412" operator="greaterThan">
      <formula>0.05</formula>
    </cfRule>
  </conditionalFormatting>
  <conditionalFormatting sqref="R599 T599 V599 Y599">
    <cfRule type="cellIs" dxfId="2411" priority="2405" operator="between">
      <formula>-0.05</formula>
      <formula>0.05</formula>
    </cfRule>
    <cfRule type="containsText" dxfId="2410" priority="2406" operator="containsText" text="NA">
      <formula>NOT(ISERROR(SEARCH("NA",R599)))</formula>
    </cfRule>
    <cfRule type="cellIs" dxfId="2409" priority="2407" operator="lessThan">
      <formula>-0.05</formula>
    </cfRule>
    <cfRule type="cellIs" dxfId="2408" priority="2408" operator="greaterThan">
      <formula>0.05</formula>
    </cfRule>
  </conditionalFormatting>
  <conditionalFormatting sqref="R600 T600 V600 Y600">
    <cfRule type="cellIs" dxfId="2407" priority="2401" operator="between">
      <formula>-0.05</formula>
      <formula>0.05</formula>
    </cfRule>
    <cfRule type="containsText" dxfId="2406" priority="2402" operator="containsText" text="NA">
      <formula>NOT(ISERROR(SEARCH("NA",R600)))</formula>
    </cfRule>
    <cfRule type="cellIs" dxfId="2405" priority="2403" operator="lessThan">
      <formula>-0.05</formula>
    </cfRule>
    <cfRule type="cellIs" dxfId="2404" priority="2404" operator="greaterThan">
      <formula>0.05</formula>
    </cfRule>
  </conditionalFormatting>
  <conditionalFormatting sqref="R601 T601 V601 Y601">
    <cfRule type="cellIs" dxfId="2403" priority="2397" operator="between">
      <formula>-0.05</formula>
      <formula>0.05</formula>
    </cfRule>
    <cfRule type="containsText" dxfId="2402" priority="2398" operator="containsText" text="NA">
      <formula>NOT(ISERROR(SEARCH("NA",R601)))</formula>
    </cfRule>
    <cfRule type="cellIs" dxfId="2401" priority="2399" operator="lessThan">
      <formula>-0.05</formula>
    </cfRule>
    <cfRule type="cellIs" dxfId="2400" priority="2400" operator="greaterThan">
      <formula>0.05</formula>
    </cfRule>
  </conditionalFormatting>
  <conditionalFormatting sqref="R602 T602 V602 Y602">
    <cfRule type="cellIs" dxfId="2399" priority="2393" operator="between">
      <formula>-0.05</formula>
      <formula>0.05</formula>
    </cfRule>
    <cfRule type="containsText" dxfId="2398" priority="2394" operator="containsText" text="NA">
      <formula>NOT(ISERROR(SEARCH("NA",R602)))</formula>
    </cfRule>
    <cfRule type="cellIs" dxfId="2397" priority="2395" operator="lessThan">
      <formula>-0.05</formula>
    </cfRule>
    <cfRule type="cellIs" dxfId="2396" priority="2396" operator="greaterThan">
      <formula>0.05</formula>
    </cfRule>
  </conditionalFormatting>
  <conditionalFormatting sqref="R603 T603 V603 Y603">
    <cfRule type="cellIs" dxfId="2395" priority="2389" operator="between">
      <formula>-0.05</formula>
      <formula>0.05</formula>
    </cfRule>
    <cfRule type="containsText" dxfId="2394" priority="2390" operator="containsText" text="NA">
      <formula>NOT(ISERROR(SEARCH("NA",R603)))</formula>
    </cfRule>
    <cfRule type="cellIs" dxfId="2393" priority="2391" operator="lessThan">
      <formula>-0.05</formula>
    </cfRule>
    <cfRule type="cellIs" dxfId="2392" priority="2392" operator="greaterThan">
      <formula>0.05</formula>
    </cfRule>
  </conditionalFormatting>
  <conditionalFormatting sqref="R604 T604 V604 Y604">
    <cfRule type="cellIs" dxfId="2391" priority="2385" operator="between">
      <formula>-0.05</formula>
      <formula>0.05</formula>
    </cfRule>
    <cfRule type="containsText" dxfId="2390" priority="2386" operator="containsText" text="NA">
      <formula>NOT(ISERROR(SEARCH("NA",R604)))</formula>
    </cfRule>
    <cfRule type="cellIs" dxfId="2389" priority="2387" operator="lessThan">
      <formula>-0.05</formula>
    </cfRule>
    <cfRule type="cellIs" dxfId="2388" priority="2388" operator="greaterThan">
      <formula>0.05</formula>
    </cfRule>
  </conditionalFormatting>
  <conditionalFormatting sqref="R605 T605 V605 Y605">
    <cfRule type="cellIs" dxfId="2387" priority="2381" operator="between">
      <formula>-0.05</formula>
      <formula>0.05</formula>
    </cfRule>
    <cfRule type="containsText" dxfId="2386" priority="2382" operator="containsText" text="NA">
      <formula>NOT(ISERROR(SEARCH("NA",R605)))</formula>
    </cfRule>
    <cfRule type="cellIs" dxfId="2385" priority="2383" operator="lessThan">
      <formula>-0.05</formula>
    </cfRule>
    <cfRule type="cellIs" dxfId="2384" priority="2384" operator="greaterThan">
      <formula>0.05</formula>
    </cfRule>
  </conditionalFormatting>
  <conditionalFormatting sqref="R606 T606 V606 Y606">
    <cfRule type="cellIs" dxfId="2383" priority="2377" operator="between">
      <formula>-0.05</formula>
      <formula>0.05</formula>
    </cfRule>
    <cfRule type="containsText" dxfId="2382" priority="2378" operator="containsText" text="NA">
      <formula>NOT(ISERROR(SEARCH("NA",R606)))</formula>
    </cfRule>
    <cfRule type="cellIs" dxfId="2381" priority="2379" operator="lessThan">
      <formula>-0.05</formula>
    </cfRule>
    <cfRule type="cellIs" dxfId="2380" priority="2380" operator="greaterThan">
      <formula>0.05</formula>
    </cfRule>
  </conditionalFormatting>
  <conditionalFormatting sqref="R607 T607 V607 Y607">
    <cfRule type="cellIs" dxfId="2379" priority="2373" operator="between">
      <formula>-0.05</formula>
      <formula>0.05</formula>
    </cfRule>
    <cfRule type="containsText" dxfId="2378" priority="2374" operator="containsText" text="NA">
      <formula>NOT(ISERROR(SEARCH("NA",R607)))</formula>
    </cfRule>
    <cfRule type="cellIs" dxfId="2377" priority="2375" operator="lessThan">
      <formula>-0.05</formula>
    </cfRule>
    <cfRule type="cellIs" dxfId="2376" priority="2376" operator="greaterThan">
      <formula>0.05</formula>
    </cfRule>
  </conditionalFormatting>
  <conditionalFormatting sqref="R608 T608 V608 Y608">
    <cfRule type="cellIs" dxfId="2375" priority="2369" operator="between">
      <formula>-0.05</formula>
      <formula>0.05</formula>
    </cfRule>
    <cfRule type="containsText" dxfId="2374" priority="2370" operator="containsText" text="NA">
      <formula>NOT(ISERROR(SEARCH("NA",R608)))</formula>
    </cfRule>
    <cfRule type="cellIs" dxfId="2373" priority="2371" operator="lessThan">
      <formula>-0.05</formula>
    </cfRule>
    <cfRule type="cellIs" dxfId="2372" priority="2372" operator="greaterThan">
      <formula>0.05</formula>
    </cfRule>
  </conditionalFormatting>
  <conditionalFormatting sqref="R609 T609 V609 Y609">
    <cfRule type="cellIs" dxfId="2371" priority="2365" operator="between">
      <formula>-0.05</formula>
      <formula>0.05</formula>
    </cfRule>
    <cfRule type="containsText" dxfId="2370" priority="2366" operator="containsText" text="NA">
      <formula>NOT(ISERROR(SEARCH("NA",R609)))</formula>
    </cfRule>
    <cfRule type="cellIs" dxfId="2369" priority="2367" operator="lessThan">
      <formula>-0.05</formula>
    </cfRule>
    <cfRule type="cellIs" dxfId="2368" priority="2368" operator="greaterThan">
      <formula>0.05</formula>
    </cfRule>
  </conditionalFormatting>
  <conditionalFormatting sqref="R610 T610 V610 Y610">
    <cfRule type="cellIs" dxfId="2367" priority="2361" operator="between">
      <formula>-0.05</formula>
      <formula>0.05</formula>
    </cfRule>
    <cfRule type="containsText" dxfId="2366" priority="2362" operator="containsText" text="NA">
      <formula>NOT(ISERROR(SEARCH("NA",R610)))</formula>
    </cfRule>
    <cfRule type="cellIs" dxfId="2365" priority="2363" operator="lessThan">
      <formula>-0.05</formula>
    </cfRule>
    <cfRule type="cellIs" dxfId="2364" priority="2364" operator="greaterThan">
      <formula>0.05</formula>
    </cfRule>
  </conditionalFormatting>
  <conditionalFormatting sqref="R611 T611 V611 Y611">
    <cfRule type="cellIs" dxfId="2363" priority="2357" operator="between">
      <formula>-0.05</formula>
      <formula>0.05</formula>
    </cfRule>
    <cfRule type="containsText" dxfId="2362" priority="2358" operator="containsText" text="NA">
      <formula>NOT(ISERROR(SEARCH("NA",R611)))</formula>
    </cfRule>
    <cfRule type="cellIs" dxfId="2361" priority="2359" operator="lessThan">
      <formula>-0.05</formula>
    </cfRule>
    <cfRule type="cellIs" dxfId="2360" priority="2360" operator="greaterThan">
      <formula>0.05</formula>
    </cfRule>
  </conditionalFormatting>
  <conditionalFormatting sqref="R612 T612 V612 Y612">
    <cfRule type="cellIs" dxfId="2359" priority="2353" operator="between">
      <formula>-0.05</formula>
      <formula>0.05</formula>
    </cfRule>
    <cfRule type="containsText" dxfId="2358" priority="2354" operator="containsText" text="NA">
      <formula>NOT(ISERROR(SEARCH("NA",R612)))</formula>
    </cfRule>
    <cfRule type="cellIs" dxfId="2357" priority="2355" operator="lessThan">
      <formula>-0.05</formula>
    </cfRule>
    <cfRule type="cellIs" dxfId="2356" priority="2356" operator="greaterThan">
      <formula>0.05</formula>
    </cfRule>
  </conditionalFormatting>
  <conditionalFormatting sqref="R613 T613 V613 Y613">
    <cfRule type="cellIs" dxfId="2355" priority="2349" operator="between">
      <formula>-0.05</formula>
      <formula>0.05</formula>
    </cfRule>
    <cfRule type="containsText" dxfId="2354" priority="2350" operator="containsText" text="NA">
      <formula>NOT(ISERROR(SEARCH("NA",R613)))</formula>
    </cfRule>
    <cfRule type="cellIs" dxfId="2353" priority="2351" operator="lessThan">
      <formula>-0.05</formula>
    </cfRule>
    <cfRule type="cellIs" dxfId="2352" priority="2352" operator="greaterThan">
      <formula>0.05</formula>
    </cfRule>
  </conditionalFormatting>
  <conditionalFormatting sqref="R614 T614 V614 Y614">
    <cfRule type="cellIs" dxfId="2351" priority="2345" operator="between">
      <formula>-0.05</formula>
      <formula>0.05</formula>
    </cfRule>
    <cfRule type="containsText" dxfId="2350" priority="2346" operator="containsText" text="NA">
      <formula>NOT(ISERROR(SEARCH("NA",R614)))</formula>
    </cfRule>
    <cfRule type="cellIs" dxfId="2349" priority="2347" operator="lessThan">
      <formula>-0.05</formula>
    </cfRule>
    <cfRule type="cellIs" dxfId="2348" priority="2348" operator="greaterThan">
      <formula>0.05</formula>
    </cfRule>
  </conditionalFormatting>
  <conditionalFormatting sqref="R615 T615 V615 Y615">
    <cfRule type="cellIs" dxfId="2347" priority="2341" operator="between">
      <formula>-0.05</formula>
      <formula>0.05</formula>
    </cfRule>
    <cfRule type="containsText" dxfId="2346" priority="2342" operator="containsText" text="NA">
      <formula>NOT(ISERROR(SEARCH("NA",R615)))</formula>
    </cfRule>
    <cfRule type="cellIs" dxfId="2345" priority="2343" operator="lessThan">
      <formula>-0.05</formula>
    </cfRule>
    <cfRule type="cellIs" dxfId="2344" priority="2344" operator="greaterThan">
      <formula>0.05</formula>
    </cfRule>
  </conditionalFormatting>
  <conditionalFormatting sqref="R616 T616 V616 Y616">
    <cfRule type="cellIs" dxfId="2343" priority="2337" operator="between">
      <formula>-0.05</formula>
      <formula>0.05</formula>
    </cfRule>
    <cfRule type="containsText" dxfId="2342" priority="2338" operator="containsText" text="NA">
      <formula>NOT(ISERROR(SEARCH("NA",R616)))</formula>
    </cfRule>
    <cfRule type="cellIs" dxfId="2341" priority="2339" operator="lessThan">
      <formula>-0.05</formula>
    </cfRule>
    <cfRule type="cellIs" dxfId="2340" priority="2340" operator="greaterThan">
      <formula>0.05</formula>
    </cfRule>
  </conditionalFormatting>
  <conditionalFormatting sqref="R617 T617 V617 Y617">
    <cfRule type="cellIs" dxfId="2339" priority="2333" operator="between">
      <formula>-0.05</formula>
      <formula>0.05</formula>
    </cfRule>
    <cfRule type="containsText" dxfId="2338" priority="2334" operator="containsText" text="NA">
      <formula>NOT(ISERROR(SEARCH("NA",R617)))</formula>
    </cfRule>
    <cfRule type="cellIs" dxfId="2337" priority="2335" operator="lessThan">
      <formula>-0.05</formula>
    </cfRule>
    <cfRule type="cellIs" dxfId="2336" priority="2336" operator="greaterThan">
      <formula>0.05</formula>
    </cfRule>
  </conditionalFormatting>
  <conditionalFormatting sqref="R618 T618 V618 Y618">
    <cfRule type="cellIs" dxfId="2335" priority="2329" operator="between">
      <formula>-0.05</formula>
      <formula>0.05</formula>
    </cfRule>
    <cfRule type="containsText" dxfId="2334" priority="2330" operator="containsText" text="NA">
      <formula>NOT(ISERROR(SEARCH("NA",R618)))</formula>
    </cfRule>
    <cfRule type="cellIs" dxfId="2333" priority="2331" operator="lessThan">
      <formula>-0.05</formula>
    </cfRule>
    <cfRule type="cellIs" dxfId="2332" priority="2332" operator="greaterThan">
      <formula>0.05</formula>
    </cfRule>
  </conditionalFormatting>
  <conditionalFormatting sqref="R619 T619 V619 Y619">
    <cfRule type="cellIs" dxfId="2331" priority="2325" operator="between">
      <formula>-0.05</formula>
      <formula>0.05</formula>
    </cfRule>
    <cfRule type="containsText" dxfId="2330" priority="2326" operator="containsText" text="NA">
      <formula>NOT(ISERROR(SEARCH("NA",R619)))</formula>
    </cfRule>
    <cfRule type="cellIs" dxfId="2329" priority="2327" operator="lessThan">
      <formula>-0.05</formula>
    </cfRule>
    <cfRule type="cellIs" dxfId="2328" priority="2328" operator="greaterThan">
      <formula>0.05</formula>
    </cfRule>
  </conditionalFormatting>
  <conditionalFormatting sqref="R620 T620 V620 Y620">
    <cfRule type="cellIs" dxfId="2327" priority="2321" operator="between">
      <formula>-0.05</formula>
      <formula>0.05</formula>
    </cfRule>
    <cfRule type="containsText" dxfId="2326" priority="2322" operator="containsText" text="NA">
      <formula>NOT(ISERROR(SEARCH("NA",R620)))</formula>
    </cfRule>
    <cfRule type="cellIs" dxfId="2325" priority="2323" operator="lessThan">
      <formula>-0.05</formula>
    </cfRule>
    <cfRule type="cellIs" dxfId="2324" priority="2324" operator="greaterThan">
      <formula>0.05</formula>
    </cfRule>
  </conditionalFormatting>
  <conditionalFormatting sqref="R621 T621 V621 Y621">
    <cfRule type="cellIs" dxfId="2323" priority="2317" operator="between">
      <formula>-0.05</formula>
      <formula>0.05</formula>
    </cfRule>
    <cfRule type="containsText" dxfId="2322" priority="2318" operator="containsText" text="NA">
      <formula>NOT(ISERROR(SEARCH("NA",R621)))</formula>
    </cfRule>
    <cfRule type="cellIs" dxfId="2321" priority="2319" operator="lessThan">
      <formula>-0.05</formula>
    </cfRule>
    <cfRule type="cellIs" dxfId="2320" priority="2320" operator="greaterThan">
      <formula>0.05</formula>
    </cfRule>
  </conditionalFormatting>
  <conditionalFormatting sqref="R622 T622 V622 Y622">
    <cfRule type="cellIs" dxfId="2319" priority="2313" operator="between">
      <formula>-0.05</formula>
      <formula>0.05</formula>
    </cfRule>
    <cfRule type="containsText" dxfId="2318" priority="2314" operator="containsText" text="NA">
      <formula>NOT(ISERROR(SEARCH("NA",R622)))</formula>
    </cfRule>
    <cfRule type="cellIs" dxfId="2317" priority="2315" operator="lessThan">
      <formula>-0.05</formula>
    </cfRule>
    <cfRule type="cellIs" dxfId="2316" priority="2316" operator="greaterThan">
      <formula>0.05</formula>
    </cfRule>
  </conditionalFormatting>
  <conditionalFormatting sqref="R623 T623 V623 Y623">
    <cfRule type="cellIs" dxfId="2315" priority="2309" operator="between">
      <formula>-0.05</formula>
      <formula>0.05</formula>
    </cfRule>
    <cfRule type="containsText" dxfId="2314" priority="2310" operator="containsText" text="NA">
      <formula>NOT(ISERROR(SEARCH("NA",R623)))</formula>
    </cfRule>
    <cfRule type="cellIs" dxfId="2313" priority="2311" operator="lessThan">
      <formula>-0.05</formula>
    </cfRule>
    <cfRule type="cellIs" dxfId="2312" priority="2312" operator="greaterThan">
      <formula>0.05</formula>
    </cfRule>
  </conditionalFormatting>
  <conditionalFormatting sqref="R624 T624 V624 Y624">
    <cfRule type="cellIs" dxfId="2311" priority="2305" operator="between">
      <formula>-0.05</formula>
      <formula>0.05</formula>
    </cfRule>
    <cfRule type="containsText" dxfId="2310" priority="2306" operator="containsText" text="NA">
      <formula>NOT(ISERROR(SEARCH("NA",R624)))</formula>
    </cfRule>
    <cfRule type="cellIs" dxfId="2309" priority="2307" operator="lessThan">
      <formula>-0.05</formula>
    </cfRule>
    <cfRule type="cellIs" dxfId="2308" priority="2308" operator="greaterThan">
      <formula>0.05</formula>
    </cfRule>
  </conditionalFormatting>
  <conditionalFormatting sqref="R625 T625 V625 Y625">
    <cfRule type="cellIs" dxfId="2307" priority="2301" operator="between">
      <formula>-0.05</formula>
      <formula>0.05</formula>
    </cfRule>
    <cfRule type="containsText" dxfId="2306" priority="2302" operator="containsText" text="NA">
      <formula>NOT(ISERROR(SEARCH("NA",R625)))</formula>
    </cfRule>
    <cfRule type="cellIs" dxfId="2305" priority="2303" operator="lessThan">
      <formula>-0.05</formula>
    </cfRule>
    <cfRule type="cellIs" dxfId="2304" priority="2304" operator="greaterThan">
      <formula>0.05</formula>
    </cfRule>
  </conditionalFormatting>
  <conditionalFormatting sqref="R626 T626 V626 Y626">
    <cfRule type="cellIs" dxfId="2303" priority="2297" operator="between">
      <formula>-0.05</formula>
      <formula>0.05</formula>
    </cfRule>
    <cfRule type="containsText" dxfId="2302" priority="2298" operator="containsText" text="NA">
      <formula>NOT(ISERROR(SEARCH("NA",R626)))</formula>
    </cfRule>
    <cfRule type="cellIs" dxfId="2301" priority="2299" operator="lessThan">
      <formula>-0.05</formula>
    </cfRule>
    <cfRule type="cellIs" dxfId="2300" priority="2300" operator="greaterThan">
      <formula>0.05</formula>
    </cfRule>
  </conditionalFormatting>
  <conditionalFormatting sqref="R627 T627 V627 Y627">
    <cfRule type="cellIs" dxfId="2299" priority="2293" operator="between">
      <formula>-0.05</formula>
      <formula>0.05</formula>
    </cfRule>
    <cfRule type="containsText" dxfId="2298" priority="2294" operator="containsText" text="NA">
      <formula>NOT(ISERROR(SEARCH("NA",R627)))</formula>
    </cfRule>
    <cfRule type="cellIs" dxfId="2297" priority="2295" operator="lessThan">
      <formula>-0.05</formula>
    </cfRule>
    <cfRule type="cellIs" dxfId="2296" priority="2296" operator="greaterThan">
      <formula>0.05</formula>
    </cfRule>
  </conditionalFormatting>
  <conditionalFormatting sqref="R628 T628 V628 Y628">
    <cfRule type="cellIs" dxfId="2295" priority="2289" operator="between">
      <formula>-0.05</formula>
      <formula>0.05</formula>
    </cfRule>
    <cfRule type="containsText" dxfId="2294" priority="2290" operator="containsText" text="NA">
      <formula>NOT(ISERROR(SEARCH("NA",R628)))</formula>
    </cfRule>
    <cfRule type="cellIs" dxfId="2293" priority="2291" operator="lessThan">
      <formula>-0.05</formula>
    </cfRule>
    <cfRule type="cellIs" dxfId="2292" priority="2292" operator="greaterThan">
      <formula>0.05</formula>
    </cfRule>
  </conditionalFormatting>
  <conditionalFormatting sqref="R629 T629 V629 Y629">
    <cfRule type="cellIs" dxfId="2291" priority="2285" operator="between">
      <formula>-0.05</formula>
      <formula>0.05</formula>
    </cfRule>
    <cfRule type="containsText" dxfId="2290" priority="2286" operator="containsText" text="NA">
      <formula>NOT(ISERROR(SEARCH("NA",R629)))</formula>
    </cfRule>
    <cfRule type="cellIs" dxfId="2289" priority="2287" operator="lessThan">
      <formula>-0.05</formula>
    </cfRule>
    <cfRule type="cellIs" dxfId="2288" priority="2288" operator="greaterThan">
      <formula>0.05</formula>
    </cfRule>
  </conditionalFormatting>
  <conditionalFormatting sqref="R630 T630 V630 Y630">
    <cfRule type="cellIs" dxfId="2287" priority="2281" operator="between">
      <formula>-0.05</formula>
      <formula>0.05</formula>
    </cfRule>
    <cfRule type="containsText" dxfId="2286" priority="2282" operator="containsText" text="NA">
      <formula>NOT(ISERROR(SEARCH("NA",R630)))</formula>
    </cfRule>
    <cfRule type="cellIs" dxfId="2285" priority="2283" operator="lessThan">
      <formula>-0.05</formula>
    </cfRule>
    <cfRule type="cellIs" dxfId="2284" priority="2284" operator="greaterThan">
      <formula>0.05</formula>
    </cfRule>
  </conditionalFormatting>
  <conditionalFormatting sqref="R631 T631 V631 Y631">
    <cfRule type="cellIs" dxfId="2283" priority="2277" operator="between">
      <formula>-0.05</formula>
      <formula>0.05</formula>
    </cfRule>
    <cfRule type="containsText" dxfId="2282" priority="2278" operator="containsText" text="NA">
      <formula>NOT(ISERROR(SEARCH("NA",R631)))</formula>
    </cfRule>
    <cfRule type="cellIs" dxfId="2281" priority="2279" operator="lessThan">
      <formula>-0.05</formula>
    </cfRule>
    <cfRule type="cellIs" dxfId="2280" priority="2280" operator="greaterThan">
      <formula>0.05</formula>
    </cfRule>
  </conditionalFormatting>
  <conditionalFormatting sqref="R632 T632 V632 Y632">
    <cfRule type="cellIs" dxfId="2279" priority="2273" operator="between">
      <formula>-0.05</formula>
      <formula>0.05</formula>
    </cfRule>
    <cfRule type="containsText" dxfId="2278" priority="2274" operator="containsText" text="NA">
      <formula>NOT(ISERROR(SEARCH("NA",R632)))</formula>
    </cfRule>
    <cfRule type="cellIs" dxfId="2277" priority="2275" operator="lessThan">
      <formula>-0.05</formula>
    </cfRule>
    <cfRule type="cellIs" dxfId="2276" priority="2276" operator="greaterThan">
      <formula>0.05</formula>
    </cfRule>
  </conditionalFormatting>
  <conditionalFormatting sqref="R633 T633 V633 Y633">
    <cfRule type="cellIs" dxfId="2275" priority="2269" operator="between">
      <formula>-0.05</formula>
      <formula>0.05</formula>
    </cfRule>
    <cfRule type="containsText" dxfId="2274" priority="2270" operator="containsText" text="NA">
      <formula>NOT(ISERROR(SEARCH("NA",R633)))</formula>
    </cfRule>
    <cfRule type="cellIs" dxfId="2273" priority="2271" operator="lessThan">
      <formula>-0.05</formula>
    </cfRule>
    <cfRule type="cellIs" dxfId="2272" priority="2272" operator="greaterThan">
      <formula>0.05</formula>
    </cfRule>
  </conditionalFormatting>
  <conditionalFormatting sqref="R634 T634 V634 Y634">
    <cfRule type="cellIs" dxfId="2271" priority="2265" operator="between">
      <formula>-0.05</formula>
      <formula>0.05</formula>
    </cfRule>
    <cfRule type="containsText" dxfId="2270" priority="2266" operator="containsText" text="NA">
      <formula>NOT(ISERROR(SEARCH("NA",R634)))</formula>
    </cfRule>
    <cfRule type="cellIs" dxfId="2269" priority="2267" operator="lessThan">
      <formula>-0.05</formula>
    </cfRule>
    <cfRule type="cellIs" dxfId="2268" priority="2268" operator="greaterThan">
      <formula>0.05</formula>
    </cfRule>
  </conditionalFormatting>
  <conditionalFormatting sqref="R635 T635 V635 Y635">
    <cfRule type="cellIs" dxfId="2267" priority="2261" operator="between">
      <formula>-0.05</formula>
      <formula>0.05</formula>
    </cfRule>
    <cfRule type="containsText" dxfId="2266" priority="2262" operator="containsText" text="NA">
      <formula>NOT(ISERROR(SEARCH("NA",R635)))</formula>
    </cfRule>
    <cfRule type="cellIs" dxfId="2265" priority="2263" operator="lessThan">
      <formula>-0.05</formula>
    </cfRule>
    <cfRule type="cellIs" dxfId="2264" priority="2264" operator="greaterThan">
      <formula>0.05</formula>
    </cfRule>
  </conditionalFormatting>
  <conditionalFormatting sqref="R636 T636 V636 Y636">
    <cfRule type="cellIs" dxfId="2263" priority="2257" operator="between">
      <formula>-0.05</formula>
      <formula>0.05</formula>
    </cfRule>
    <cfRule type="containsText" dxfId="2262" priority="2258" operator="containsText" text="NA">
      <formula>NOT(ISERROR(SEARCH("NA",R636)))</formula>
    </cfRule>
    <cfRule type="cellIs" dxfId="2261" priority="2259" operator="lessThan">
      <formula>-0.05</formula>
    </cfRule>
    <cfRule type="cellIs" dxfId="2260" priority="2260" operator="greaterThan">
      <formula>0.05</formula>
    </cfRule>
  </conditionalFormatting>
  <conditionalFormatting sqref="R637 T637 V637 Y637">
    <cfRule type="cellIs" dxfId="2259" priority="2253" operator="between">
      <formula>-0.05</formula>
      <formula>0.05</formula>
    </cfRule>
    <cfRule type="containsText" dxfId="2258" priority="2254" operator="containsText" text="NA">
      <formula>NOT(ISERROR(SEARCH("NA",R637)))</formula>
    </cfRule>
    <cfRule type="cellIs" dxfId="2257" priority="2255" operator="lessThan">
      <formula>-0.05</formula>
    </cfRule>
    <cfRule type="cellIs" dxfId="2256" priority="2256" operator="greaterThan">
      <formula>0.05</formula>
    </cfRule>
  </conditionalFormatting>
  <conditionalFormatting sqref="R638 T638 V638 Y638">
    <cfRule type="cellIs" dxfId="2255" priority="2249" operator="between">
      <formula>-0.05</formula>
      <formula>0.05</formula>
    </cfRule>
    <cfRule type="containsText" dxfId="2254" priority="2250" operator="containsText" text="NA">
      <formula>NOT(ISERROR(SEARCH("NA",R638)))</formula>
    </cfRule>
    <cfRule type="cellIs" dxfId="2253" priority="2251" operator="lessThan">
      <formula>-0.05</formula>
    </cfRule>
    <cfRule type="cellIs" dxfId="2252" priority="2252" operator="greaterThan">
      <formula>0.05</formula>
    </cfRule>
  </conditionalFormatting>
  <conditionalFormatting sqref="R639 T639 V639 Y639">
    <cfRule type="cellIs" dxfId="2251" priority="2245" operator="between">
      <formula>-0.05</formula>
      <formula>0.05</formula>
    </cfRule>
    <cfRule type="containsText" dxfId="2250" priority="2246" operator="containsText" text="NA">
      <formula>NOT(ISERROR(SEARCH("NA",R639)))</formula>
    </cfRule>
    <cfRule type="cellIs" dxfId="2249" priority="2247" operator="lessThan">
      <formula>-0.05</formula>
    </cfRule>
    <cfRule type="cellIs" dxfId="2248" priority="2248" operator="greaterThan">
      <formula>0.05</formula>
    </cfRule>
  </conditionalFormatting>
  <conditionalFormatting sqref="R640 T640 V640 Y640">
    <cfRule type="cellIs" dxfId="2247" priority="2241" operator="between">
      <formula>-0.05</formula>
      <formula>0.05</formula>
    </cfRule>
    <cfRule type="containsText" dxfId="2246" priority="2242" operator="containsText" text="NA">
      <formula>NOT(ISERROR(SEARCH("NA",R640)))</formula>
    </cfRule>
    <cfRule type="cellIs" dxfId="2245" priority="2243" operator="lessThan">
      <formula>-0.05</formula>
    </cfRule>
    <cfRule type="cellIs" dxfId="2244" priority="2244" operator="greaterThan">
      <formula>0.05</formula>
    </cfRule>
  </conditionalFormatting>
  <conditionalFormatting sqref="R641 T641 V641 Y641">
    <cfRule type="cellIs" dxfId="2243" priority="2237" operator="between">
      <formula>-0.05</formula>
      <formula>0.05</formula>
    </cfRule>
    <cfRule type="containsText" dxfId="2242" priority="2238" operator="containsText" text="NA">
      <formula>NOT(ISERROR(SEARCH("NA",R641)))</formula>
    </cfRule>
    <cfRule type="cellIs" dxfId="2241" priority="2239" operator="lessThan">
      <formula>-0.05</formula>
    </cfRule>
    <cfRule type="cellIs" dxfId="2240" priority="2240" operator="greaterThan">
      <formula>0.05</formula>
    </cfRule>
  </conditionalFormatting>
  <conditionalFormatting sqref="R642 T642 V642 Y642">
    <cfRule type="cellIs" dxfId="2239" priority="2233" operator="between">
      <formula>-0.05</formula>
      <formula>0.05</formula>
    </cfRule>
    <cfRule type="containsText" dxfId="2238" priority="2234" operator="containsText" text="NA">
      <formula>NOT(ISERROR(SEARCH("NA",R642)))</formula>
    </cfRule>
    <cfRule type="cellIs" dxfId="2237" priority="2235" operator="lessThan">
      <formula>-0.05</formula>
    </cfRule>
    <cfRule type="cellIs" dxfId="2236" priority="2236" operator="greaterThan">
      <formula>0.05</formula>
    </cfRule>
  </conditionalFormatting>
  <conditionalFormatting sqref="R643 T643 V643 Y643">
    <cfRule type="cellIs" dxfId="2235" priority="2229" operator="between">
      <formula>-0.05</formula>
      <formula>0.05</formula>
    </cfRule>
    <cfRule type="containsText" dxfId="2234" priority="2230" operator="containsText" text="NA">
      <formula>NOT(ISERROR(SEARCH("NA",R643)))</formula>
    </cfRule>
    <cfRule type="cellIs" dxfId="2233" priority="2231" operator="lessThan">
      <formula>-0.05</formula>
    </cfRule>
    <cfRule type="cellIs" dxfId="2232" priority="2232" operator="greaterThan">
      <formula>0.05</formula>
    </cfRule>
  </conditionalFormatting>
  <conditionalFormatting sqref="R644 T644 V644 Y644">
    <cfRule type="cellIs" dxfId="2231" priority="2225" operator="between">
      <formula>-0.05</formula>
      <formula>0.05</formula>
    </cfRule>
    <cfRule type="containsText" dxfId="2230" priority="2226" operator="containsText" text="NA">
      <formula>NOT(ISERROR(SEARCH("NA",R644)))</formula>
    </cfRule>
    <cfRule type="cellIs" dxfId="2229" priority="2227" operator="lessThan">
      <formula>-0.05</formula>
    </cfRule>
    <cfRule type="cellIs" dxfId="2228" priority="2228" operator="greaterThan">
      <formula>0.05</formula>
    </cfRule>
  </conditionalFormatting>
  <conditionalFormatting sqref="R645 T645 V645 Y645">
    <cfRule type="cellIs" dxfId="2227" priority="2221" operator="between">
      <formula>-0.05</formula>
      <formula>0.05</formula>
    </cfRule>
    <cfRule type="containsText" dxfId="2226" priority="2222" operator="containsText" text="NA">
      <formula>NOT(ISERROR(SEARCH("NA",R645)))</formula>
    </cfRule>
    <cfRule type="cellIs" dxfId="2225" priority="2223" operator="lessThan">
      <formula>-0.05</formula>
    </cfRule>
    <cfRule type="cellIs" dxfId="2224" priority="2224" operator="greaterThan">
      <formula>0.05</formula>
    </cfRule>
  </conditionalFormatting>
  <conditionalFormatting sqref="R646 T646 V646 Y646">
    <cfRule type="cellIs" dxfId="2223" priority="2217" operator="between">
      <formula>-0.05</formula>
      <formula>0.05</formula>
    </cfRule>
    <cfRule type="containsText" dxfId="2222" priority="2218" operator="containsText" text="NA">
      <formula>NOT(ISERROR(SEARCH("NA",R646)))</formula>
    </cfRule>
    <cfRule type="cellIs" dxfId="2221" priority="2219" operator="lessThan">
      <formula>-0.05</formula>
    </cfRule>
    <cfRule type="cellIs" dxfId="2220" priority="2220" operator="greaterThan">
      <formula>0.05</formula>
    </cfRule>
  </conditionalFormatting>
  <conditionalFormatting sqref="R647 T647 V647 Y647">
    <cfRule type="cellIs" dxfId="2219" priority="2213" operator="between">
      <formula>-0.05</formula>
      <formula>0.05</formula>
    </cfRule>
    <cfRule type="containsText" dxfId="2218" priority="2214" operator="containsText" text="NA">
      <formula>NOT(ISERROR(SEARCH("NA",R647)))</formula>
    </cfRule>
    <cfRule type="cellIs" dxfId="2217" priority="2215" operator="lessThan">
      <formula>-0.05</formula>
    </cfRule>
    <cfRule type="cellIs" dxfId="2216" priority="2216" operator="greaterThan">
      <formula>0.05</formula>
    </cfRule>
  </conditionalFormatting>
  <conditionalFormatting sqref="R648 T648 V648 Y648">
    <cfRule type="cellIs" dxfId="2215" priority="2209" operator="between">
      <formula>-0.05</formula>
      <formula>0.05</formula>
    </cfRule>
    <cfRule type="containsText" dxfId="2214" priority="2210" operator="containsText" text="NA">
      <formula>NOT(ISERROR(SEARCH("NA",R648)))</formula>
    </cfRule>
    <cfRule type="cellIs" dxfId="2213" priority="2211" operator="lessThan">
      <formula>-0.05</formula>
    </cfRule>
    <cfRule type="cellIs" dxfId="2212" priority="2212" operator="greaterThan">
      <formula>0.05</formula>
    </cfRule>
  </conditionalFormatting>
  <conditionalFormatting sqref="R649 T649 V649 Y649">
    <cfRule type="cellIs" dxfId="2211" priority="2205" operator="between">
      <formula>-0.05</formula>
      <formula>0.05</formula>
    </cfRule>
    <cfRule type="containsText" dxfId="2210" priority="2206" operator="containsText" text="NA">
      <formula>NOT(ISERROR(SEARCH("NA",R649)))</formula>
    </cfRule>
    <cfRule type="cellIs" dxfId="2209" priority="2207" operator="lessThan">
      <formula>-0.05</formula>
    </cfRule>
    <cfRule type="cellIs" dxfId="2208" priority="2208" operator="greaterThan">
      <formula>0.05</formula>
    </cfRule>
  </conditionalFormatting>
  <conditionalFormatting sqref="R650 T650 V650 Y650">
    <cfRule type="cellIs" dxfId="2207" priority="2201" operator="between">
      <formula>-0.05</formula>
      <formula>0.05</formula>
    </cfRule>
    <cfRule type="containsText" dxfId="2206" priority="2202" operator="containsText" text="NA">
      <formula>NOT(ISERROR(SEARCH("NA",R650)))</formula>
    </cfRule>
    <cfRule type="cellIs" dxfId="2205" priority="2203" operator="lessThan">
      <formula>-0.05</formula>
    </cfRule>
    <cfRule type="cellIs" dxfId="2204" priority="2204" operator="greaterThan">
      <formula>0.05</formula>
    </cfRule>
  </conditionalFormatting>
  <conditionalFormatting sqref="R651 T651 V651 Y651">
    <cfRule type="cellIs" dxfId="2203" priority="2197" operator="between">
      <formula>-0.05</formula>
      <formula>0.05</formula>
    </cfRule>
    <cfRule type="containsText" dxfId="2202" priority="2198" operator="containsText" text="NA">
      <formula>NOT(ISERROR(SEARCH("NA",R651)))</formula>
    </cfRule>
    <cfRule type="cellIs" dxfId="2201" priority="2199" operator="lessThan">
      <formula>-0.05</formula>
    </cfRule>
    <cfRule type="cellIs" dxfId="2200" priority="2200" operator="greaterThan">
      <formula>0.05</formula>
    </cfRule>
  </conditionalFormatting>
  <conditionalFormatting sqref="R652 T652 V652 Y652">
    <cfRule type="cellIs" dxfId="2199" priority="2193" operator="between">
      <formula>-0.05</formula>
      <formula>0.05</formula>
    </cfRule>
    <cfRule type="containsText" dxfId="2198" priority="2194" operator="containsText" text="NA">
      <formula>NOT(ISERROR(SEARCH("NA",R652)))</formula>
    </cfRule>
    <cfRule type="cellIs" dxfId="2197" priority="2195" operator="lessThan">
      <formula>-0.05</formula>
    </cfRule>
    <cfRule type="cellIs" dxfId="2196" priority="2196" operator="greaterThan">
      <formula>0.05</formula>
    </cfRule>
  </conditionalFormatting>
  <conditionalFormatting sqref="R653 T653 V653 Y653">
    <cfRule type="cellIs" dxfId="2195" priority="2189" operator="between">
      <formula>-0.05</formula>
      <formula>0.05</formula>
    </cfRule>
    <cfRule type="containsText" dxfId="2194" priority="2190" operator="containsText" text="NA">
      <formula>NOT(ISERROR(SEARCH("NA",R653)))</formula>
    </cfRule>
    <cfRule type="cellIs" dxfId="2193" priority="2191" operator="lessThan">
      <formula>-0.05</formula>
    </cfRule>
    <cfRule type="cellIs" dxfId="2192" priority="2192" operator="greaterThan">
      <formula>0.05</formula>
    </cfRule>
  </conditionalFormatting>
  <conditionalFormatting sqref="R654 T654 V654 Y654">
    <cfRule type="cellIs" dxfId="2191" priority="2185" operator="between">
      <formula>-0.05</formula>
      <formula>0.05</formula>
    </cfRule>
    <cfRule type="containsText" dxfId="2190" priority="2186" operator="containsText" text="NA">
      <formula>NOT(ISERROR(SEARCH("NA",R654)))</formula>
    </cfRule>
    <cfRule type="cellIs" dxfId="2189" priority="2187" operator="lessThan">
      <formula>-0.05</formula>
    </cfRule>
    <cfRule type="cellIs" dxfId="2188" priority="2188" operator="greaterThan">
      <formula>0.05</formula>
    </cfRule>
  </conditionalFormatting>
  <conditionalFormatting sqref="R655 T655 V655 Y655">
    <cfRule type="cellIs" dxfId="2187" priority="2181" operator="between">
      <formula>-0.05</formula>
      <formula>0.05</formula>
    </cfRule>
    <cfRule type="containsText" dxfId="2186" priority="2182" operator="containsText" text="NA">
      <formula>NOT(ISERROR(SEARCH("NA",R655)))</formula>
    </cfRule>
    <cfRule type="cellIs" dxfId="2185" priority="2183" operator="lessThan">
      <formula>-0.05</formula>
    </cfRule>
    <cfRule type="cellIs" dxfId="2184" priority="2184" operator="greaterThan">
      <formula>0.05</formula>
    </cfRule>
  </conditionalFormatting>
  <conditionalFormatting sqref="R656 T656 V656 Y656">
    <cfRule type="cellIs" dxfId="2183" priority="2177" operator="between">
      <formula>-0.05</formula>
      <formula>0.05</formula>
    </cfRule>
    <cfRule type="containsText" dxfId="2182" priority="2178" operator="containsText" text="NA">
      <formula>NOT(ISERROR(SEARCH("NA",R656)))</formula>
    </cfRule>
    <cfRule type="cellIs" dxfId="2181" priority="2179" operator="lessThan">
      <formula>-0.05</formula>
    </cfRule>
    <cfRule type="cellIs" dxfId="2180" priority="2180" operator="greaterThan">
      <formula>0.05</formula>
    </cfRule>
  </conditionalFormatting>
  <conditionalFormatting sqref="R657 T657 V657 Y657">
    <cfRule type="cellIs" dxfId="2179" priority="2173" operator="between">
      <formula>-0.05</formula>
      <formula>0.05</formula>
    </cfRule>
    <cfRule type="containsText" dxfId="2178" priority="2174" operator="containsText" text="NA">
      <formula>NOT(ISERROR(SEARCH("NA",R657)))</formula>
    </cfRule>
    <cfRule type="cellIs" dxfId="2177" priority="2175" operator="lessThan">
      <formula>-0.05</formula>
    </cfRule>
    <cfRule type="cellIs" dxfId="2176" priority="2176" operator="greaterThan">
      <formula>0.05</formula>
    </cfRule>
  </conditionalFormatting>
  <conditionalFormatting sqref="R658 T658 V658 Y658">
    <cfRule type="cellIs" dxfId="2175" priority="2169" operator="between">
      <formula>-0.05</formula>
      <formula>0.05</formula>
    </cfRule>
    <cfRule type="containsText" dxfId="2174" priority="2170" operator="containsText" text="NA">
      <formula>NOT(ISERROR(SEARCH("NA",R658)))</formula>
    </cfRule>
    <cfRule type="cellIs" dxfId="2173" priority="2171" operator="lessThan">
      <formula>-0.05</formula>
    </cfRule>
    <cfRule type="cellIs" dxfId="2172" priority="2172" operator="greaterThan">
      <formula>0.05</formula>
    </cfRule>
  </conditionalFormatting>
  <conditionalFormatting sqref="R659 T659 V659 Y659">
    <cfRule type="cellIs" dxfId="2171" priority="2165" operator="between">
      <formula>-0.05</formula>
      <formula>0.05</formula>
    </cfRule>
    <cfRule type="containsText" dxfId="2170" priority="2166" operator="containsText" text="NA">
      <formula>NOT(ISERROR(SEARCH("NA",R659)))</formula>
    </cfRule>
    <cfRule type="cellIs" dxfId="2169" priority="2167" operator="lessThan">
      <formula>-0.05</formula>
    </cfRule>
    <cfRule type="cellIs" dxfId="2168" priority="2168" operator="greaterThan">
      <formula>0.05</formula>
    </cfRule>
  </conditionalFormatting>
  <conditionalFormatting sqref="R660 T660 V660 Y660">
    <cfRule type="cellIs" dxfId="2167" priority="2161" operator="between">
      <formula>-0.05</formula>
      <formula>0.05</formula>
    </cfRule>
    <cfRule type="containsText" dxfId="2166" priority="2162" operator="containsText" text="NA">
      <formula>NOT(ISERROR(SEARCH("NA",R660)))</formula>
    </cfRule>
    <cfRule type="cellIs" dxfId="2165" priority="2163" operator="lessThan">
      <formula>-0.05</formula>
    </cfRule>
    <cfRule type="cellIs" dxfId="2164" priority="2164" operator="greaterThan">
      <formula>0.05</formula>
    </cfRule>
  </conditionalFormatting>
  <conditionalFormatting sqref="R661 T661 V661 Y661">
    <cfRule type="cellIs" dxfId="2163" priority="2157" operator="between">
      <formula>-0.05</formula>
      <formula>0.05</formula>
    </cfRule>
    <cfRule type="containsText" dxfId="2162" priority="2158" operator="containsText" text="NA">
      <formula>NOT(ISERROR(SEARCH("NA",R661)))</formula>
    </cfRule>
    <cfRule type="cellIs" dxfId="2161" priority="2159" operator="lessThan">
      <formula>-0.05</formula>
    </cfRule>
    <cfRule type="cellIs" dxfId="2160" priority="2160" operator="greaterThan">
      <formula>0.05</formula>
    </cfRule>
  </conditionalFormatting>
  <conditionalFormatting sqref="R662 T662 V662 Y662">
    <cfRule type="cellIs" dxfId="2159" priority="2153" operator="between">
      <formula>-0.05</formula>
      <formula>0.05</formula>
    </cfRule>
    <cfRule type="containsText" dxfId="2158" priority="2154" operator="containsText" text="NA">
      <formula>NOT(ISERROR(SEARCH("NA",R662)))</formula>
    </cfRule>
    <cfRule type="cellIs" dxfId="2157" priority="2155" operator="lessThan">
      <formula>-0.05</formula>
    </cfRule>
    <cfRule type="cellIs" dxfId="2156" priority="2156" operator="greaterThan">
      <formula>0.05</formula>
    </cfRule>
  </conditionalFormatting>
  <conditionalFormatting sqref="R663 T663 V663 Y663">
    <cfRule type="cellIs" dxfId="2155" priority="2149" operator="between">
      <formula>-0.05</formula>
      <formula>0.05</formula>
    </cfRule>
    <cfRule type="containsText" dxfId="2154" priority="2150" operator="containsText" text="NA">
      <formula>NOT(ISERROR(SEARCH("NA",R663)))</formula>
    </cfRule>
    <cfRule type="cellIs" dxfId="2153" priority="2151" operator="lessThan">
      <formula>-0.05</formula>
    </cfRule>
    <cfRule type="cellIs" dxfId="2152" priority="2152" operator="greaterThan">
      <formula>0.05</formula>
    </cfRule>
  </conditionalFormatting>
  <conditionalFormatting sqref="R664 T664 V664 Y664">
    <cfRule type="cellIs" dxfId="2151" priority="2145" operator="between">
      <formula>-0.05</formula>
      <formula>0.05</formula>
    </cfRule>
    <cfRule type="containsText" dxfId="2150" priority="2146" operator="containsText" text="NA">
      <formula>NOT(ISERROR(SEARCH("NA",R664)))</formula>
    </cfRule>
    <cfRule type="cellIs" dxfId="2149" priority="2147" operator="lessThan">
      <formula>-0.05</formula>
    </cfRule>
    <cfRule type="cellIs" dxfId="2148" priority="2148" operator="greaterThan">
      <formula>0.05</formula>
    </cfRule>
  </conditionalFormatting>
  <conditionalFormatting sqref="R665 T665 V665 Y665">
    <cfRule type="cellIs" dxfId="2147" priority="2141" operator="between">
      <formula>-0.05</formula>
      <formula>0.05</formula>
    </cfRule>
    <cfRule type="containsText" dxfId="2146" priority="2142" operator="containsText" text="NA">
      <formula>NOT(ISERROR(SEARCH("NA",R665)))</formula>
    </cfRule>
    <cfRule type="cellIs" dxfId="2145" priority="2143" operator="lessThan">
      <formula>-0.05</formula>
    </cfRule>
    <cfRule type="cellIs" dxfId="2144" priority="2144" operator="greaterThan">
      <formula>0.05</formula>
    </cfRule>
  </conditionalFormatting>
  <conditionalFormatting sqref="R666 T666 V666 Y666">
    <cfRule type="cellIs" dxfId="2143" priority="2137" operator="between">
      <formula>-0.05</formula>
      <formula>0.05</formula>
    </cfRule>
    <cfRule type="containsText" dxfId="2142" priority="2138" operator="containsText" text="NA">
      <formula>NOT(ISERROR(SEARCH("NA",R666)))</formula>
    </cfRule>
    <cfRule type="cellIs" dxfId="2141" priority="2139" operator="lessThan">
      <formula>-0.05</formula>
    </cfRule>
    <cfRule type="cellIs" dxfId="2140" priority="2140" operator="greaterThan">
      <formula>0.05</formula>
    </cfRule>
  </conditionalFormatting>
  <conditionalFormatting sqref="R667 T667 V667 Y667">
    <cfRule type="cellIs" dxfId="2139" priority="2133" operator="between">
      <formula>-0.05</formula>
      <formula>0.05</formula>
    </cfRule>
    <cfRule type="containsText" dxfId="2138" priority="2134" operator="containsText" text="NA">
      <formula>NOT(ISERROR(SEARCH("NA",R667)))</formula>
    </cfRule>
    <cfRule type="cellIs" dxfId="2137" priority="2135" operator="lessThan">
      <formula>-0.05</formula>
    </cfRule>
    <cfRule type="cellIs" dxfId="2136" priority="2136" operator="greaterThan">
      <formula>0.05</formula>
    </cfRule>
  </conditionalFormatting>
  <conditionalFormatting sqref="R668 T668 V668 Y668">
    <cfRule type="cellIs" dxfId="2135" priority="2129" operator="between">
      <formula>-0.05</formula>
      <formula>0.05</formula>
    </cfRule>
    <cfRule type="containsText" dxfId="2134" priority="2130" operator="containsText" text="NA">
      <formula>NOT(ISERROR(SEARCH("NA",R668)))</formula>
    </cfRule>
    <cfRule type="cellIs" dxfId="2133" priority="2131" operator="lessThan">
      <formula>-0.05</formula>
    </cfRule>
    <cfRule type="cellIs" dxfId="2132" priority="2132" operator="greaterThan">
      <formula>0.05</formula>
    </cfRule>
  </conditionalFormatting>
  <conditionalFormatting sqref="R669 T669 V669 Y669">
    <cfRule type="cellIs" dxfId="2131" priority="2125" operator="between">
      <formula>-0.05</formula>
      <formula>0.05</formula>
    </cfRule>
    <cfRule type="containsText" dxfId="2130" priority="2126" operator="containsText" text="NA">
      <formula>NOT(ISERROR(SEARCH("NA",R669)))</formula>
    </cfRule>
    <cfRule type="cellIs" dxfId="2129" priority="2127" operator="lessThan">
      <formula>-0.05</formula>
    </cfRule>
    <cfRule type="cellIs" dxfId="2128" priority="2128" operator="greaterThan">
      <formula>0.05</formula>
    </cfRule>
  </conditionalFormatting>
  <conditionalFormatting sqref="R670 T670 V670 Y670">
    <cfRule type="cellIs" dxfId="2127" priority="2121" operator="between">
      <formula>-0.05</formula>
      <formula>0.05</formula>
    </cfRule>
    <cfRule type="containsText" dxfId="2126" priority="2122" operator="containsText" text="NA">
      <formula>NOT(ISERROR(SEARCH("NA",R670)))</formula>
    </cfRule>
    <cfRule type="cellIs" dxfId="2125" priority="2123" operator="lessThan">
      <formula>-0.05</formula>
    </cfRule>
    <cfRule type="cellIs" dxfId="2124" priority="2124" operator="greaterThan">
      <formula>0.05</formula>
    </cfRule>
  </conditionalFormatting>
  <conditionalFormatting sqref="R671 T671 V671 Y671">
    <cfRule type="cellIs" dxfId="2123" priority="2117" operator="between">
      <formula>-0.05</formula>
      <formula>0.05</formula>
    </cfRule>
    <cfRule type="containsText" dxfId="2122" priority="2118" operator="containsText" text="NA">
      <formula>NOT(ISERROR(SEARCH("NA",R671)))</formula>
    </cfRule>
    <cfRule type="cellIs" dxfId="2121" priority="2119" operator="lessThan">
      <formula>-0.05</formula>
    </cfRule>
    <cfRule type="cellIs" dxfId="2120" priority="2120" operator="greaterThan">
      <formula>0.05</formula>
    </cfRule>
  </conditionalFormatting>
  <conditionalFormatting sqref="R672 T672 V672 Y672">
    <cfRule type="cellIs" dxfId="2119" priority="2113" operator="between">
      <formula>-0.05</formula>
      <formula>0.05</formula>
    </cfRule>
    <cfRule type="containsText" dxfId="2118" priority="2114" operator="containsText" text="NA">
      <formula>NOT(ISERROR(SEARCH("NA",R672)))</formula>
    </cfRule>
    <cfRule type="cellIs" dxfId="2117" priority="2115" operator="lessThan">
      <formula>-0.05</formula>
    </cfRule>
    <cfRule type="cellIs" dxfId="2116" priority="2116" operator="greaterThan">
      <formula>0.05</formula>
    </cfRule>
  </conditionalFormatting>
  <conditionalFormatting sqref="R673 T673 V673 Y673">
    <cfRule type="cellIs" dxfId="2115" priority="2109" operator="between">
      <formula>-0.05</formula>
      <formula>0.05</formula>
    </cfRule>
    <cfRule type="containsText" dxfId="2114" priority="2110" operator="containsText" text="NA">
      <formula>NOT(ISERROR(SEARCH("NA",R673)))</formula>
    </cfRule>
    <cfRule type="cellIs" dxfId="2113" priority="2111" operator="lessThan">
      <formula>-0.05</formula>
    </cfRule>
    <cfRule type="cellIs" dxfId="2112" priority="2112" operator="greaterThan">
      <formula>0.05</formula>
    </cfRule>
  </conditionalFormatting>
  <conditionalFormatting sqref="R674 T674 V674 Y674">
    <cfRule type="cellIs" dxfId="2111" priority="2105" operator="between">
      <formula>-0.05</formula>
      <formula>0.05</formula>
    </cfRule>
    <cfRule type="containsText" dxfId="2110" priority="2106" operator="containsText" text="NA">
      <formula>NOT(ISERROR(SEARCH("NA",R674)))</formula>
    </cfRule>
    <cfRule type="cellIs" dxfId="2109" priority="2107" operator="lessThan">
      <formula>-0.05</formula>
    </cfRule>
    <cfRule type="cellIs" dxfId="2108" priority="2108" operator="greaterThan">
      <formula>0.05</formula>
    </cfRule>
  </conditionalFormatting>
  <conditionalFormatting sqref="R675 T675 V675 Y675">
    <cfRule type="cellIs" dxfId="2107" priority="2101" operator="between">
      <formula>-0.05</formula>
      <formula>0.05</formula>
    </cfRule>
    <cfRule type="containsText" dxfId="2106" priority="2102" operator="containsText" text="NA">
      <formula>NOT(ISERROR(SEARCH("NA",R675)))</formula>
    </cfRule>
    <cfRule type="cellIs" dxfId="2105" priority="2103" operator="lessThan">
      <formula>-0.05</formula>
    </cfRule>
    <cfRule type="cellIs" dxfId="2104" priority="2104" operator="greaterThan">
      <formula>0.05</formula>
    </cfRule>
  </conditionalFormatting>
  <conditionalFormatting sqref="R676 T676 V676 Y676">
    <cfRule type="cellIs" dxfId="2103" priority="2097" operator="between">
      <formula>-0.05</formula>
      <formula>0.05</formula>
    </cfRule>
    <cfRule type="containsText" dxfId="2102" priority="2098" operator="containsText" text="NA">
      <formula>NOT(ISERROR(SEARCH("NA",R676)))</formula>
    </cfRule>
    <cfRule type="cellIs" dxfId="2101" priority="2099" operator="lessThan">
      <formula>-0.05</formula>
    </cfRule>
    <cfRule type="cellIs" dxfId="2100" priority="2100" operator="greaterThan">
      <formula>0.05</formula>
    </cfRule>
  </conditionalFormatting>
  <conditionalFormatting sqref="R677 T677 V677 Y677">
    <cfRule type="cellIs" dxfId="2099" priority="2093" operator="between">
      <formula>-0.05</formula>
      <formula>0.05</formula>
    </cfRule>
    <cfRule type="containsText" dxfId="2098" priority="2094" operator="containsText" text="NA">
      <formula>NOT(ISERROR(SEARCH("NA",R677)))</formula>
    </cfRule>
    <cfRule type="cellIs" dxfId="2097" priority="2095" operator="lessThan">
      <formula>-0.05</formula>
    </cfRule>
    <cfRule type="cellIs" dxfId="2096" priority="2096" operator="greaterThan">
      <formula>0.05</formula>
    </cfRule>
  </conditionalFormatting>
  <conditionalFormatting sqref="R678 T678 V678 Y678">
    <cfRule type="cellIs" dxfId="2095" priority="2089" operator="between">
      <formula>-0.05</formula>
      <formula>0.05</formula>
    </cfRule>
    <cfRule type="containsText" dxfId="2094" priority="2090" operator="containsText" text="NA">
      <formula>NOT(ISERROR(SEARCH("NA",R678)))</formula>
    </cfRule>
    <cfRule type="cellIs" dxfId="2093" priority="2091" operator="lessThan">
      <formula>-0.05</formula>
    </cfRule>
    <cfRule type="cellIs" dxfId="2092" priority="2092" operator="greaterThan">
      <formula>0.05</formula>
    </cfRule>
  </conditionalFormatting>
  <conditionalFormatting sqref="R679 T679 V679 Y679">
    <cfRule type="cellIs" dxfId="2091" priority="2085" operator="between">
      <formula>-0.05</formula>
      <formula>0.05</formula>
    </cfRule>
    <cfRule type="containsText" dxfId="2090" priority="2086" operator="containsText" text="NA">
      <formula>NOT(ISERROR(SEARCH("NA",R679)))</formula>
    </cfRule>
    <cfRule type="cellIs" dxfId="2089" priority="2087" operator="lessThan">
      <formula>-0.05</formula>
    </cfRule>
    <cfRule type="cellIs" dxfId="2088" priority="2088" operator="greaterThan">
      <formula>0.05</formula>
    </cfRule>
  </conditionalFormatting>
  <conditionalFormatting sqref="R680 T680 V680 Y680">
    <cfRule type="cellIs" dxfId="2087" priority="2081" operator="between">
      <formula>-0.05</formula>
      <formula>0.05</formula>
    </cfRule>
    <cfRule type="containsText" dxfId="2086" priority="2082" operator="containsText" text="NA">
      <formula>NOT(ISERROR(SEARCH("NA",R680)))</formula>
    </cfRule>
    <cfRule type="cellIs" dxfId="2085" priority="2083" operator="lessThan">
      <formula>-0.05</formula>
    </cfRule>
    <cfRule type="cellIs" dxfId="2084" priority="2084" operator="greaterThan">
      <formula>0.05</formula>
    </cfRule>
  </conditionalFormatting>
  <conditionalFormatting sqref="R681 T681 V681 Y681">
    <cfRule type="cellIs" dxfId="2083" priority="2077" operator="between">
      <formula>-0.05</formula>
      <formula>0.05</formula>
    </cfRule>
    <cfRule type="containsText" dxfId="2082" priority="2078" operator="containsText" text="NA">
      <formula>NOT(ISERROR(SEARCH("NA",R681)))</formula>
    </cfRule>
    <cfRule type="cellIs" dxfId="2081" priority="2079" operator="lessThan">
      <formula>-0.05</formula>
    </cfRule>
    <cfRule type="cellIs" dxfId="2080" priority="2080" operator="greaterThan">
      <formula>0.05</formula>
    </cfRule>
  </conditionalFormatting>
  <conditionalFormatting sqref="R682 T682 V682 Y682">
    <cfRule type="cellIs" dxfId="2079" priority="2073" operator="between">
      <formula>-0.05</formula>
      <formula>0.05</formula>
    </cfRule>
    <cfRule type="containsText" dxfId="2078" priority="2074" operator="containsText" text="NA">
      <formula>NOT(ISERROR(SEARCH("NA",R682)))</formula>
    </cfRule>
    <cfRule type="cellIs" dxfId="2077" priority="2075" operator="lessThan">
      <formula>-0.05</formula>
    </cfRule>
    <cfRule type="cellIs" dxfId="2076" priority="2076" operator="greaterThan">
      <formula>0.05</formula>
    </cfRule>
  </conditionalFormatting>
  <conditionalFormatting sqref="R683 T683 V683 Y683">
    <cfRule type="cellIs" dxfId="2075" priority="2069" operator="between">
      <formula>-0.05</formula>
      <formula>0.05</formula>
    </cfRule>
    <cfRule type="containsText" dxfId="2074" priority="2070" operator="containsText" text="NA">
      <formula>NOT(ISERROR(SEARCH("NA",R683)))</formula>
    </cfRule>
    <cfRule type="cellIs" dxfId="2073" priority="2071" operator="lessThan">
      <formula>-0.05</formula>
    </cfRule>
    <cfRule type="cellIs" dxfId="2072" priority="2072" operator="greaterThan">
      <formula>0.05</formula>
    </cfRule>
  </conditionalFormatting>
  <conditionalFormatting sqref="R684 T684 V684 Y684">
    <cfRule type="cellIs" dxfId="2071" priority="2065" operator="between">
      <formula>-0.05</formula>
      <formula>0.05</formula>
    </cfRule>
    <cfRule type="containsText" dxfId="2070" priority="2066" operator="containsText" text="NA">
      <formula>NOT(ISERROR(SEARCH("NA",R684)))</formula>
    </cfRule>
    <cfRule type="cellIs" dxfId="2069" priority="2067" operator="lessThan">
      <formula>-0.05</formula>
    </cfRule>
    <cfRule type="cellIs" dxfId="2068" priority="2068" operator="greaterThan">
      <formula>0.05</formula>
    </cfRule>
  </conditionalFormatting>
  <conditionalFormatting sqref="R685 T685 V685 Y685">
    <cfRule type="cellIs" dxfId="2067" priority="2061" operator="between">
      <formula>-0.05</formula>
      <formula>0.05</formula>
    </cfRule>
    <cfRule type="containsText" dxfId="2066" priority="2062" operator="containsText" text="NA">
      <formula>NOT(ISERROR(SEARCH("NA",R685)))</formula>
    </cfRule>
    <cfRule type="cellIs" dxfId="2065" priority="2063" operator="lessThan">
      <formula>-0.05</formula>
    </cfRule>
    <cfRule type="cellIs" dxfId="2064" priority="2064" operator="greaterThan">
      <formula>0.05</formula>
    </cfRule>
  </conditionalFormatting>
  <conditionalFormatting sqref="R686 T686 V686 Y686">
    <cfRule type="cellIs" dxfId="2063" priority="2057" operator="between">
      <formula>-0.05</formula>
      <formula>0.05</formula>
    </cfRule>
    <cfRule type="containsText" dxfId="2062" priority="2058" operator="containsText" text="NA">
      <formula>NOT(ISERROR(SEARCH("NA",R686)))</formula>
    </cfRule>
    <cfRule type="cellIs" dxfId="2061" priority="2059" operator="lessThan">
      <formula>-0.05</formula>
    </cfRule>
    <cfRule type="cellIs" dxfId="2060" priority="2060" operator="greaterThan">
      <formula>0.05</formula>
    </cfRule>
  </conditionalFormatting>
  <conditionalFormatting sqref="R687 T687 V687 Y687">
    <cfRule type="cellIs" dxfId="2059" priority="2053" operator="between">
      <formula>-0.05</formula>
      <formula>0.05</formula>
    </cfRule>
    <cfRule type="containsText" dxfId="2058" priority="2054" operator="containsText" text="NA">
      <formula>NOT(ISERROR(SEARCH("NA",R687)))</formula>
    </cfRule>
    <cfRule type="cellIs" dxfId="2057" priority="2055" operator="lessThan">
      <formula>-0.05</formula>
    </cfRule>
    <cfRule type="cellIs" dxfId="2056" priority="2056" operator="greaterThan">
      <formula>0.05</formula>
    </cfRule>
  </conditionalFormatting>
  <conditionalFormatting sqref="R688 T688 V688 Y688">
    <cfRule type="cellIs" dxfId="2055" priority="2049" operator="between">
      <formula>-0.05</formula>
      <formula>0.05</formula>
    </cfRule>
    <cfRule type="containsText" dxfId="2054" priority="2050" operator="containsText" text="NA">
      <formula>NOT(ISERROR(SEARCH("NA",R688)))</formula>
    </cfRule>
    <cfRule type="cellIs" dxfId="2053" priority="2051" operator="lessThan">
      <formula>-0.05</formula>
    </cfRule>
    <cfRule type="cellIs" dxfId="2052" priority="2052" operator="greaterThan">
      <formula>0.05</formula>
    </cfRule>
  </conditionalFormatting>
  <conditionalFormatting sqref="R689 T689 V689 Y689">
    <cfRule type="cellIs" dxfId="2051" priority="2045" operator="between">
      <formula>-0.05</formula>
      <formula>0.05</formula>
    </cfRule>
    <cfRule type="containsText" dxfId="2050" priority="2046" operator="containsText" text="NA">
      <formula>NOT(ISERROR(SEARCH("NA",R689)))</formula>
    </cfRule>
    <cfRule type="cellIs" dxfId="2049" priority="2047" operator="lessThan">
      <formula>-0.05</formula>
    </cfRule>
    <cfRule type="cellIs" dxfId="2048" priority="2048" operator="greaterThan">
      <formula>0.05</formula>
    </cfRule>
  </conditionalFormatting>
  <conditionalFormatting sqref="R690 T690 V690 Y690">
    <cfRule type="cellIs" dxfId="2047" priority="2041" operator="between">
      <formula>-0.05</formula>
      <formula>0.05</formula>
    </cfRule>
    <cfRule type="containsText" dxfId="2046" priority="2042" operator="containsText" text="NA">
      <formula>NOT(ISERROR(SEARCH("NA",R690)))</formula>
    </cfRule>
    <cfRule type="cellIs" dxfId="2045" priority="2043" operator="lessThan">
      <formula>-0.05</formula>
    </cfRule>
    <cfRule type="cellIs" dxfId="2044" priority="2044" operator="greaterThan">
      <formula>0.05</formula>
    </cfRule>
  </conditionalFormatting>
  <conditionalFormatting sqref="R691 T691 V691 Y691">
    <cfRule type="cellIs" dxfId="2043" priority="2037" operator="between">
      <formula>-0.05</formula>
      <formula>0.05</formula>
    </cfRule>
    <cfRule type="containsText" dxfId="2042" priority="2038" operator="containsText" text="NA">
      <formula>NOT(ISERROR(SEARCH("NA",R691)))</formula>
    </cfRule>
    <cfRule type="cellIs" dxfId="2041" priority="2039" operator="lessThan">
      <formula>-0.05</formula>
    </cfRule>
    <cfRule type="cellIs" dxfId="2040" priority="2040" operator="greaterThan">
      <formula>0.05</formula>
    </cfRule>
  </conditionalFormatting>
  <conditionalFormatting sqref="R692 T692 V692 Y692">
    <cfRule type="cellIs" dxfId="2039" priority="2033" operator="between">
      <formula>-0.05</formula>
      <formula>0.05</formula>
    </cfRule>
    <cfRule type="containsText" dxfId="2038" priority="2034" operator="containsText" text="NA">
      <formula>NOT(ISERROR(SEARCH("NA",R692)))</formula>
    </cfRule>
    <cfRule type="cellIs" dxfId="2037" priority="2035" operator="lessThan">
      <formula>-0.05</formula>
    </cfRule>
    <cfRule type="cellIs" dxfId="2036" priority="2036" operator="greaterThan">
      <formula>0.05</formula>
    </cfRule>
  </conditionalFormatting>
  <conditionalFormatting sqref="R693 T693 V693 Y693">
    <cfRule type="cellIs" dxfId="2035" priority="2029" operator="between">
      <formula>-0.05</formula>
      <formula>0.05</formula>
    </cfRule>
    <cfRule type="containsText" dxfId="2034" priority="2030" operator="containsText" text="NA">
      <formula>NOT(ISERROR(SEARCH("NA",R693)))</formula>
    </cfRule>
    <cfRule type="cellIs" dxfId="2033" priority="2031" operator="lessThan">
      <formula>-0.05</formula>
    </cfRule>
    <cfRule type="cellIs" dxfId="2032" priority="2032" operator="greaterThan">
      <formula>0.05</formula>
    </cfRule>
  </conditionalFormatting>
  <conditionalFormatting sqref="R694 T694 V694 Y694">
    <cfRule type="cellIs" dxfId="2031" priority="2025" operator="between">
      <formula>-0.05</formula>
      <formula>0.05</formula>
    </cfRule>
    <cfRule type="containsText" dxfId="2030" priority="2026" operator="containsText" text="NA">
      <formula>NOT(ISERROR(SEARCH("NA",R694)))</formula>
    </cfRule>
    <cfRule type="cellIs" dxfId="2029" priority="2027" operator="lessThan">
      <formula>-0.05</formula>
    </cfRule>
    <cfRule type="cellIs" dxfId="2028" priority="2028" operator="greaterThan">
      <formula>0.05</formula>
    </cfRule>
  </conditionalFormatting>
  <conditionalFormatting sqref="R695 T695 V695 Y695">
    <cfRule type="cellIs" dxfId="2027" priority="2021" operator="between">
      <formula>-0.05</formula>
      <formula>0.05</formula>
    </cfRule>
    <cfRule type="containsText" dxfId="2026" priority="2022" operator="containsText" text="NA">
      <formula>NOT(ISERROR(SEARCH("NA",R695)))</formula>
    </cfRule>
    <cfRule type="cellIs" dxfId="2025" priority="2023" operator="lessThan">
      <formula>-0.05</formula>
    </cfRule>
    <cfRule type="cellIs" dxfId="2024" priority="2024" operator="greaterThan">
      <formula>0.05</formula>
    </cfRule>
  </conditionalFormatting>
  <conditionalFormatting sqref="R696 T696 V696 Y696">
    <cfRule type="cellIs" dxfId="2023" priority="2017" operator="between">
      <formula>-0.05</formula>
      <formula>0.05</formula>
    </cfRule>
    <cfRule type="containsText" dxfId="2022" priority="2018" operator="containsText" text="NA">
      <formula>NOT(ISERROR(SEARCH("NA",R696)))</formula>
    </cfRule>
    <cfRule type="cellIs" dxfId="2021" priority="2019" operator="lessThan">
      <formula>-0.05</formula>
    </cfRule>
    <cfRule type="cellIs" dxfId="2020" priority="2020" operator="greaterThan">
      <formula>0.05</formula>
    </cfRule>
  </conditionalFormatting>
  <conditionalFormatting sqref="R697 T697 V697 Y697">
    <cfRule type="cellIs" dxfId="2019" priority="2013" operator="between">
      <formula>-0.05</formula>
      <formula>0.05</formula>
    </cfRule>
    <cfRule type="containsText" dxfId="2018" priority="2014" operator="containsText" text="NA">
      <formula>NOT(ISERROR(SEARCH("NA",R697)))</formula>
    </cfRule>
    <cfRule type="cellIs" dxfId="2017" priority="2015" operator="lessThan">
      <formula>-0.05</formula>
    </cfRule>
    <cfRule type="cellIs" dxfId="2016" priority="2016" operator="greaterThan">
      <formula>0.05</formula>
    </cfRule>
  </conditionalFormatting>
  <conditionalFormatting sqref="R698 T698 V698 Y698">
    <cfRule type="cellIs" dxfId="2015" priority="2009" operator="between">
      <formula>-0.05</formula>
      <formula>0.05</formula>
    </cfRule>
    <cfRule type="containsText" dxfId="2014" priority="2010" operator="containsText" text="NA">
      <formula>NOT(ISERROR(SEARCH("NA",R698)))</formula>
    </cfRule>
    <cfRule type="cellIs" dxfId="2013" priority="2011" operator="lessThan">
      <formula>-0.05</formula>
    </cfRule>
    <cfRule type="cellIs" dxfId="2012" priority="2012" operator="greaterThan">
      <formula>0.05</formula>
    </cfRule>
  </conditionalFormatting>
  <conditionalFormatting sqref="R699 T699 V699 Y699">
    <cfRule type="cellIs" dxfId="2011" priority="2005" operator="between">
      <formula>-0.05</formula>
      <formula>0.05</formula>
    </cfRule>
    <cfRule type="containsText" dxfId="2010" priority="2006" operator="containsText" text="NA">
      <formula>NOT(ISERROR(SEARCH("NA",R699)))</formula>
    </cfRule>
    <cfRule type="cellIs" dxfId="2009" priority="2007" operator="lessThan">
      <formula>-0.05</formula>
    </cfRule>
    <cfRule type="cellIs" dxfId="2008" priority="2008" operator="greaterThan">
      <formula>0.05</formula>
    </cfRule>
  </conditionalFormatting>
  <conditionalFormatting sqref="R700 T700 V700 Y700">
    <cfRule type="cellIs" dxfId="2007" priority="2001" operator="between">
      <formula>-0.05</formula>
      <formula>0.05</formula>
    </cfRule>
    <cfRule type="containsText" dxfId="2006" priority="2002" operator="containsText" text="NA">
      <formula>NOT(ISERROR(SEARCH("NA",R700)))</formula>
    </cfRule>
    <cfRule type="cellIs" dxfId="2005" priority="2003" operator="lessThan">
      <formula>-0.05</formula>
    </cfRule>
    <cfRule type="cellIs" dxfId="2004" priority="2004" operator="greaterThan">
      <formula>0.05</formula>
    </cfRule>
  </conditionalFormatting>
  <conditionalFormatting sqref="R701 T701 V701 Y701">
    <cfRule type="cellIs" dxfId="2003" priority="1997" operator="between">
      <formula>-0.05</formula>
      <formula>0.05</formula>
    </cfRule>
    <cfRule type="containsText" dxfId="2002" priority="1998" operator="containsText" text="NA">
      <formula>NOT(ISERROR(SEARCH("NA",R701)))</formula>
    </cfRule>
    <cfRule type="cellIs" dxfId="2001" priority="1999" operator="lessThan">
      <formula>-0.05</formula>
    </cfRule>
    <cfRule type="cellIs" dxfId="2000" priority="2000" operator="greaterThan">
      <formula>0.05</formula>
    </cfRule>
  </conditionalFormatting>
  <conditionalFormatting sqref="R702 T702 V702 Y702">
    <cfRule type="cellIs" dxfId="1999" priority="1993" operator="between">
      <formula>-0.05</formula>
      <formula>0.05</formula>
    </cfRule>
    <cfRule type="containsText" dxfId="1998" priority="1994" operator="containsText" text="NA">
      <formula>NOT(ISERROR(SEARCH("NA",R702)))</formula>
    </cfRule>
    <cfRule type="cellIs" dxfId="1997" priority="1995" operator="lessThan">
      <formula>-0.05</formula>
    </cfRule>
    <cfRule type="cellIs" dxfId="1996" priority="1996" operator="greaterThan">
      <formula>0.05</formula>
    </cfRule>
  </conditionalFormatting>
  <conditionalFormatting sqref="R703 T703 V703 Y703">
    <cfRule type="cellIs" dxfId="1995" priority="1989" operator="between">
      <formula>-0.05</formula>
      <formula>0.05</formula>
    </cfRule>
    <cfRule type="containsText" dxfId="1994" priority="1990" operator="containsText" text="NA">
      <formula>NOT(ISERROR(SEARCH("NA",R703)))</formula>
    </cfRule>
    <cfRule type="cellIs" dxfId="1993" priority="1991" operator="lessThan">
      <formula>-0.05</formula>
    </cfRule>
    <cfRule type="cellIs" dxfId="1992" priority="1992" operator="greaterThan">
      <formula>0.05</formula>
    </cfRule>
  </conditionalFormatting>
  <conditionalFormatting sqref="R704 T704 V704 Y704">
    <cfRule type="cellIs" dxfId="1991" priority="1985" operator="between">
      <formula>-0.05</formula>
      <formula>0.05</formula>
    </cfRule>
    <cfRule type="containsText" dxfId="1990" priority="1986" operator="containsText" text="NA">
      <formula>NOT(ISERROR(SEARCH("NA",R704)))</formula>
    </cfRule>
    <cfRule type="cellIs" dxfId="1989" priority="1987" operator="lessThan">
      <formula>-0.05</formula>
    </cfRule>
    <cfRule type="cellIs" dxfId="1988" priority="1988" operator="greaterThan">
      <formula>0.05</formula>
    </cfRule>
  </conditionalFormatting>
  <conditionalFormatting sqref="R705 T705 V705 Y705">
    <cfRule type="cellIs" dxfId="1987" priority="1981" operator="between">
      <formula>-0.05</formula>
      <formula>0.05</formula>
    </cfRule>
    <cfRule type="containsText" dxfId="1986" priority="1982" operator="containsText" text="NA">
      <formula>NOT(ISERROR(SEARCH("NA",R705)))</formula>
    </cfRule>
    <cfRule type="cellIs" dxfId="1985" priority="1983" operator="lessThan">
      <formula>-0.05</formula>
    </cfRule>
    <cfRule type="cellIs" dxfId="1984" priority="1984" operator="greaterThan">
      <formula>0.05</formula>
    </cfRule>
  </conditionalFormatting>
  <conditionalFormatting sqref="R706 T706 V706 Y706">
    <cfRule type="cellIs" dxfId="1983" priority="1977" operator="between">
      <formula>-0.05</formula>
      <formula>0.05</formula>
    </cfRule>
    <cfRule type="containsText" dxfId="1982" priority="1978" operator="containsText" text="NA">
      <formula>NOT(ISERROR(SEARCH("NA",R706)))</formula>
    </cfRule>
    <cfRule type="cellIs" dxfId="1981" priority="1979" operator="lessThan">
      <formula>-0.05</formula>
    </cfRule>
    <cfRule type="cellIs" dxfId="1980" priority="1980" operator="greaterThan">
      <formula>0.05</formula>
    </cfRule>
  </conditionalFormatting>
  <conditionalFormatting sqref="R707 T707 V707 Y707">
    <cfRule type="cellIs" dxfId="1979" priority="1973" operator="between">
      <formula>-0.05</formula>
      <formula>0.05</formula>
    </cfRule>
    <cfRule type="containsText" dxfId="1978" priority="1974" operator="containsText" text="NA">
      <formula>NOT(ISERROR(SEARCH("NA",R707)))</formula>
    </cfRule>
    <cfRule type="cellIs" dxfId="1977" priority="1975" operator="lessThan">
      <formula>-0.05</formula>
    </cfRule>
    <cfRule type="cellIs" dxfId="1976" priority="1976" operator="greaterThan">
      <formula>0.05</formula>
    </cfRule>
  </conditionalFormatting>
  <conditionalFormatting sqref="R708 T708 V708 Y708">
    <cfRule type="cellIs" dxfId="1975" priority="1969" operator="between">
      <formula>-0.05</formula>
      <formula>0.05</formula>
    </cfRule>
    <cfRule type="containsText" dxfId="1974" priority="1970" operator="containsText" text="NA">
      <formula>NOT(ISERROR(SEARCH("NA",R708)))</formula>
    </cfRule>
    <cfRule type="cellIs" dxfId="1973" priority="1971" operator="lessThan">
      <formula>-0.05</formula>
    </cfRule>
    <cfRule type="cellIs" dxfId="1972" priority="1972" operator="greaterThan">
      <formula>0.05</formula>
    </cfRule>
  </conditionalFormatting>
  <conditionalFormatting sqref="R709 T709 V709 Y709">
    <cfRule type="cellIs" dxfId="1971" priority="1965" operator="between">
      <formula>-0.05</formula>
      <formula>0.05</formula>
    </cfRule>
    <cfRule type="containsText" dxfId="1970" priority="1966" operator="containsText" text="NA">
      <formula>NOT(ISERROR(SEARCH("NA",R709)))</formula>
    </cfRule>
    <cfRule type="cellIs" dxfId="1969" priority="1967" operator="lessThan">
      <formula>-0.05</formula>
    </cfRule>
    <cfRule type="cellIs" dxfId="1968" priority="1968" operator="greaterThan">
      <formula>0.05</formula>
    </cfRule>
  </conditionalFormatting>
  <conditionalFormatting sqref="R710 T710 V710 Y710">
    <cfRule type="cellIs" dxfId="1967" priority="1961" operator="between">
      <formula>-0.05</formula>
      <formula>0.05</formula>
    </cfRule>
    <cfRule type="containsText" dxfId="1966" priority="1962" operator="containsText" text="NA">
      <formula>NOT(ISERROR(SEARCH("NA",R710)))</formula>
    </cfRule>
    <cfRule type="cellIs" dxfId="1965" priority="1963" operator="lessThan">
      <formula>-0.05</formula>
    </cfRule>
    <cfRule type="cellIs" dxfId="1964" priority="1964" operator="greaterThan">
      <formula>0.05</formula>
    </cfRule>
  </conditionalFormatting>
  <conditionalFormatting sqref="R711 T711 V711 Y711">
    <cfRule type="cellIs" dxfId="1963" priority="1957" operator="between">
      <formula>-0.05</formula>
      <formula>0.05</formula>
    </cfRule>
    <cfRule type="containsText" dxfId="1962" priority="1958" operator="containsText" text="NA">
      <formula>NOT(ISERROR(SEARCH("NA",R711)))</formula>
    </cfRule>
    <cfRule type="cellIs" dxfId="1961" priority="1959" operator="lessThan">
      <formula>-0.05</formula>
    </cfRule>
    <cfRule type="cellIs" dxfId="1960" priority="1960" operator="greaterThan">
      <formula>0.05</formula>
    </cfRule>
  </conditionalFormatting>
  <conditionalFormatting sqref="R712 T712 V712 Y712">
    <cfRule type="cellIs" dxfId="1959" priority="1953" operator="between">
      <formula>-0.05</formula>
      <formula>0.05</formula>
    </cfRule>
    <cfRule type="containsText" dxfId="1958" priority="1954" operator="containsText" text="NA">
      <formula>NOT(ISERROR(SEARCH("NA",R712)))</formula>
    </cfRule>
    <cfRule type="cellIs" dxfId="1957" priority="1955" operator="lessThan">
      <formula>-0.05</formula>
    </cfRule>
    <cfRule type="cellIs" dxfId="1956" priority="1956" operator="greaterThan">
      <formula>0.05</formula>
    </cfRule>
  </conditionalFormatting>
  <conditionalFormatting sqref="R713 T713 V713 Y713">
    <cfRule type="cellIs" dxfId="1955" priority="1949" operator="between">
      <formula>-0.05</formula>
      <formula>0.05</formula>
    </cfRule>
    <cfRule type="containsText" dxfId="1954" priority="1950" operator="containsText" text="NA">
      <formula>NOT(ISERROR(SEARCH("NA",R713)))</formula>
    </cfRule>
    <cfRule type="cellIs" dxfId="1953" priority="1951" operator="lessThan">
      <formula>-0.05</formula>
    </cfRule>
    <cfRule type="cellIs" dxfId="1952" priority="1952" operator="greaterThan">
      <formula>0.05</formula>
    </cfRule>
  </conditionalFormatting>
  <conditionalFormatting sqref="R714 T714 V714 Y714">
    <cfRule type="cellIs" dxfId="1951" priority="1945" operator="between">
      <formula>-0.05</formula>
      <formula>0.05</formula>
    </cfRule>
    <cfRule type="containsText" dxfId="1950" priority="1946" operator="containsText" text="NA">
      <formula>NOT(ISERROR(SEARCH("NA",R714)))</formula>
    </cfRule>
    <cfRule type="cellIs" dxfId="1949" priority="1947" operator="lessThan">
      <formula>-0.05</formula>
    </cfRule>
    <cfRule type="cellIs" dxfId="1948" priority="1948" operator="greaterThan">
      <formula>0.05</formula>
    </cfRule>
  </conditionalFormatting>
  <conditionalFormatting sqref="R715 T715 V715 Y715">
    <cfRule type="cellIs" dxfId="1947" priority="1941" operator="between">
      <formula>-0.05</formula>
      <formula>0.05</formula>
    </cfRule>
    <cfRule type="containsText" dxfId="1946" priority="1942" operator="containsText" text="NA">
      <formula>NOT(ISERROR(SEARCH("NA",R715)))</formula>
    </cfRule>
    <cfRule type="cellIs" dxfId="1945" priority="1943" operator="lessThan">
      <formula>-0.05</formula>
    </cfRule>
    <cfRule type="cellIs" dxfId="1944" priority="1944" operator="greaterThan">
      <formula>0.05</formula>
    </cfRule>
  </conditionalFormatting>
  <conditionalFormatting sqref="R716 T716 V716 Y716">
    <cfRule type="cellIs" dxfId="1943" priority="1937" operator="between">
      <formula>-0.05</formula>
      <formula>0.05</formula>
    </cfRule>
    <cfRule type="containsText" dxfId="1942" priority="1938" operator="containsText" text="NA">
      <formula>NOT(ISERROR(SEARCH("NA",R716)))</formula>
    </cfRule>
    <cfRule type="cellIs" dxfId="1941" priority="1939" operator="lessThan">
      <formula>-0.05</formula>
    </cfRule>
    <cfRule type="cellIs" dxfId="1940" priority="1940" operator="greaterThan">
      <formula>0.05</formula>
    </cfRule>
  </conditionalFormatting>
  <conditionalFormatting sqref="R717 T717 V717 Y717">
    <cfRule type="cellIs" dxfId="1939" priority="1933" operator="between">
      <formula>-0.05</formula>
      <formula>0.05</formula>
    </cfRule>
    <cfRule type="containsText" dxfId="1938" priority="1934" operator="containsText" text="NA">
      <formula>NOT(ISERROR(SEARCH("NA",R717)))</formula>
    </cfRule>
    <cfRule type="cellIs" dxfId="1937" priority="1935" operator="lessThan">
      <formula>-0.05</formula>
    </cfRule>
    <cfRule type="cellIs" dxfId="1936" priority="1936" operator="greaterThan">
      <formula>0.05</formula>
    </cfRule>
  </conditionalFormatting>
  <conditionalFormatting sqref="R718 T718 V718 Y718">
    <cfRule type="cellIs" dxfId="1935" priority="1929" operator="between">
      <formula>-0.05</formula>
      <formula>0.05</formula>
    </cfRule>
    <cfRule type="containsText" dxfId="1934" priority="1930" operator="containsText" text="NA">
      <formula>NOT(ISERROR(SEARCH("NA",R718)))</formula>
    </cfRule>
    <cfRule type="cellIs" dxfId="1933" priority="1931" operator="lessThan">
      <formula>-0.05</formula>
    </cfRule>
    <cfRule type="cellIs" dxfId="1932" priority="1932" operator="greaterThan">
      <formula>0.05</formula>
    </cfRule>
  </conditionalFormatting>
  <conditionalFormatting sqref="R719 T719 V719 Y719">
    <cfRule type="cellIs" dxfId="1931" priority="1925" operator="between">
      <formula>-0.05</formula>
      <formula>0.05</formula>
    </cfRule>
    <cfRule type="containsText" dxfId="1930" priority="1926" operator="containsText" text="NA">
      <formula>NOT(ISERROR(SEARCH("NA",R719)))</formula>
    </cfRule>
    <cfRule type="cellIs" dxfId="1929" priority="1927" operator="lessThan">
      <formula>-0.05</formula>
    </cfRule>
    <cfRule type="cellIs" dxfId="1928" priority="1928" operator="greaterThan">
      <formula>0.05</formula>
    </cfRule>
  </conditionalFormatting>
  <conditionalFormatting sqref="R720 T720 V720 Y720">
    <cfRule type="cellIs" dxfId="1927" priority="1921" operator="between">
      <formula>-0.05</formula>
      <formula>0.05</formula>
    </cfRule>
    <cfRule type="containsText" dxfId="1926" priority="1922" operator="containsText" text="NA">
      <formula>NOT(ISERROR(SEARCH("NA",R720)))</formula>
    </cfRule>
    <cfRule type="cellIs" dxfId="1925" priority="1923" operator="lessThan">
      <formula>-0.05</formula>
    </cfRule>
    <cfRule type="cellIs" dxfId="1924" priority="1924" operator="greaterThan">
      <formula>0.05</formula>
    </cfRule>
  </conditionalFormatting>
  <conditionalFormatting sqref="R721 T721 V721 Y721">
    <cfRule type="cellIs" dxfId="1923" priority="1917" operator="between">
      <formula>-0.05</formula>
      <formula>0.05</formula>
    </cfRule>
    <cfRule type="containsText" dxfId="1922" priority="1918" operator="containsText" text="NA">
      <formula>NOT(ISERROR(SEARCH("NA",R721)))</formula>
    </cfRule>
    <cfRule type="cellIs" dxfId="1921" priority="1919" operator="lessThan">
      <formula>-0.05</formula>
    </cfRule>
    <cfRule type="cellIs" dxfId="1920" priority="1920" operator="greaterThan">
      <formula>0.05</formula>
    </cfRule>
  </conditionalFormatting>
  <conditionalFormatting sqref="R722 T722 V722 Y722">
    <cfRule type="cellIs" dxfId="1919" priority="1913" operator="between">
      <formula>-0.05</formula>
      <formula>0.05</formula>
    </cfRule>
    <cfRule type="containsText" dxfId="1918" priority="1914" operator="containsText" text="NA">
      <formula>NOT(ISERROR(SEARCH("NA",R722)))</formula>
    </cfRule>
    <cfRule type="cellIs" dxfId="1917" priority="1915" operator="lessThan">
      <formula>-0.05</formula>
    </cfRule>
    <cfRule type="cellIs" dxfId="1916" priority="1916" operator="greaterThan">
      <formula>0.05</formula>
    </cfRule>
  </conditionalFormatting>
  <conditionalFormatting sqref="R723 T723 V723 Y723">
    <cfRule type="cellIs" dxfId="1915" priority="1909" operator="between">
      <formula>-0.05</formula>
      <formula>0.05</formula>
    </cfRule>
    <cfRule type="containsText" dxfId="1914" priority="1910" operator="containsText" text="NA">
      <formula>NOT(ISERROR(SEARCH("NA",R723)))</formula>
    </cfRule>
    <cfRule type="cellIs" dxfId="1913" priority="1911" operator="lessThan">
      <formula>-0.05</formula>
    </cfRule>
    <cfRule type="cellIs" dxfId="1912" priority="1912" operator="greaterThan">
      <formula>0.05</formula>
    </cfRule>
  </conditionalFormatting>
  <conditionalFormatting sqref="R724 T724 V724 Y724">
    <cfRule type="cellIs" dxfId="1911" priority="1905" operator="between">
      <formula>-0.05</formula>
      <formula>0.05</formula>
    </cfRule>
    <cfRule type="containsText" dxfId="1910" priority="1906" operator="containsText" text="NA">
      <formula>NOT(ISERROR(SEARCH("NA",R724)))</formula>
    </cfRule>
    <cfRule type="cellIs" dxfId="1909" priority="1907" operator="lessThan">
      <formula>-0.05</formula>
    </cfRule>
    <cfRule type="cellIs" dxfId="1908" priority="1908" operator="greaterThan">
      <formula>0.05</formula>
    </cfRule>
  </conditionalFormatting>
  <conditionalFormatting sqref="R725 T725 V725 Y725">
    <cfRule type="cellIs" dxfId="1907" priority="1901" operator="between">
      <formula>-0.05</formula>
      <formula>0.05</formula>
    </cfRule>
    <cfRule type="containsText" dxfId="1906" priority="1902" operator="containsText" text="NA">
      <formula>NOT(ISERROR(SEARCH("NA",R725)))</formula>
    </cfRule>
    <cfRule type="cellIs" dxfId="1905" priority="1903" operator="lessThan">
      <formula>-0.05</formula>
    </cfRule>
    <cfRule type="cellIs" dxfId="1904" priority="1904" operator="greaterThan">
      <formula>0.05</formula>
    </cfRule>
  </conditionalFormatting>
  <conditionalFormatting sqref="R726 T726 V726 Y726">
    <cfRule type="cellIs" dxfId="1903" priority="1897" operator="between">
      <formula>-0.05</formula>
      <formula>0.05</formula>
    </cfRule>
    <cfRule type="containsText" dxfId="1902" priority="1898" operator="containsText" text="NA">
      <formula>NOT(ISERROR(SEARCH("NA",R726)))</formula>
    </cfRule>
    <cfRule type="cellIs" dxfId="1901" priority="1899" operator="lessThan">
      <formula>-0.05</formula>
    </cfRule>
    <cfRule type="cellIs" dxfId="1900" priority="1900" operator="greaterThan">
      <formula>0.05</formula>
    </cfRule>
  </conditionalFormatting>
  <conditionalFormatting sqref="R727 T727 V727 Y727">
    <cfRule type="cellIs" dxfId="1899" priority="1893" operator="between">
      <formula>-0.05</formula>
      <formula>0.05</formula>
    </cfRule>
    <cfRule type="containsText" dxfId="1898" priority="1894" operator="containsText" text="NA">
      <formula>NOT(ISERROR(SEARCH("NA",R727)))</formula>
    </cfRule>
    <cfRule type="cellIs" dxfId="1897" priority="1895" operator="lessThan">
      <formula>-0.05</formula>
    </cfRule>
    <cfRule type="cellIs" dxfId="1896" priority="1896" operator="greaterThan">
      <formula>0.05</formula>
    </cfRule>
  </conditionalFormatting>
  <conditionalFormatting sqref="R728 T728 V728 Y728">
    <cfRule type="cellIs" dxfId="1895" priority="1889" operator="between">
      <formula>-0.05</formula>
      <formula>0.05</formula>
    </cfRule>
    <cfRule type="containsText" dxfId="1894" priority="1890" operator="containsText" text="NA">
      <formula>NOT(ISERROR(SEARCH("NA",R728)))</formula>
    </cfRule>
    <cfRule type="cellIs" dxfId="1893" priority="1891" operator="lessThan">
      <formula>-0.05</formula>
    </cfRule>
    <cfRule type="cellIs" dxfId="1892" priority="1892" operator="greaterThan">
      <formula>0.05</formula>
    </cfRule>
  </conditionalFormatting>
  <conditionalFormatting sqref="R729 T729 V729 Y729">
    <cfRule type="cellIs" dxfId="1891" priority="1885" operator="between">
      <formula>-0.05</formula>
      <formula>0.05</formula>
    </cfRule>
    <cfRule type="containsText" dxfId="1890" priority="1886" operator="containsText" text="NA">
      <formula>NOT(ISERROR(SEARCH("NA",R729)))</formula>
    </cfRule>
    <cfRule type="cellIs" dxfId="1889" priority="1887" operator="lessThan">
      <formula>-0.05</formula>
    </cfRule>
    <cfRule type="cellIs" dxfId="1888" priority="1888" operator="greaterThan">
      <formula>0.05</formula>
    </cfRule>
  </conditionalFormatting>
  <conditionalFormatting sqref="R730 T730 V730 Y730">
    <cfRule type="cellIs" dxfId="1887" priority="1881" operator="between">
      <formula>-0.05</formula>
      <formula>0.05</formula>
    </cfRule>
    <cfRule type="containsText" dxfId="1886" priority="1882" operator="containsText" text="NA">
      <formula>NOT(ISERROR(SEARCH("NA",R730)))</formula>
    </cfRule>
    <cfRule type="cellIs" dxfId="1885" priority="1883" operator="lessThan">
      <formula>-0.05</formula>
    </cfRule>
    <cfRule type="cellIs" dxfId="1884" priority="1884" operator="greaterThan">
      <formula>0.05</formula>
    </cfRule>
  </conditionalFormatting>
  <conditionalFormatting sqref="R731 T731 V731 Y731">
    <cfRule type="cellIs" dxfId="1883" priority="1877" operator="between">
      <formula>-0.05</formula>
      <formula>0.05</formula>
    </cfRule>
    <cfRule type="containsText" dxfId="1882" priority="1878" operator="containsText" text="NA">
      <formula>NOT(ISERROR(SEARCH("NA",R731)))</formula>
    </cfRule>
    <cfRule type="cellIs" dxfId="1881" priority="1879" operator="lessThan">
      <formula>-0.05</formula>
    </cfRule>
    <cfRule type="cellIs" dxfId="1880" priority="1880" operator="greaterThan">
      <formula>0.05</formula>
    </cfRule>
  </conditionalFormatting>
  <conditionalFormatting sqref="R732 T732 V732 Y732">
    <cfRule type="cellIs" dxfId="1879" priority="1873" operator="between">
      <formula>-0.05</formula>
      <formula>0.05</formula>
    </cfRule>
    <cfRule type="containsText" dxfId="1878" priority="1874" operator="containsText" text="NA">
      <formula>NOT(ISERROR(SEARCH("NA",R732)))</formula>
    </cfRule>
    <cfRule type="cellIs" dxfId="1877" priority="1875" operator="lessThan">
      <formula>-0.05</formula>
    </cfRule>
    <cfRule type="cellIs" dxfId="1876" priority="1876" operator="greaterThan">
      <formula>0.05</formula>
    </cfRule>
  </conditionalFormatting>
  <conditionalFormatting sqref="R733 T733 V733 Y733">
    <cfRule type="cellIs" dxfId="1875" priority="1869" operator="between">
      <formula>-0.05</formula>
      <formula>0.05</formula>
    </cfRule>
    <cfRule type="containsText" dxfId="1874" priority="1870" operator="containsText" text="NA">
      <formula>NOT(ISERROR(SEARCH("NA",R733)))</formula>
    </cfRule>
    <cfRule type="cellIs" dxfId="1873" priority="1871" operator="lessThan">
      <formula>-0.05</formula>
    </cfRule>
    <cfRule type="cellIs" dxfId="1872" priority="1872" operator="greaterThan">
      <formula>0.05</formula>
    </cfRule>
  </conditionalFormatting>
  <conditionalFormatting sqref="R734 T734 V734 Y734">
    <cfRule type="cellIs" dxfId="1871" priority="1865" operator="between">
      <formula>-0.05</formula>
      <formula>0.05</formula>
    </cfRule>
    <cfRule type="containsText" dxfId="1870" priority="1866" operator="containsText" text="NA">
      <formula>NOT(ISERROR(SEARCH("NA",R734)))</formula>
    </cfRule>
    <cfRule type="cellIs" dxfId="1869" priority="1867" operator="lessThan">
      <formula>-0.05</formula>
    </cfRule>
    <cfRule type="cellIs" dxfId="1868" priority="1868" operator="greaterThan">
      <formula>0.05</formula>
    </cfRule>
  </conditionalFormatting>
  <conditionalFormatting sqref="R735 T735 V735 Y735">
    <cfRule type="cellIs" dxfId="1867" priority="1861" operator="between">
      <formula>-0.05</formula>
      <formula>0.05</formula>
    </cfRule>
    <cfRule type="containsText" dxfId="1866" priority="1862" operator="containsText" text="NA">
      <formula>NOT(ISERROR(SEARCH("NA",R735)))</formula>
    </cfRule>
    <cfRule type="cellIs" dxfId="1865" priority="1863" operator="lessThan">
      <formula>-0.05</formula>
    </cfRule>
    <cfRule type="cellIs" dxfId="1864" priority="1864" operator="greaterThan">
      <formula>0.05</formula>
    </cfRule>
  </conditionalFormatting>
  <conditionalFormatting sqref="R736 T736 V736 Y736">
    <cfRule type="cellIs" dxfId="1863" priority="1857" operator="between">
      <formula>-0.05</formula>
      <formula>0.05</formula>
    </cfRule>
    <cfRule type="containsText" dxfId="1862" priority="1858" operator="containsText" text="NA">
      <formula>NOT(ISERROR(SEARCH("NA",R736)))</formula>
    </cfRule>
    <cfRule type="cellIs" dxfId="1861" priority="1859" operator="lessThan">
      <formula>-0.05</formula>
    </cfRule>
    <cfRule type="cellIs" dxfId="1860" priority="1860" operator="greaterThan">
      <formula>0.05</formula>
    </cfRule>
  </conditionalFormatting>
  <conditionalFormatting sqref="R737 T737 V737 Y737">
    <cfRule type="cellIs" dxfId="1859" priority="1853" operator="between">
      <formula>-0.05</formula>
      <formula>0.05</formula>
    </cfRule>
    <cfRule type="containsText" dxfId="1858" priority="1854" operator="containsText" text="NA">
      <formula>NOT(ISERROR(SEARCH("NA",R737)))</formula>
    </cfRule>
    <cfRule type="cellIs" dxfId="1857" priority="1855" operator="lessThan">
      <formula>-0.05</formula>
    </cfRule>
    <cfRule type="cellIs" dxfId="1856" priority="1856" operator="greaterThan">
      <formula>0.05</formula>
    </cfRule>
  </conditionalFormatting>
  <conditionalFormatting sqref="R738 T738 V738 Y738">
    <cfRule type="cellIs" dxfId="1855" priority="1849" operator="between">
      <formula>-0.05</formula>
      <formula>0.05</formula>
    </cfRule>
    <cfRule type="containsText" dxfId="1854" priority="1850" operator="containsText" text="NA">
      <formula>NOT(ISERROR(SEARCH("NA",R738)))</formula>
    </cfRule>
    <cfRule type="cellIs" dxfId="1853" priority="1851" operator="lessThan">
      <formula>-0.05</formula>
    </cfRule>
    <cfRule type="cellIs" dxfId="1852" priority="1852" operator="greaterThan">
      <formula>0.05</formula>
    </cfRule>
  </conditionalFormatting>
  <conditionalFormatting sqref="R739 T739 V739 Y739">
    <cfRule type="cellIs" dxfId="1851" priority="1845" operator="between">
      <formula>-0.05</formula>
      <formula>0.05</formula>
    </cfRule>
    <cfRule type="containsText" dxfId="1850" priority="1846" operator="containsText" text="NA">
      <formula>NOT(ISERROR(SEARCH("NA",R739)))</formula>
    </cfRule>
    <cfRule type="cellIs" dxfId="1849" priority="1847" operator="lessThan">
      <formula>-0.05</formula>
    </cfRule>
    <cfRule type="cellIs" dxfId="1848" priority="1848" operator="greaterThan">
      <formula>0.05</formula>
    </cfRule>
  </conditionalFormatting>
  <conditionalFormatting sqref="R740 T740 V740 Y740">
    <cfRule type="cellIs" dxfId="1847" priority="1841" operator="between">
      <formula>-0.05</formula>
      <formula>0.05</formula>
    </cfRule>
    <cfRule type="containsText" dxfId="1846" priority="1842" operator="containsText" text="NA">
      <formula>NOT(ISERROR(SEARCH("NA",R740)))</formula>
    </cfRule>
    <cfRule type="cellIs" dxfId="1845" priority="1843" operator="lessThan">
      <formula>-0.05</formula>
    </cfRule>
    <cfRule type="cellIs" dxfId="1844" priority="1844" operator="greaterThan">
      <formula>0.05</formula>
    </cfRule>
  </conditionalFormatting>
  <conditionalFormatting sqref="R741 T741 V741 Y741">
    <cfRule type="cellIs" dxfId="1843" priority="1837" operator="between">
      <formula>-0.05</formula>
      <formula>0.05</formula>
    </cfRule>
    <cfRule type="containsText" dxfId="1842" priority="1838" operator="containsText" text="NA">
      <formula>NOT(ISERROR(SEARCH("NA",R741)))</formula>
    </cfRule>
    <cfRule type="cellIs" dxfId="1841" priority="1839" operator="lessThan">
      <formula>-0.05</formula>
    </cfRule>
    <cfRule type="cellIs" dxfId="1840" priority="1840" operator="greaterThan">
      <formula>0.05</formula>
    </cfRule>
  </conditionalFormatting>
  <conditionalFormatting sqref="R742 T742 V742 Y742">
    <cfRule type="cellIs" dxfId="1839" priority="1833" operator="between">
      <formula>-0.05</formula>
      <formula>0.05</formula>
    </cfRule>
    <cfRule type="containsText" dxfId="1838" priority="1834" operator="containsText" text="NA">
      <formula>NOT(ISERROR(SEARCH("NA",R742)))</formula>
    </cfRule>
    <cfRule type="cellIs" dxfId="1837" priority="1835" operator="lessThan">
      <formula>-0.05</formula>
    </cfRule>
    <cfRule type="cellIs" dxfId="1836" priority="1836" operator="greaterThan">
      <formula>0.05</formula>
    </cfRule>
  </conditionalFormatting>
  <conditionalFormatting sqref="R743 T743 V743 Y743">
    <cfRule type="cellIs" dxfId="1835" priority="1829" operator="between">
      <formula>-0.05</formula>
      <formula>0.05</formula>
    </cfRule>
    <cfRule type="containsText" dxfId="1834" priority="1830" operator="containsText" text="NA">
      <formula>NOT(ISERROR(SEARCH("NA",R743)))</formula>
    </cfRule>
    <cfRule type="cellIs" dxfId="1833" priority="1831" operator="lessThan">
      <formula>-0.05</formula>
    </cfRule>
    <cfRule type="cellIs" dxfId="1832" priority="1832" operator="greaterThan">
      <formula>0.05</formula>
    </cfRule>
  </conditionalFormatting>
  <conditionalFormatting sqref="R744 T744 V744 Y744">
    <cfRule type="cellIs" dxfId="1831" priority="1825" operator="between">
      <formula>-0.05</formula>
      <formula>0.05</formula>
    </cfRule>
    <cfRule type="containsText" dxfId="1830" priority="1826" operator="containsText" text="NA">
      <formula>NOT(ISERROR(SEARCH("NA",R744)))</formula>
    </cfRule>
    <cfRule type="cellIs" dxfId="1829" priority="1827" operator="lessThan">
      <formula>-0.05</formula>
    </cfRule>
    <cfRule type="cellIs" dxfId="1828" priority="1828" operator="greaterThan">
      <formula>0.05</formula>
    </cfRule>
  </conditionalFormatting>
  <conditionalFormatting sqref="R745 T745 V745 Y745">
    <cfRule type="cellIs" dxfId="1827" priority="1821" operator="between">
      <formula>-0.05</formula>
      <formula>0.05</formula>
    </cfRule>
    <cfRule type="containsText" dxfId="1826" priority="1822" operator="containsText" text="NA">
      <formula>NOT(ISERROR(SEARCH("NA",R745)))</formula>
    </cfRule>
    <cfRule type="cellIs" dxfId="1825" priority="1823" operator="lessThan">
      <formula>-0.05</formula>
    </cfRule>
    <cfRule type="cellIs" dxfId="1824" priority="1824" operator="greaterThan">
      <formula>0.05</formula>
    </cfRule>
  </conditionalFormatting>
  <conditionalFormatting sqref="R746 T746 V746 Y746">
    <cfRule type="cellIs" dxfId="1823" priority="1817" operator="between">
      <formula>-0.05</formula>
      <formula>0.05</formula>
    </cfRule>
    <cfRule type="containsText" dxfId="1822" priority="1818" operator="containsText" text="NA">
      <formula>NOT(ISERROR(SEARCH("NA",R746)))</formula>
    </cfRule>
    <cfRule type="cellIs" dxfId="1821" priority="1819" operator="lessThan">
      <formula>-0.05</formula>
    </cfRule>
    <cfRule type="cellIs" dxfId="1820" priority="1820" operator="greaterThan">
      <formula>0.05</formula>
    </cfRule>
  </conditionalFormatting>
  <conditionalFormatting sqref="R747 T747 V747 Y747">
    <cfRule type="cellIs" dxfId="1819" priority="1813" operator="between">
      <formula>-0.05</formula>
      <formula>0.05</formula>
    </cfRule>
    <cfRule type="containsText" dxfId="1818" priority="1814" operator="containsText" text="NA">
      <formula>NOT(ISERROR(SEARCH("NA",R747)))</formula>
    </cfRule>
    <cfRule type="cellIs" dxfId="1817" priority="1815" operator="lessThan">
      <formula>-0.05</formula>
    </cfRule>
    <cfRule type="cellIs" dxfId="1816" priority="1816" operator="greaterThan">
      <formula>0.05</formula>
    </cfRule>
  </conditionalFormatting>
  <conditionalFormatting sqref="R748 T748 V748 Y748">
    <cfRule type="cellIs" dxfId="1815" priority="1809" operator="between">
      <formula>-0.05</formula>
      <formula>0.05</formula>
    </cfRule>
    <cfRule type="containsText" dxfId="1814" priority="1810" operator="containsText" text="NA">
      <formula>NOT(ISERROR(SEARCH("NA",R748)))</formula>
    </cfRule>
    <cfRule type="cellIs" dxfId="1813" priority="1811" operator="lessThan">
      <formula>-0.05</formula>
    </cfRule>
    <cfRule type="cellIs" dxfId="1812" priority="1812" operator="greaterThan">
      <formula>0.05</formula>
    </cfRule>
  </conditionalFormatting>
  <conditionalFormatting sqref="R749 T749 V749 Y749">
    <cfRule type="cellIs" dxfId="1811" priority="1805" operator="between">
      <formula>-0.05</formula>
      <formula>0.05</formula>
    </cfRule>
    <cfRule type="containsText" dxfId="1810" priority="1806" operator="containsText" text="NA">
      <formula>NOT(ISERROR(SEARCH("NA",R749)))</formula>
    </cfRule>
    <cfRule type="cellIs" dxfId="1809" priority="1807" operator="lessThan">
      <formula>-0.05</formula>
    </cfRule>
    <cfRule type="cellIs" dxfId="1808" priority="1808" operator="greaterThan">
      <formula>0.05</formula>
    </cfRule>
  </conditionalFormatting>
  <conditionalFormatting sqref="R750 T750 V750 Y750">
    <cfRule type="cellIs" dxfId="1807" priority="1801" operator="between">
      <formula>-0.05</formula>
      <formula>0.05</formula>
    </cfRule>
    <cfRule type="containsText" dxfId="1806" priority="1802" operator="containsText" text="NA">
      <formula>NOT(ISERROR(SEARCH("NA",R750)))</formula>
    </cfRule>
    <cfRule type="cellIs" dxfId="1805" priority="1803" operator="lessThan">
      <formula>-0.05</formula>
    </cfRule>
    <cfRule type="cellIs" dxfId="1804" priority="1804" operator="greaterThan">
      <formula>0.05</formula>
    </cfRule>
  </conditionalFormatting>
  <conditionalFormatting sqref="R751 T751 V751 Y751">
    <cfRule type="cellIs" dxfId="1803" priority="1797" operator="between">
      <formula>-0.05</formula>
      <formula>0.05</formula>
    </cfRule>
    <cfRule type="containsText" dxfId="1802" priority="1798" operator="containsText" text="NA">
      <formula>NOT(ISERROR(SEARCH("NA",R751)))</formula>
    </cfRule>
    <cfRule type="cellIs" dxfId="1801" priority="1799" operator="lessThan">
      <formula>-0.05</formula>
    </cfRule>
    <cfRule type="cellIs" dxfId="1800" priority="1800" operator="greaterThan">
      <formula>0.05</formula>
    </cfRule>
  </conditionalFormatting>
  <conditionalFormatting sqref="R752 T752 V752 Y752">
    <cfRule type="cellIs" dxfId="1799" priority="1793" operator="between">
      <formula>-0.05</formula>
      <formula>0.05</formula>
    </cfRule>
    <cfRule type="containsText" dxfId="1798" priority="1794" operator="containsText" text="NA">
      <formula>NOT(ISERROR(SEARCH("NA",R752)))</formula>
    </cfRule>
    <cfRule type="cellIs" dxfId="1797" priority="1795" operator="lessThan">
      <formula>-0.05</formula>
    </cfRule>
    <cfRule type="cellIs" dxfId="1796" priority="1796" operator="greaterThan">
      <formula>0.05</formula>
    </cfRule>
  </conditionalFormatting>
  <conditionalFormatting sqref="R753 T753 V753 Y753">
    <cfRule type="cellIs" dxfId="1795" priority="1789" operator="between">
      <formula>-0.05</formula>
      <formula>0.05</formula>
    </cfRule>
    <cfRule type="containsText" dxfId="1794" priority="1790" operator="containsText" text="NA">
      <formula>NOT(ISERROR(SEARCH("NA",R753)))</formula>
    </cfRule>
    <cfRule type="cellIs" dxfId="1793" priority="1791" operator="lessThan">
      <formula>-0.05</formula>
    </cfRule>
    <cfRule type="cellIs" dxfId="1792" priority="1792" operator="greaterThan">
      <formula>0.05</formula>
    </cfRule>
  </conditionalFormatting>
  <conditionalFormatting sqref="R754 T754 V754 Y754">
    <cfRule type="cellIs" dxfId="1791" priority="1785" operator="between">
      <formula>-0.05</formula>
      <formula>0.05</formula>
    </cfRule>
    <cfRule type="containsText" dxfId="1790" priority="1786" operator="containsText" text="NA">
      <formula>NOT(ISERROR(SEARCH("NA",R754)))</formula>
    </cfRule>
    <cfRule type="cellIs" dxfId="1789" priority="1787" operator="lessThan">
      <formula>-0.05</formula>
    </cfRule>
    <cfRule type="cellIs" dxfId="1788" priority="1788" operator="greaterThan">
      <formula>0.05</formula>
    </cfRule>
  </conditionalFormatting>
  <conditionalFormatting sqref="R755 T755 V755 Y755">
    <cfRule type="cellIs" dxfId="1787" priority="1781" operator="between">
      <formula>-0.05</formula>
      <formula>0.05</formula>
    </cfRule>
    <cfRule type="containsText" dxfId="1786" priority="1782" operator="containsText" text="NA">
      <formula>NOT(ISERROR(SEARCH("NA",R755)))</formula>
    </cfRule>
    <cfRule type="cellIs" dxfId="1785" priority="1783" operator="lessThan">
      <formula>-0.05</formula>
    </cfRule>
    <cfRule type="cellIs" dxfId="1784" priority="1784" operator="greaterThan">
      <formula>0.05</formula>
    </cfRule>
  </conditionalFormatting>
  <conditionalFormatting sqref="R756 T756 V756 Y756">
    <cfRule type="cellIs" dxfId="1783" priority="1777" operator="between">
      <formula>-0.05</formula>
      <formula>0.05</formula>
    </cfRule>
    <cfRule type="containsText" dxfId="1782" priority="1778" operator="containsText" text="NA">
      <formula>NOT(ISERROR(SEARCH("NA",R756)))</formula>
    </cfRule>
    <cfRule type="cellIs" dxfId="1781" priority="1779" operator="lessThan">
      <formula>-0.05</formula>
    </cfRule>
    <cfRule type="cellIs" dxfId="1780" priority="1780" operator="greaterThan">
      <formula>0.05</formula>
    </cfRule>
  </conditionalFormatting>
  <conditionalFormatting sqref="R757 T757 V757 Y757">
    <cfRule type="cellIs" dxfId="1779" priority="1773" operator="between">
      <formula>-0.05</formula>
      <formula>0.05</formula>
    </cfRule>
    <cfRule type="containsText" dxfId="1778" priority="1774" operator="containsText" text="NA">
      <formula>NOT(ISERROR(SEARCH("NA",R757)))</formula>
    </cfRule>
    <cfRule type="cellIs" dxfId="1777" priority="1775" operator="lessThan">
      <formula>-0.05</formula>
    </cfRule>
    <cfRule type="cellIs" dxfId="1776" priority="1776" operator="greaterThan">
      <formula>0.05</formula>
    </cfRule>
  </conditionalFormatting>
  <conditionalFormatting sqref="R758 T758 V758 Y758">
    <cfRule type="cellIs" dxfId="1775" priority="1769" operator="between">
      <formula>-0.05</formula>
      <formula>0.05</formula>
    </cfRule>
    <cfRule type="containsText" dxfId="1774" priority="1770" operator="containsText" text="NA">
      <formula>NOT(ISERROR(SEARCH("NA",R758)))</formula>
    </cfRule>
    <cfRule type="cellIs" dxfId="1773" priority="1771" operator="lessThan">
      <formula>-0.05</formula>
    </cfRule>
    <cfRule type="cellIs" dxfId="1772" priority="1772" operator="greaterThan">
      <formula>0.05</formula>
    </cfRule>
  </conditionalFormatting>
  <conditionalFormatting sqref="R759 T759 V759 Y759">
    <cfRule type="cellIs" dxfId="1771" priority="1765" operator="between">
      <formula>-0.05</formula>
      <formula>0.05</formula>
    </cfRule>
    <cfRule type="containsText" dxfId="1770" priority="1766" operator="containsText" text="NA">
      <formula>NOT(ISERROR(SEARCH("NA",R759)))</formula>
    </cfRule>
    <cfRule type="cellIs" dxfId="1769" priority="1767" operator="lessThan">
      <formula>-0.05</formula>
    </cfRule>
    <cfRule type="cellIs" dxfId="1768" priority="1768" operator="greaterThan">
      <formula>0.05</formula>
    </cfRule>
  </conditionalFormatting>
  <conditionalFormatting sqref="R760 T760 V760 Y760">
    <cfRule type="cellIs" dxfId="1767" priority="1761" operator="between">
      <formula>-0.05</formula>
      <formula>0.05</formula>
    </cfRule>
    <cfRule type="containsText" dxfId="1766" priority="1762" operator="containsText" text="NA">
      <formula>NOT(ISERROR(SEARCH("NA",R760)))</formula>
    </cfRule>
    <cfRule type="cellIs" dxfId="1765" priority="1763" operator="lessThan">
      <formula>-0.05</formula>
    </cfRule>
    <cfRule type="cellIs" dxfId="1764" priority="1764" operator="greaterThan">
      <formula>0.05</formula>
    </cfRule>
  </conditionalFormatting>
  <conditionalFormatting sqref="R761 T761 V761 Y761">
    <cfRule type="cellIs" dxfId="1763" priority="1757" operator="between">
      <formula>-0.05</formula>
      <formula>0.05</formula>
    </cfRule>
    <cfRule type="containsText" dxfId="1762" priority="1758" operator="containsText" text="NA">
      <formula>NOT(ISERROR(SEARCH("NA",R761)))</formula>
    </cfRule>
    <cfRule type="cellIs" dxfId="1761" priority="1759" operator="lessThan">
      <formula>-0.05</formula>
    </cfRule>
    <cfRule type="cellIs" dxfId="1760" priority="1760" operator="greaterThan">
      <formula>0.05</formula>
    </cfRule>
  </conditionalFormatting>
  <conditionalFormatting sqref="R762 T762 V762 Y762">
    <cfRule type="cellIs" dxfId="1759" priority="1753" operator="between">
      <formula>-0.05</formula>
      <formula>0.05</formula>
    </cfRule>
    <cfRule type="containsText" dxfId="1758" priority="1754" operator="containsText" text="NA">
      <formula>NOT(ISERROR(SEARCH("NA",R762)))</formula>
    </cfRule>
    <cfRule type="cellIs" dxfId="1757" priority="1755" operator="lessThan">
      <formula>-0.05</formula>
    </cfRule>
    <cfRule type="cellIs" dxfId="1756" priority="1756" operator="greaterThan">
      <formula>0.05</formula>
    </cfRule>
  </conditionalFormatting>
  <conditionalFormatting sqref="R763 T763 V763 Y763">
    <cfRule type="cellIs" dxfId="1755" priority="1749" operator="between">
      <formula>-0.05</formula>
      <formula>0.05</formula>
    </cfRule>
    <cfRule type="containsText" dxfId="1754" priority="1750" operator="containsText" text="NA">
      <formula>NOT(ISERROR(SEARCH("NA",R763)))</formula>
    </cfRule>
    <cfRule type="cellIs" dxfId="1753" priority="1751" operator="lessThan">
      <formula>-0.05</formula>
    </cfRule>
    <cfRule type="cellIs" dxfId="1752" priority="1752" operator="greaterThan">
      <formula>0.05</formula>
    </cfRule>
  </conditionalFormatting>
  <conditionalFormatting sqref="R764 T764 V764 Y764">
    <cfRule type="cellIs" dxfId="1751" priority="1745" operator="between">
      <formula>-0.05</formula>
      <formula>0.05</formula>
    </cfRule>
    <cfRule type="containsText" dxfId="1750" priority="1746" operator="containsText" text="NA">
      <formula>NOT(ISERROR(SEARCH("NA",R764)))</formula>
    </cfRule>
    <cfRule type="cellIs" dxfId="1749" priority="1747" operator="lessThan">
      <formula>-0.05</formula>
    </cfRule>
    <cfRule type="cellIs" dxfId="1748" priority="1748" operator="greaterThan">
      <formula>0.05</formula>
    </cfRule>
  </conditionalFormatting>
  <conditionalFormatting sqref="R765 T765 V765 Y765">
    <cfRule type="cellIs" dxfId="1747" priority="1741" operator="between">
      <formula>-0.05</formula>
      <formula>0.05</formula>
    </cfRule>
    <cfRule type="containsText" dxfId="1746" priority="1742" operator="containsText" text="NA">
      <formula>NOT(ISERROR(SEARCH("NA",R765)))</formula>
    </cfRule>
    <cfRule type="cellIs" dxfId="1745" priority="1743" operator="lessThan">
      <formula>-0.05</formula>
    </cfRule>
    <cfRule type="cellIs" dxfId="1744" priority="1744" operator="greaterThan">
      <formula>0.05</formula>
    </cfRule>
  </conditionalFormatting>
  <conditionalFormatting sqref="R766 T766 V766 Y766">
    <cfRule type="cellIs" dxfId="1743" priority="1737" operator="between">
      <formula>-0.05</formula>
      <formula>0.05</formula>
    </cfRule>
    <cfRule type="containsText" dxfId="1742" priority="1738" operator="containsText" text="NA">
      <formula>NOT(ISERROR(SEARCH("NA",R766)))</formula>
    </cfRule>
    <cfRule type="cellIs" dxfId="1741" priority="1739" operator="lessThan">
      <formula>-0.05</formula>
    </cfRule>
    <cfRule type="cellIs" dxfId="1740" priority="1740" operator="greaterThan">
      <formula>0.05</formula>
    </cfRule>
  </conditionalFormatting>
  <conditionalFormatting sqref="R767 T767 V767 Y767">
    <cfRule type="cellIs" dxfId="1739" priority="1733" operator="between">
      <formula>-0.05</formula>
      <formula>0.05</formula>
    </cfRule>
    <cfRule type="containsText" dxfId="1738" priority="1734" operator="containsText" text="NA">
      <formula>NOT(ISERROR(SEARCH("NA",R767)))</formula>
    </cfRule>
    <cfRule type="cellIs" dxfId="1737" priority="1735" operator="lessThan">
      <formula>-0.05</formula>
    </cfRule>
    <cfRule type="cellIs" dxfId="1736" priority="1736" operator="greaterThan">
      <formula>0.05</formula>
    </cfRule>
  </conditionalFormatting>
  <conditionalFormatting sqref="R768 T768 V768 Y768">
    <cfRule type="cellIs" dxfId="1735" priority="1729" operator="between">
      <formula>-0.05</formula>
      <formula>0.05</formula>
    </cfRule>
    <cfRule type="containsText" dxfId="1734" priority="1730" operator="containsText" text="NA">
      <formula>NOT(ISERROR(SEARCH("NA",R768)))</formula>
    </cfRule>
    <cfRule type="cellIs" dxfId="1733" priority="1731" operator="lessThan">
      <formula>-0.05</formula>
    </cfRule>
    <cfRule type="cellIs" dxfId="1732" priority="1732" operator="greaterThan">
      <formula>0.05</formula>
    </cfRule>
  </conditionalFormatting>
  <conditionalFormatting sqref="R769 T769 V769 Y769">
    <cfRule type="cellIs" dxfId="1731" priority="1725" operator="between">
      <formula>-0.05</formula>
      <formula>0.05</formula>
    </cfRule>
    <cfRule type="containsText" dxfId="1730" priority="1726" operator="containsText" text="NA">
      <formula>NOT(ISERROR(SEARCH("NA",R769)))</formula>
    </cfRule>
    <cfRule type="cellIs" dxfId="1729" priority="1727" operator="lessThan">
      <formula>-0.05</formula>
    </cfRule>
    <cfRule type="cellIs" dxfId="1728" priority="1728" operator="greaterThan">
      <formula>0.05</formula>
    </cfRule>
  </conditionalFormatting>
  <conditionalFormatting sqref="R770 T770 V770 Y770">
    <cfRule type="cellIs" dxfId="1727" priority="1721" operator="between">
      <formula>-0.05</formula>
      <formula>0.05</formula>
    </cfRule>
    <cfRule type="containsText" dxfId="1726" priority="1722" operator="containsText" text="NA">
      <formula>NOT(ISERROR(SEARCH("NA",R770)))</formula>
    </cfRule>
    <cfRule type="cellIs" dxfId="1725" priority="1723" operator="lessThan">
      <formula>-0.05</formula>
    </cfRule>
    <cfRule type="cellIs" dxfId="1724" priority="1724" operator="greaterThan">
      <formula>0.05</formula>
    </cfRule>
  </conditionalFormatting>
  <conditionalFormatting sqref="R771 T771 V771 Y771">
    <cfRule type="cellIs" dxfId="1723" priority="1717" operator="between">
      <formula>-0.05</formula>
      <formula>0.05</formula>
    </cfRule>
    <cfRule type="containsText" dxfId="1722" priority="1718" operator="containsText" text="NA">
      <formula>NOT(ISERROR(SEARCH("NA",R771)))</formula>
    </cfRule>
    <cfRule type="cellIs" dxfId="1721" priority="1719" operator="lessThan">
      <formula>-0.05</formula>
    </cfRule>
    <cfRule type="cellIs" dxfId="1720" priority="1720" operator="greaterThan">
      <formula>0.05</formula>
    </cfRule>
  </conditionalFormatting>
  <conditionalFormatting sqref="R772 T772 V772 Y772">
    <cfRule type="cellIs" dxfId="1719" priority="1713" operator="between">
      <formula>-0.05</formula>
      <formula>0.05</formula>
    </cfRule>
    <cfRule type="containsText" dxfId="1718" priority="1714" operator="containsText" text="NA">
      <formula>NOT(ISERROR(SEARCH("NA",R772)))</formula>
    </cfRule>
    <cfRule type="cellIs" dxfId="1717" priority="1715" operator="lessThan">
      <formula>-0.05</formula>
    </cfRule>
    <cfRule type="cellIs" dxfId="1716" priority="1716" operator="greaterThan">
      <formula>0.05</formula>
    </cfRule>
  </conditionalFormatting>
  <conditionalFormatting sqref="R773 T773 V773 Y773">
    <cfRule type="cellIs" dxfId="1715" priority="1709" operator="between">
      <formula>-0.05</formula>
      <formula>0.05</formula>
    </cfRule>
    <cfRule type="containsText" dxfId="1714" priority="1710" operator="containsText" text="NA">
      <formula>NOT(ISERROR(SEARCH("NA",R773)))</formula>
    </cfRule>
    <cfRule type="cellIs" dxfId="1713" priority="1711" operator="lessThan">
      <formula>-0.05</formula>
    </cfRule>
    <cfRule type="cellIs" dxfId="1712" priority="1712" operator="greaterThan">
      <formula>0.05</formula>
    </cfRule>
  </conditionalFormatting>
  <conditionalFormatting sqref="R774 T774 V774 Y774">
    <cfRule type="cellIs" dxfId="1711" priority="1705" operator="between">
      <formula>-0.05</formula>
      <formula>0.05</formula>
    </cfRule>
    <cfRule type="containsText" dxfId="1710" priority="1706" operator="containsText" text="NA">
      <formula>NOT(ISERROR(SEARCH("NA",R774)))</formula>
    </cfRule>
    <cfRule type="cellIs" dxfId="1709" priority="1707" operator="lessThan">
      <formula>-0.05</formula>
    </cfRule>
    <cfRule type="cellIs" dxfId="1708" priority="1708" operator="greaterThan">
      <formula>0.05</formula>
    </cfRule>
  </conditionalFormatting>
  <conditionalFormatting sqref="R775 T775 V775 Y775">
    <cfRule type="cellIs" dxfId="1707" priority="1701" operator="between">
      <formula>-0.05</formula>
      <formula>0.05</formula>
    </cfRule>
    <cfRule type="containsText" dxfId="1706" priority="1702" operator="containsText" text="NA">
      <formula>NOT(ISERROR(SEARCH("NA",R775)))</formula>
    </cfRule>
    <cfRule type="cellIs" dxfId="1705" priority="1703" operator="lessThan">
      <formula>-0.05</formula>
    </cfRule>
    <cfRule type="cellIs" dxfId="1704" priority="1704" operator="greaterThan">
      <formula>0.05</formula>
    </cfRule>
  </conditionalFormatting>
  <conditionalFormatting sqref="R776 T776 V776 Y776">
    <cfRule type="cellIs" dxfId="1703" priority="1697" operator="between">
      <formula>-0.05</formula>
      <formula>0.05</formula>
    </cfRule>
    <cfRule type="containsText" dxfId="1702" priority="1698" operator="containsText" text="NA">
      <formula>NOT(ISERROR(SEARCH("NA",R776)))</formula>
    </cfRule>
    <cfRule type="cellIs" dxfId="1701" priority="1699" operator="lessThan">
      <formula>-0.05</formula>
    </cfRule>
    <cfRule type="cellIs" dxfId="1700" priority="1700" operator="greaterThan">
      <formula>0.05</formula>
    </cfRule>
  </conditionalFormatting>
  <conditionalFormatting sqref="R777 T777 V777 Y777">
    <cfRule type="cellIs" dxfId="1699" priority="1693" operator="between">
      <formula>-0.05</formula>
      <formula>0.05</formula>
    </cfRule>
    <cfRule type="containsText" dxfId="1698" priority="1694" operator="containsText" text="NA">
      <formula>NOT(ISERROR(SEARCH("NA",R777)))</formula>
    </cfRule>
    <cfRule type="cellIs" dxfId="1697" priority="1695" operator="lessThan">
      <formula>-0.05</formula>
    </cfRule>
    <cfRule type="cellIs" dxfId="1696" priority="1696" operator="greaterThan">
      <formula>0.05</formula>
    </cfRule>
  </conditionalFormatting>
  <conditionalFormatting sqref="R778 T778 V778 Y778">
    <cfRule type="cellIs" dxfId="1695" priority="1689" operator="between">
      <formula>-0.05</formula>
      <formula>0.05</formula>
    </cfRule>
    <cfRule type="containsText" dxfId="1694" priority="1690" operator="containsText" text="NA">
      <formula>NOT(ISERROR(SEARCH("NA",R778)))</formula>
    </cfRule>
    <cfRule type="cellIs" dxfId="1693" priority="1691" operator="lessThan">
      <formula>-0.05</formula>
    </cfRule>
    <cfRule type="cellIs" dxfId="1692" priority="1692" operator="greaterThan">
      <formula>0.05</formula>
    </cfRule>
  </conditionalFormatting>
  <conditionalFormatting sqref="R779 T779 V779 Y779">
    <cfRule type="cellIs" dxfId="1691" priority="1685" operator="between">
      <formula>-0.05</formula>
      <formula>0.05</formula>
    </cfRule>
    <cfRule type="containsText" dxfId="1690" priority="1686" operator="containsText" text="NA">
      <formula>NOT(ISERROR(SEARCH("NA",R779)))</formula>
    </cfRule>
    <cfRule type="cellIs" dxfId="1689" priority="1687" operator="lessThan">
      <formula>-0.05</formula>
    </cfRule>
    <cfRule type="cellIs" dxfId="1688" priority="1688" operator="greaterThan">
      <formula>0.05</formula>
    </cfRule>
  </conditionalFormatting>
  <conditionalFormatting sqref="R780 T780 V780 Y780">
    <cfRule type="cellIs" dxfId="1687" priority="1681" operator="between">
      <formula>-0.05</formula>
      <formula>0.05</formula>
    </cfRule>
    <cfRule type="containsText" dxfId="1686" priority="1682" operator="containsText" text="NA">
      <formula>NOT(ISERROR(SEARCH("NA",R780)))</formula>
    </cfRule>
    <cfRule type="cellIs" dxfId="1685" priority="1683" operator="lessThan">
      <formula>-0.05</formula>
    </cfRule>
    <cfRule type="cellIs" dxfId="1684" priority="1684" operator="greaterThan">
      <formula>0.05</formula>
    </cfRule>
  </conditionalFormatting>
  <conditionalFormatting sqref="R781 T781 V781 Y781">
    <cfRule type="cellIs" dxfId="1683" priority="1677" operator="between">
      <formula>-0.05</formula>
      <formula>0.05</formula>
    </cfRule>
    <cfRule type="containsText" dxfId="1682" priority="1678" operator="containsText" text="NA">
      <formula>NOT(ISERROR(SEARCH("NA",R781)))</formula>
    </cfRule>
    <cfRule type="cellIs" dxfId="1681" priority="1679" operator="lessThan">
      <formula>-0.05</formula>
    </cfRule>
    <cfRule type="cellIs" dxfId="1680" priority="1680" operator="greaterThan">
      <formula>0.05</formula>
    </cfRule>
  </conditionalFormatting>
  <conditionalFormatting sqref="R782 T782 V782 Y782">
    <cfRule type="cellIs" dxfId="1679" priority="1673" operator="between">
      <formula>-0.05</formula>
      <formula>0.05</formula>
    </cfRule>
    <cfRule type="containsText" dxfId="1678" priority="1674" operator="containsText" text="NA">
      <formula>NOT(ISERROR(SEARCH("NA",R782)))</formula>
    </cfRule>
    <cfRule type="cellIs" dxfId="1677" priority="1675" operator="lessThan">
      <formula>-0.05</formula>
    </cfRule>
    <cfRule type="cellIs" dxfId="1676" priority="1676" operator="greaterThan">
      <formula>0.05</formula>
    </cfRule>
  </conditionalFormatting>
  <conditionalFormatting sqref="R783 T783 V783 Y783">
    <cfRule type="cellIs" dxfId="1675" priority="1669" operator="between">
      <formula>-0.05</formula>
      <formula>0.05</formula>
    </cfRule>
    <cfRule type="containsText" dxfId="1674" priority="1670" operator="containsText" text="NA">
      <formula>NOT(ISERROR(SEARCH("NA",R783)))</formula>
    </cfRule>
    <cfRule type="cellIs" dxfId="1673" priority="1671" operator="lessThan">
      <formula>-0.05</formula>
    </cfRule>
    <cfRule type="cellIs" dxfId="1672" priority="1672" operator="greaterThan">
      <formula>0.05</formula>
    </cfRule>
  </conditionalFormatting>
  <conditionalFormatting sqref="R784 T784 V784 Y784">
    <cfRule type="cellIs" dxfId="1671" priority="1665" operator="between">
      <formula>-0.05</formula>
      <formula>0.05</formula>
    </cfRule>
    <cfRule type="containsText" dxfId="1670" priority="1666" operator="containsText" text="NA">
      <formula>NOT(ISERROR(SEARCH("NA",R784)))</formula>
    </cfRule>
    <cfRule type="cellIs" dxfId="1669" priority="1667" operator="lessThan">
      <formula>-0.05</formula>
    </cfRule>
    <cfRule type="cellIs" dxfId="1668" priority="1668" operator="greaterThan">
      <formula>0.05</formula>
    </cfRule>
  </conditionalFormatting>
  <conditionalFormatting sqref="R785 T785 V785 Y785">
    <cfRule type="cellIs" dxfId="1667" priority="1661" operator="between">
      <formula>-0.05</formula>
      <formula>0.05</formula>
    </cfRule>
    <cfRule type="containsText" dxfId="1666" priority="1662" operator="containsText" text="NA">
      <formula>NOT(ISERROR(SEARCH("NA",R785)))</formula>
    </cfRule>
    <cfRule type="cellIs" dxfId="1665" priority="1663" operator="lessThan">
      <formula>-0.05</formula>
    </cfRule>
    <cfRule type="cellIs" dxfId="1664" priority="1664" operator="greaterThan">
      <formula>0.05</formula>
    </cfRule>
  </conditionalFormatting>
  <conditionalFormatting sqref="R786 T786 V786 Y786">
    <cfRule type="cellIs" dxfId="1663" priority="1657" operator="between">
      <formula>-0.05</formula>
      <formula>0.05</formula>
    </cfRule>
    <cfRule type="containsText" dxfId="1662" priority="1658" operator="containsText" text="NA">
      <formula>NOT(ISERROR(SEARCH("NA",R786)))</formula>
    </cfRule>
    <cfRule type="cellIs" dxfId="1661" priority="1659" operator="lessThan">
      <formula>-0.05</formula>
    </cfRule>
    <cfRule type="cellIs" dxfId="1660" priority="1660" operator="greaterThan">
      <formula>0.05</formula>
    </cfRule>
  </conditionalFormatting>
  <conditionalFormatting sqref="R787 T787 V787 Y787">
    <cfRule type="cellIs" dxfId="1659" priority="1653" operator="between">
      <formula>-0.05</formula>
      <formula>0.05</formula>
    </cfRule>
    <cfRule type="containsText" dxfId="1658" priority="1654" operator="containsText" text="NA">
      <formula>NOT(ISERROR(SEARCH("NA",R787)))</formula>
    </cfRule>
    <cfRule type="cellIs" dxfId="1657" priority="1655" operator="lessThan">
      <formula>-0.05</formula>
    </cfRule>
    <cfRule type="cellIs" dxfId="1656" priority="1656" operator="greaterThan">
      <formula>0.05</formula>
    </cfRule>
  </conditionalFormatting>
  <conditionalFormatting sqref="R788 T788 V788 Y788">
    <cfRule type="cellIs" dxfId="1655" priority="1649" operator="between">
      <formula>-0.05</formula>
      <formula>0.05</formula>
    </cfRule>
    <cfRule type="containsText" dxfId="1654" priority="1650" operator="containsText" text="NA">
      <formula>NOT(ISERROR(SEARCH("NA",R788)))</formula>
    </cfRule>
    <cfRule type="cellIs" dxfId="1653" priority="1651" operator="lessThan">
      <formula>-0.05</formula>
    </cfRule>
    <cfRule type="cellIs" dxfId="1652" priority="1652" operator="greaterThan">
      <formula>0.05</formula>
    </cfRule>
  </conditionalFormatting>
  <conditionalFormatting sqref="R789 T789 V789 Y789">
    <cfRule type="cellIs" dxfId="1651" priority="1645" operator="between">
      <formula>-0.05</formula>
      <formula>0.05</formula>
    </cfRule>
    <cfRule type="containsText" dxfId="1650" priority="1646" operator="containsText" text="NA">
      <formula>NOT(ISERROR(SEARCH("NA",R789)))</formula>
    </cfRule>
    <cfRule type="cellIs" dxfId="1649" priority="1647" operator="lessThan">
      <formula>-0.05</formula>
    </cfRule>
    <cfRule type="cellIs" dxfId="1648" priority="1648" operator="greaterThan">
      <formula>0.05</formula>
    </cfRule>
  </conditionalFormatting>
  <conditionalFormatting sqref="R790 T790 V790 Y790">
    <cfRule type="cellIs" dxfId="1647" priority="1641" operator="between">
      <formula>-0.05</formula>
      <formula>0.05</formula>
    </cfRule>
    <cfRule type="containsText" dxfId="1646" priority="1642" operator="containsText" text="NA">
      <formula>NOT(ISERROR(SEARCH("NA",R790)))</formula>
    </cfRule>
    <cfRule type="cellIs" dxfId="1645" priority="1643" operator="lessThan">
      <formula>-0.05</formula>
    </cfRule>
    <cfRule type="cellIs" dxfId="1644" priority="1644" operator="greaterThan">
      <formula>0.05</formula>
    </cfRule>
  </conditionalFormatting>
  <conditionalFormatting sqref="R791 T791 V791 Y791">
    <cfRule type="cellIs" dxfId="1643" priority="1637" operator="between">
      <formula>-0.05</formula>
      <formula>0.05</formula>
    </cfRule>
    <cfRule type="containsText" dxfId="1642" priority="1638" operator="containsText" text="NA">
      <formula>NOT(ISERROR(SEARCH("NA",R791)))</formula>
    </cfRule>
    <cfRule type="cellIs" dxfId="1641" priority="1639" operator="lessThan">
      <formula>-0.05</formula>
    </cfRule>
    <cfRule type="cellIs" dxfId="1640" priority="1640" operator="greaterThan">
      <formula>0.05</formula>
    </cfRule>
  </conditionalFormatting>
  <conditionalFormatting sqref="R792 T792 V792 Y792">
    <cfRule type="cellIs" dxfId="1639" priority="1633" operator="between">
      <formula>-0.05</formula>
      <formula>0.05</formula>
    </cfRule>
    <cfRule type="containsText" dxfId="1638" priority="1634" operator="containsText" text="NA">
      <formula>NOT(ISERROR(SEARCH("NA",R792)))</formula>
    </cfRule>
    <cfRule type="cellIs" dxfId="1637" priority="1635" operator="lessThan">
      <formula>-0.05</formula>
    </cfRule>
    <cfRule type="cellIs" dxfId="1636" priority="1636" operator="greaterThan">
      <formula>0.05</formula>
    </cfRule>
  </conditionalFormatting>
  <conditionalFormatting sqref="R793 T793 V793 Y793">
    <cfRule type="cellIs" dxfId="1635" priority="1629" operator="between">
      <formula>-0.05</formula>
      <formula>0.05</formula>
    </cfRule>
    <cfRule type="containsText" dxfId="1634" priority="1630" operator="containsText" text="NA">
      <formula>NOT(ISERROR(SEARCH("NA",R793)))</formula>
    </cfRule>
    <cfRule type="cellIs" dxfId="1633" priority="1631" operator="lessThan">
      <formula>-0.05</formula>
    </cfRule>
    <cfRule type="cellIs" dxfId="1632" priority="1632" operator="greaterThan">
      <formula>0.05</formula>
    </cfRule>
  </conditionalFormatting>
  <conditionalFormatting sqref="R794 T794 V794 Y794">
    <cfRule type="cellIs" dxfId="1631" priority="1625" operator="between">
      <formula>-0.05</formula>
      <formula>0.05</formula>
    </cfRule>
    <cfRule type="containsText" dxfId="1630" priority="1626" operator="containsText" text="NA">
      <formula>NOT(ISERROR(SEARCH("NA",R794)))</formula>
    </cfRule>
    <cfRule type="cellIs" dxfId="1629" priority="1627" operator="lessThan">
      <formula>-0.05</formula>
    </cfRule>
    <cfRule type="cellIs" dxfId="1628" priority="1628" operator="greaterThan">
      <formula>0.05</formula>
    </cfRule>
  </conditionalFormatting>
  <conditionalFormatting sqref="R795 T795 V795 Y795">
    <cfRule type="cellIs" dxfId="1627" priority="1621" operator="between">
      <formula>-0.05</formula>
      <formula>0.05</formula>
    </cfRule>
    <cfRule type="containsText" dxfId="1626" priority="1622" operator="containsText" text="NA">
      <formula>NOT(ISERROR(SEARCH("NA",R795)))</formula>
    </cfRule>
    <cfRule type="cellIs" dxfId="1625" priority="1623" operator="lessThan">
      <formula>-0.05</formula>
    </cfRule>
    <cfRule type="cellIs" dxfId="1624" priority="1624" operator="greaterThan">
      <formula>0.05</formula>
    </cfRule>
  </conditionalFormatting>
  <conditionalFormatting sqref="R796 T796 V796 Y796">
    <cfRule type="cellIs" dxfId="1623" priority="1617" operator="between">
      <formula>-0.05</formula>
      <formula>0.05</formula>
    </cfRule>
    <cfRule type="containsText" dxfId="1622" priority="1618" operator="containsText" text="NA">
      <formula>NOT(ISERROR(SEARCH("NA",R796)))</formula>
    </cfRule>
    <cfRule type="cellIs" dxfId="1621" priority="1619" operator="lessThan">
      <formula>-0.05</formula>
    </cfRule>
    <cfRule type="cellIs" dxfId="1620" priority="1620" operator="greaterThan">
      <formula>0.05</formula>
    </cfRule>
  </conditionalFormatting>
  <conditionalFormatting sqref="R797 T797 V797 Y797">
    <cfRule type="cellIs" dxfId="1619" priority="1613" operator="between">
      <formula>-0.05</formula>
      <formula>0.05</formula>
    </cfRule>
    <cfRule type="containsText" dxfId="1618" priority="1614" operator="containsText" text="NA">
      <formula>NOT(ISERROR(SEARCH("NA",R797)))</formula>
    </cfRule>
    <cfRule type="cellIs" dxfId="1617" priority="1615" operator="lessThan">
      <formula>-0.05</formula>
    </cfRule>
    <cfRule type="cellIs" dxfId="1616" priority="1616" operator="greaterThan">
      <formula>0.05</formula>
    </cfRule>
  </conditionalFormatting>
  <conditionalFormatting sqref="R798 T798 V798 Y798">
    <cfRule type="cellIs" dxfId="1615" priority="1609" operator="between">
      <formula>-0.05</formula>
      <formula>0.05</formula>
    </cfRule>
    <cfRule type="containsText" dxfId="1614" priority="1610" operator="containsText" text="NA">
      <formula>NOT(ISERROR(SEARCH("NA",R798)))</formula>
    </cfRule>
    <cfRule type="cellIs" dxfId="1613" priority="1611" operator="lessThan">
      <formula>-0.05</formula>
    </cfRule>
    <cfRule type="cellIs" dxfId="1612" priority="1612" operator="greaterThan">
      <formula>0.05</formula>
    </cfRule>
  </conditionalFormatting>
  <conditionalFormatting sqref="R799 T799 V799 Y799">
    <cfRule type="cellIs" dxfId="1611" priority="1605" operator="between">
      <formula>-0.05</formula>
      <formula>0.05</formula>
    </cfRule>
    <cfRule type="containsText" dxfId="1610" priority="1606" operator="containsText" text="NA">
      <formula>NOT(ISERROR(SEARCH("NA",R799)))</formula>
    </cfRule>
    <cfRule type="cellIs" dxfId="1609" priority="1607" operator="lessThan">
      <formula>-0.05</formula>
    </cfRule>
    <cfRule type="cellIs" dxfId="1608" priority="1608" operator="greaterThan">
      <formula>0.05</formula>
    </cfRule>
  </conditionalFormatting>
  <conditionalFormatting sqref="R800 T800 V800 Y800">
    <cfRule type="cellIs" dxfId="1607" priority="1601" operator="between">
      <formula>-0.05</formula>
      <formula>0.05</formula>
    </cfRule>
    <cfRule type="containsText" dxfId="1606" priority="1602" operator="containsText" text="NA">
      <formula>NOT(ISERROR(SEARCH("NA",R800)))</formula>
    </cfRule>
    <cfRule type="cellIs" dxfId="1605" priority="1603" operator="lessThan">
      <formula>-0.05</formula>
    </cfRule>
    <cfRule type="cellIs" dxfId="1604" priority="1604" operator="greaterThan">
      <formula>0.05</formula>
    </cfRule>
  </conditionalFormatting>
  <conditionalFormatting sqref="R801 T801 V801 Y801">
    <cfRule type="cellIs" dxfId="1603" priority="1597" operator="between">
      <formula>-0.05</formula>
      <formula>0.05</formula>
    </cfRule>
    <cfRule type="containsText" dxfId="1602" priority="1598" operator="containsText" text="NA">
      <formula>NOT(ISERROR(SEARCH("NA",R801)))</formula>
    </cfRule>
    <cfRule type="cellIs" dxfId="1601" priority="1599" operator="lessThan">
      <formula>-0.05</formula>
    </cfRule>
    <cfRule type="cellIs" dxfId="1600" priority="1600" operator="greaterThan">
      <formula>0.05</formula>
    </cfRule>
  </conditionalFormatting>
  <conditionalFormatting sqref="R802 T802 V802 Y802">
    <cfRule type="cellIs" dxfId="1599" priority="1593" operator="between">
      <formula>-0.05</formula>
      <formula>0.05</formula>
    </cfRule>
    <cfRule type="containsText" dxfId="1598" priority="1594" operator="containsText" text="NA">
      <formula>NOT(ISERROR(SEARCH("NA",R802)))</formula>
    </cfRule>
    <cfRule type="cellIs" dxfId="1597" priority="1595" operator="lessThan">
      <formula>-0.05</formula>
    </cfRule>
    <cfRule type="cellIs" dxfId="1596" priority="1596" operator="greaterThan">
      <formula>0.05</formula>
    </cfRule>
  </conditionalFormatting>
  <conditionalFormatting sqref="R803 T803 V803 Y803">
    <cfRule type="cellIs" dxfId="1595" priority="1589" operator="between">
      <formula>-0.05</formula>
      <formula>0.05</formula>
    </cfRule>
    <cfRule type="containsText" dxfId="1594" priority="1590" operator="containsText" text="NA">
      <formula>NOT(ISERROR(SEARCH("NA",R803)))</formula>
    </cfRule>
    <cfRule type="cellIs" dxfId="1593" priority="1591" operator="lessThan">
      <formula>-0.05</formula>
    </cfRule>
    <cfRule type="cellIs" dxfId="1592" priority="1592" operator="greaterThan">
      <formula>0.05</formula>
    </cfRule>
  </conditionalFormatting>
  <conditionalFormatting sqref="R804 T804 V804 Y804">
    <cfRule type="cellIs" dxfId="1591" priority="1585" operator="between">
      <formula>-0.05</formula>
      <formula>0.05</formula>
    </cfRule>
    <cfRule type="containsText" dxfId="1590" priority="1586" operator="containsText" text="NA">
      <formula>NOT(ISERROR(SEARCH("NA",R804)))</formula>
    </cfRule>
    <cfRule type="cellIs" dxfId="1589" priority="1587" operator="lessThan">
      <formula>-0.05</formula>
    </cfRule>
    <cfRule type="cellIs" dxfId="1588" priority="1588" operator="greaterThan">
      <formula>0.05</formula>
    </cfRule>
  </conditionalFormatting>
  <conditionalFormatting sqref="R805 T805 V805 Y805">
    <cfRule type="cellIs" dxfId="1587" priority="1581" operator="between">
      <formula>-0.05</formula>
      <formula>0.05</formula>
    </cfRule>
    <cfRule type="containsText" dxfId="1586" priority="1582" operator="containsText" text="NA">
      <formula>NOT(ISERROR(SEARCH("NA",R805)))</formula>
    </cfRule>
    <cfRule type="cellIs" dxfId="1585" priority="1583" operator="lessThan">
      <formula>-0.05</formula>
    </cfRule>
    <cfRule type="cellIs" dxfId="1584" priority="1584" operator="greaterThan">
      <formula>0.05</formula>
    </cfRule>
  </conditionalFormatting>
  <conditionalFormatting sqref="R806 T806 V806 Y806">
    <cfRule type="cellIs" dxfId="1583" priority="1577" operator="between">
      <formula>-0.05</formula>
      <formula>0.05</formula>
    </cfRule>
    <cfRule type="containsText" dxfId="1582" priority="1578" operator="containsText" text="NA">
      <formula>NOT(ISERROR(SEARCH("NA",R806)))</formula>
    </cfRule>
    <cfRule type="cellIs" dxfId="1581" priority="1579" operator="lessThan">
      <formula>-0.05</formula>
    </cfRule>
    <cfRule type="cellIs" dxfId="1580" priority="1580" operator="greaterThan">
      <formula>0.05</formula>
    </cfRule>
  </conditionalFormatting>
  <conditionalFormatting sqref="R807 T807 V807 Y807">
    <cfRule type="cellIs" dxfId="1579" priority="1573" operator="between">
      <formula>-0.05</formula>
      <formula>0.05</formula>
    </cfRule>
    <cfRule type="containsText" dxfId="1578" priority="1574" operator="containsText" text="NA">
      <formula>NOT(ISERROR(SEARCH("NA",R807)))</formula>
    </cfRule>
    <cfRule type="cellIs" dxfId="1577" priority="1575" operator="lessThan">
      <formula>-0.05</formula>
    </cfRule>
    <cfRule type="cellIs" dxfId="1576" priority="1576" operator="greaterThan">
      <formula>0.05</formula>
    </cfRule>
  </conditionalFormatting>
  <conditionalFormatting sqref="R808 T808 V808 Y808">
    <cfRule type="cellIs" dxfId="1575" priority="1569" operator="between">
      <formula>-0.05</formula>
      <formula>0.05</formula>
    </cfRule>
    <cfRule type="containsText" dxfId="1574" priority="1570" operator="containsText" text="NA">
      <formula>NOT(ISERROR(SEARCH("NA",R808)))</formula>
    </cfRule>
    <cfRule type="cellIs" dxfId="1573" priority="1571" operator="lessThan">
      <formula>-0.05</formula>
    </cfRule>
    <cfRule type="cellIs" dxfId="1572" priority="1572" operator="greaterThan">
      <formula>0.05</formula>
    </cfRule>
  </conditionalFormatting>
  <conditionalFormatting sqref="R809 T809 V809 Y809">
    <cfRule type="cellIs" dxfId="1571" priority="1565" operator="between">
      <formula>-0.05</formula>
      <formula>0.05</formula>
    </cfRule>
    <cfRule type="containsText" dxfId="1570" priority="1566" operator="containsText" text="NA">
      <formula>NOT(ISERROR(SEARCH("NA",R809)))</formula>
    </cfRule>
    <cfRule type="cellIs" dxfId="1569" priority="1567" operator="lessThan">
      <formula>-0.05</formula>
    </cfRule>
    <cfRule type="cellIs" dxfId="1568" priority="1568" operator="greaterThan">
      <formula>0.05</formula>
    </cfRule>
  </conditionalFormatting>
  <conditionalFormatting sqref="R810 T810 V810 Y810">
    <cfRule type="cellIs" dxfId="1567" priority="1561" operator="between">
      <formula>-0.05</formula>
      <formula>0.05</formula>
    </cfRule>
    <cfRule type="containsText" dxfId="1566" priority="1562" operator="containsText" text="NA">
      <formula>NOT(ISERROR(SEARCH("NA",R810)))</formula>
    </cfRule>
    <cfRule type="cellIs" dxfId="1565" priority="1563" operator="lessThan">
      <formula>-0.05</formula>
    </cfRule>
    <cfRule type="cellIs" dxfId="1564" priority="1564" operator="greaterThan">
      <formula>0.05</formula>
    </cfRule>
  </conditionalFormatting>
  <conditionalFormatting sqref="R811 T811 V811 Y811">
    <cfRule type="cellIs" dxfId="1563" priority="1557" operator="between">
      <formula>-0.05</formula>
      <formula>0.05</formula>
    </cfRule>
    <cfRule type="containsText" dxfId="1562" priority="1558" operator="containsText" text="NA">
      <formula>NOT(ISERROR(SEARCH("NA",R811)))</formula>
    </cfRule>
    <cfRule type="cellIs" dxfId="1561" priority="1559" operator="lessThan">
      <formula>-0.05</formula>
    </cfRule>
    <cfRule type="cellIs" dxfId="1560" priority="1560" operator="greaterThan">
      <formula>0.05</formula>
    </cfRule>
  </conditionalFormatting>
  <conditionalFormatting sqref="R812 T812 V812 Y812">
    <cfRule type="cellIs" dxfId="1559" priority="1553" operator="between">
      <formula>-0.05</formula>
      <formula>0.05</formula>
    </cfRule>
    <cfRule type="containsText" dxfId="1558" priority="1554" operator="containsText" text="NA">
      <formula>NOT(ISERROR(SEARCH("NA",R812)))</formula>
    </cfRule>
    <cfRule type="cellIs" dxfId="1557" priority="1555" operator="lessThan">
      <formula>-0.05</formula>
    </cfRule>
    <cfRule type="cellIs" dxfId="1556" priority="1556" operator="greaterThan">
      <formula>0.05</formula>
    </cfRule>
  </conditionalFormatting>
  <conditionalFormatting sqref="R813 T813 V813 Y813">
    <cfRule type="cellIs" dxfId="1555" priority="1549" operator="between">
      <formula>-0.05</formula>
      <formula>0.05</formula>
    </cfRule>
    <cfRule type="containsText" dxfId="1554" priority="1550" operator="containsText" text="NA">
      <formula>NOT(ISERROR(SEARCH("NA",R813)))</formula>
    </cfRule>
    <cfRule type="cellIs" dxfId="1553" priority="1551" operator="lessThan">
      <formula>-0.05</formula>
    </cfRule>
    <cfRule type="cellIs" dxfId="1552" priority="1552" operator="greaterThan">
      <formula>0.05</formula>
    </cfRule>
  </conditionalFormatting>
  <conditionalFormatting sqref="R814 T814 V814 Y814">
    <cfRule type="cellIs" dxfId="1551" priority="1545" operator="between">
      <formula>-0.05</formula>
      <formula>0.05</formula>
    </cfRule>
    <cfRule type="containsText" dxfId="1550" priority="1546" operator="containsText" text="NA">
      <formula>NOT(ISERROR(SEARCH("NA",R814)))</formula>
    </cfRule>
    <cfRule type="cellIs" dxfId="1549" priority="1547" operator="lessThan">
      <formula>-0.05</formula>
    </cfRule>
    <cfRule type="cellIs" dxfId="1548" priority="1548" operator="greaterThan">
      <formula>0.05</formula>
    </cfRule>
  </conditionalFormatting>
  <conditionalFormatting sqref="R815 T815 V815 Y815">
    <cfRule type="cellIs" dxfId="1547" priority="1541" operator="between">
      <formula>-0.05</formula>
      <formula>0.05</formula>
    </cfRule>
    <cfRule type="containsText" dxfId="1546" priority="1542" operator="containsText" text="NA">
      <formula>NOT(ISERROR(SEARCH("NA",R815)))</formula>
    </cfRule>
    <cfRule type="cellIs" dxfId="1545" priority="1543" operator="lessThan">
      <formula>-0.05</formula>
    </cfRule>
    <cfRule type="cellIs" dxfId="1544" priority="1544" operator="greaterThan">
      <formula>0.05</formula>
    </cfRule>
  </conditionalFormatting>
  <conditionalFormatting sqref="R816 T816 V816 Y816">
    <cfRule type="cellIs" dxfId="1543" priority="1537" operator="between">
      <formula>-0.05</formula>
      <formula>0.05</formula>
    </cfRule>
    <cfRule type="containsText" dxfId="1542" priority="1538" operator="containsText" text="NA">
      <formula>NOT(ISERROR(SEARCH("NA",R816)))</formula>
    </cfRule>
    <cfRule type="cellIs" dxfId="1541" priority="1539" operator="lessThan">
      <formula>-0.05</formula>
    </cfRule>
    <cfRule type="cellIs" dxfId="1540" priority="1540" operator="greaterThan">
      <formula>0.05</formula>
    </cfRule>
  </conditionalFormatting>
  <conditionalFormatting sqref="R817 T817 V817 Y817">
    <cfRule type="cellIs" dxfId="1539" priority="1533" operator="between">
      <formula>-0.05</formula>
      <formula>0.05</formula>
    </cfRule>
    <cfRule type="containsText" dxfId="1538" priority="1534" operator="containsText" text="NA">
      <formula>NOT(ISERROR(SEARCH("NA",R817)))</formula>
    </cfRule>
    <cfRule type="cellIs" dxfId="1537" priority="1535" operator="lessThan">
      <formula>-0.05</formula>
    </cfRule>
    <cfRule type="cellIs" dxfId="1536" priority="1536" operator="greaterThan">
      <formula>0.05</formula>
    </cfRule>
  </conditionalFormatting>
  <conditionalFormatting sqref="R818 T818 V818 Y818">
    <cfRule type="cellIs" dxfId="1535" priority="1529" operator="between">
      <formula>-0.05</formula>
      <formula>0.05</formula>
    </cfRule>
    <cfRule type="containsText" dxfId="1534" priority="1530" operator="containsText" text="NA">
      <formula>NOT(ISERROR(SEARCH("NA",R818)))</formula>
    </cfRule>
    <cfRule type="cellIs" dxfId="1533" priority="1531" operator="lessThan">
      <formula>-0.05</formula>
    </cfRule>
    <cfRule type="cellIs" dxfId="1532" priority="1532" operator="greaterThan">
      <formula>0.05</formula>
    </cfRule>
  </conditionalFormatting>
  <conditionalFormatting sqref="R819 T819 V819 Y819">
    <cfRule type="cellIs" dxfId="1531" priority="1525" operator="between">
      <formula>-0.05</formula>
      <formula>0.05</formula>
    </cfRule>
    <cfRule type="containsText" dxfId="1530" priority="1526" operator="containsText" text="NA">
      <formula>NOT(ISERROR(SEARCH("NA",R819)))</formula>
    </cfRule>
    <cfRule type="cellIs" dxfId="1529" priority="1527" operator="lessThan">
      <formula>-0.05</formula>
    </cfRule>
    <cfRule type="cellIs" dxfId="1528" priority="1528" operator="greaterThan">
      <formula>0.05</formula>
    </cfRule>
  </conditionalFormatting>
  <conditionalFormatting sqref="R820 T820 V820 Y820">
    <cfRule type="cellIs" dxfId="1527" priority="1521" operator="between">
      <formula>-0.05</formula>
      <formula>0.05</formula>
    </cfRule>
    <cfRule type="containsText" dxfId="1526" priority="1522" operator="containsText" text="NA">
      <formula>NOT(ISERROR(SEARCH("NA",R820)))</formula>
    </cfRule>
    <cfRule type="cellIs" dxfId="1525" priority="1523" operator="lessThan">
      <formula>-0.05</formula>
    </cfRule>
    <cfRule type="cellIs" dxfId="1524" priority="1524" operator="greaterThan">
      <formula>0.05</formula>
    </cfRule>
  </conditionalFormatting>
  <conditionalFormatting sqref="R821 T821 V821 Y821">
    <cfRule type="cellIs" dxfId="1523" priority="1517" operator="between">
      <formula>-0.05</formula>
      <formula>0.05</formula>
    </cfRule>
    <cfRule type="containsText" dxfId="1522" priority="1518" operator="containsText" text="NA">
      <formula>NOT(ISERROR(SEARCH("NA",R821)))</formula>
    </cfRule>
    <cfRule type="cellIs" dxfId="1521" priority="1519" operator="lessThan">
      <formula>-0.05</formula>
    </cfRule>
    <cfRule type="cellIs" dxfId="1520" priority="1520" operator="greaterThan">
      <formula>0.05</formula>
    </cfRule>
  </conditionalFormatting>
  <conditionalFormatting sqref="R822 T822 V822 Y822">
    <cfRule type="cellIs" dxfId="1519" priority="1513" operator="between">
      <formula>-0.05</formula>
      <formula>0.05</formula>
    </cfRule>
    <cfRule type="containsText" dxfId="1518" priority="1514" operator="containsText" text="NA">
      <formula>NOT(ISERROR(SEARCH("NA",R822)))</formula>
    </cfRule>
    <cfRule type="cellIs" dxfId="1517" priority="1515" operator="lessThan">
      <formula>-0.05</formula>
    </cfRule>
    <cfRule type="cellIs" dxfId="1516" priority="1516" operator="greaterThan">
      <formula>0.05</formula>
    </cfRule>
  </conditionalFormatting>
  <conditionalFormatting sqref="R823 T823 V823 Y823">
    <cfRule type="cellIs" dxfId="1515" priority="1509" operator="between">
      <formula>-0.05</formula>
      <formula>0.05</formula>
    </cfRule>
    <cfRule type="containsText" dxfId="1514" priority="1510" operator="containsText" text="NA">
      <formula>NOT(ISERROR(SEARCH("NA",R823)))</formula>
    </cfRule>
    <cfRule type="cellIs" dxfId="1513" priority="1511" operator="lessThan">
      <formula>-0.05</formula>
    </cfRule>
    <cfRule type="cellIs" dxfId="1512" priority="1512" operator="greaterThan">
      <formula>0.05</formula>
    </cfRule>
  </conditionalFormatting>
  <conditionalFormatting sqref="R824 T824 V824 Y824">
    <cfRule type="cellIs" dxfId="1511" priority="1505" operator="between">
      <formula>-0.05</formula>
      <formula>0.05</formula>
    </cfRule>
    <cfRule type="containsText" dxfId="1510" priority="1506" operator="containsText" text="NA">
      <formula>NOT(ISERROR(SEARCH("NA",R824)))</formula>
    </cfRule>
    <cfRule type="cellIs" dxfId="1509" priority="1507" operator="lessThan">
      <formula>-0.05</formula>
    </cfRule>
    <cfRule type="cellIs" dxfId="1508" priority="1508" operator="greaterThan">
      <formula>0.05</formula>
    </cfRule>
  </conditionalFormatting>
  <conditionalFormatting sqref="R825 T825 V825 Y825">
    <cfRule type="cellIs" dxfId="1507" priority="1501" operator="between">
      <formula>-0.05</formula>
      <formula>0.05</formula>
    </cfRule>
    <cfRule type="containsText" dxfId="1506" priority="1502" operator="containsText" text="NA">
      <formula>NOT(ISERROR(SEARCH("NA",R825)))</formula>
    </cfRule>
    <cfRule type="cellIs" dxfId="1505" priority="1503" operator="lessThan">
      <formula>-0.05</formula>
    </cfRule>
    <cfRule type="cellIs" dxfId="1504" priority="1504" operator="greaterThan">
      <formula>0.05</formula>
    </cfRule>
  </conditionalFormatting>
  <conditionalFormatting sqref="R826 T826 V826 Y826">
    <cfRule type="cellIs" dxfId="1503" priority="1497" operator="between">
      <formula>-0.05</formula>
      <formula>0.05</formula>
    </cfRule>
    <cfRule type="containsText" dxfId="1502" priority="1498" operator="containsText" text="NA">
      <formula>NOT(ISERROR(SEARCH("NA",R826)))</formula>
    </cfRule>
    <cfRule type="cellIs" dxfId="1501" priority="1499" operator="lessThan">
      <formula>-0.05</formula>
    </cfRule>
    <cfRule type="cellIs" dxfId="1500" priority="1500" operator="greaterThan">
      <formula>0.05</formula>
    </cfRule>
  </conditionalFormatting>
  <conditionalFormatting sqref="R827 T827 V827 Y827">
    <cfRule type="cellIs" dxfId="1499" priority="1493" operator="between">
      <formula>-0.05</formula>
      <formula>0.05</formula>
    </cfRule>
    <cfRule type="containsText" dxfId="1498" priority="1494" operator="containsText" text="NA">
      <formula>NOT(ISERROR(SEARCH("NA",R827)))</formula>
    </cfRule>
    <cfRule type="cellIs" dxfId="1497" priority="1495" operator="lessThan">
      <formula>-0.05</formula>
    </cfRule>
    <cfRule type="cellIs" dxfId="1496" priority="1496" operator="greaterThan">
      <formula>0.05</formula>
    </cfRule>
  </conditionalFormatting>
  <conditionalFormatting sqref="R828 T828 V828 Y828">
    <cfRule type="cellIs" dxfId="1495" priority="1489" operator="between">
      <formula>-0.05</formula>
      <formula>0.05</formula>
    </cfRule>
    <cfRule type="containsText" dxfId="1494" priority="1490" operator="containsText" text="NA">
      <formula>NOT(ISERROR(SEARCH("NA",R828)))</formula>
    </cfRule>
    <cfRule type="cellIs" dxfId="1493" priority="1491" operator="lessThan">
      <formula>-0.05</formula>
    </cfRule>
    <cfRule type="cellIs" dxfId="1492" priority="1492" operator="greaterThan">
      <formula>0.05</formula>
    </cfRule>
  </conditionalFormatting>
  <conditionalFormatting sqref="R829 T829 V829 Y829">
    <cfRule type="cellIs" dxfId="1491" priority="1485" operator="between">
      <formula>-0.05</formula>
      <formula>0.05</formula>
    </cfRule>
    <cfRule type="containsText" dxfId="1490" priority="1486" operator="containsText" text="NA">
      <formula>NOT(ISERROR(SEARCH("NA",R829)))</formula>
    </cfRule>
    <cfRule type="cellIs" dxfId="1489" priority="1487" operator="lessThan">
      <formula>-0.05</formula>
    </cfRule>
    <cfRule type="cellIs" dxfId="1488" priority="1488" operator="greaterThan">
      <formula>0.05</formula>
    </cfRule>
  </conditionalFormatting>
  <conditionalFormatting sqref="R830 T830 V830 Y830">
    <cfRule type="cellIs" dxfId="1487" priority="1481" operator="between">
      <formula>-0.05</formula>
      <formula>0.05</formula>
    </cfRule>
    <cfRule type="containsText" dxfId="1486" priority="1482" operator="containsText" text="NA">
      <formula>NOT(ISERROR(SEARCH("NA",R830)))</formula>
    </cfRule>
    <cfRule type="cellIs" dxfId="1485" priority="1483" operator="lessThan">
      <formula>-0.05</formula>
    </cfRule>
    <cfRule type="cellIs" dxfId="1484" priority="1484" operator="greaterThan">
      <formula>0.05</formula>
    </cfRule>
  </conditionalFormatting>
  <conditionalFormatting sqref="R831 T831 V831 Y831">
    <cfRule type="cellIs" dxfId="1483" priority="1477" operator="between">
      <formula>-0.05</formula>
      <formula>0.05</formula>
    </cfRule>
    <cfRule type="containsText" dxfId="1482" priority="1478" operator="containsText" text="NA">
      <formula>NOT(ISERROR(SEARCH("NA",R831)))</formula>
    </cfRule>
    <cfRule type="cellIs" dxfId="1481" priority="1479" operator="lessThan">
      <formula>-0.05</formula>
    </cfRule>
    <cfRule type="cellIs" dxfId="1480" priority="1480" operator="greaterThan">
      <formula>0.05</formula>
    </cfRule>
  </conditionalFormatting>
  <conditionalFormatting sqref="R832 T832 V832 Y832">
    <cfRule type="cellIs" dxfId="1479" priority="1473" operator="between">
      <formula>-0.05</formula>
      <formula>0.05</formula>
    </cfRule>
    <cfRule type="containsText" dxfId="1478" priority="1474" operator="containsText" text="NA">
      <formula>NOT(ISERROR(SEARCH("NA",R832)))</formula>
    </cfRule>
    <cfRule type="cellIs" dxfId="1477" priority="1475" operator="lessThan">
      <formula>-0.05</formula>
    </cfRule>
    <cfRule type="cellIs" dxfId="1476" priority="1476" operator="greaterThan">
      <formula>0.05</formula>
    </cfRule>
  </conditionalFormatting>
  <conditionalFormatting sqref="R833 T833 V833 Y833">
    <cfRule type="cellIs" dxfId="1475" priority="1469" operator="between">
      <formula>-0.05</formula>
      <formula>0.05</formula>
    </cfRule>
    <cfRule type="containsText" dxfId="1474" priority="1470" operator="containsText" text="NA">
      <formula>NOT(ISERROR(SEARCH("NA",R833)))</formula>
    </cfRule>
    <cfRule type="cellIs" dxfId="1473" priority="1471" operator="lessThan">
      <formula>-0.05</formula>
    </cfRule>
    <cfRule type="cellIs" dxfId="1472" priority="1472" operator="greaterThan">
      <formula>0.05</formula>
    </cfRule>
  </conditionalFormatting>
  <conditionalFormatting sqref="R834 T834 V834 Y834">
    <cfRule type="cellIs" dxfId="1471" priority="1465" operator="between">
      <formula>-0.05</formula>
      <formula>0.05</formula>
    </cfRule>
    <cfRule type="containsText" dxfId="1470" priority="1466" operator="containsText" text="NA">
      <formula>NOT(ISERROR(SEARCH("NA",R834)))</formula>
    </cfRule>
    <cfRule type="cellIs" dxfId="1469" priority="1467" operator="lessThan">
      <formula>-0.05</formula>
    </cfRule>
    <cfRule type="cellIs" dxfId="1468" priority="1468" operator="greaterThan">
      <formula>0.05</formula>
    </cfRule>
  </conditionalFormatting>
  <conditionalFormatting sqref="R835 T835 V835 Y835">
    <cfRule type="cellIs" dxfId="1467" priority="1461" operator="between">
      <formula>-0.05</formula>
      <formula>0.05</formula>
    </cfRule>
    <cfRule type="containsText" dxfId="1466" priority="1462" operator="containsText" text="NA">
      <formula>NOT(ISERROR(SEARCH("NA",R835)))</formula>
    </cfRule>
    <cfRule type="cellIs" dxfId="1465" priority="1463" operator="lessThan">
      <formula>-0.05</formula>
    </cfRule>
    <cfRule type="cellIs" dxfId="1464" priority="1464" operator="greaterThan">
      <formula>0.05</formula>
    </cfRule>
  </conditionalFormatting>
  <conditionalFormatting sqref="R836 T836 V836 Y836">
    <cfRule type="cellIs" dxfId="1463" priority="1457" operator="between">
      <formula>-0.05</formula>
      <formula>0.05</formula>
    </cfRule>
    <cfRule type="containsText" dxfId="1462" priority="1458" operator="containsText" text="NA">
      <formula>NOT(ISERROR(SEARCH("NA",R836)))</formula>
    </cfRule>
    <cfRule type="cellIs" dxfId="1461" priority="1459" operator="lessThan">
      <formula>-0.05</formula>
    </cfRule>
    <cfRule type="cellIs" dxfId="1460" priority="1460" operator="greaterThan">
      <formula>0.05</formula>
    </cfRule>
  </conditionalFormatting>
  <conditionalFormatting sqref="R837 T837 V837 Y837">
    <cfRule type="cellIs" dxfId="1459" priority="1453" operator="between">
      <formula>-0.05</formula>
      <formula>0.05</formula>
    </cfRule>
    <cfRule type="containsText" dxfId="1458" priority="1454" operator="containsText" text="NA">
      <formula>NOT(ISERROR(SEARCH("NA",R837)))</formula>
    </cfRule>
    <cfRule type="cellIs" dxfId="1457" priority="1455" operator="lessThan">
      <formula>-0.05</formula>
    </cfRule>
    <cfRule type="cellIs" dxfId="1456" priority="1456" operator="greaterThan">
      <formula>0.05</formula>
    </cfRule>
  </conditionalFormatting>
  <conditionalFormatting sqref="R838 T838 V838 Y838">
    <cfRule type="cellIs" dxfId="1455" priority="1449" operator="between">
      <formula>-0.05</formula>
      <formula>0.05</formula>
    </cfRule>
    <cfRule type="containsText" dxfId="1454" priority="1450" operator="containsText" text="NA">
      <formula>NOT(ISERROR(SEARCH("NA",R838)))</formula>
    </cfRule>
    <cfRule type="cellIs" dxfId="1453" priority="1451" operator="lessThan">
      <formula>-0.05</formula>
    </cfRule>
    <cfRule type="cellIs" dxfId="1452" priority="1452" operator="greaterThan">
      <formula>0.05</formula>
    </cfRule>
  </conditionalFormatting>
  <conditionalFormatting sqref="R839 T839 V839 Y839">
    <cfRule type="cellIs" dxfId="1451" priority="1445" operator="between">
      <formula>-0.05</formula>
      <formula>0.05</formula>
    </cfRule>
    <cfRule type="containsText" dxfId="1450" priority="1446" operator="containsText" text="NA">
      <formula>NOT(ISERROR(SEARCH("NA",R839)))</formula>
    </cfRule>
    <cfRule type="cellIs" dxfId="1449" priority="1447" operator="lessThan">
      <formula>-0.05</formula>
    </cfRule>
    <cfRule type="cellIs" dxfId="1448" priority="1448" operator="greaterThan">
      <formula>0.05</formula>
    </cfRule>
  </conditionalFormatting>
  <conditionalFormatting sqref="R840 T840 V840 Y840">
    <cfRule type="cellIs" dxfId="1447" priority="1441" operator="between">
      <formula>-0.05</formula>
      <formula>0.05</formula>
    </cfRule>
    <cfRule type="containsText" dxfId="1446" priority="1442" operator="containsText" text="NA">
      <formula>NOT(ISERROR(SEARCH("NA",R840)))</formula>
    </cfRule>
    <cfRule type="cellIs" dxfId="1445" priority="1443" operator="lessThan">
      <formula>-0.05</formula>
    </cfRule>
    <cfRule type="cellIs" dxfId="1444" priority="1444" operator="greaterThan">
      <formula>0.05</formula>
    </cfRule>
  </conditionalFormatting>
  <conditionalFormatting sqref="R841 T841 V841 Y841">
    <cfRule type="cellIs" dxfId="1443" priority="1437" operator="between">
      <formula>-0.05</formula>
      <formula>0.05</formula>
    </cfRule>
    <cfRule type="containsText" dxfId="1442" priority="1438" operator="containsText" text="NA">
      <formula>NOT(ISERROR(SEARCH("NA",R841)))</formula>
    </cfRule>
    <cfRule type="cellIs" dxfId="1441" priority="1439" operator="lessThan">
      <formula>-0.05</formula>
    </cfRule>
    <cfRule type="cellIs" dxfId="1440" priority="1440" operator="greaterThan">
      <formula>0.05</formula>
    </cfRule>
  </conditionalFormatting>
  <conditionalFormatting sqref="R842 T842 V842 Y842">
    <cfRule type="cellIs" dxfId="1439" priority="1433" operator="between">
      <formula>-0.05</formula>
      <formula>0.05</formula>
    </cfRule>
    <cfRule type="containsText" dxfId="1438" priority="1434" operator="containsText" text="NA">
      <formula>NOT(ISERROR(SEARCH("NA",R842)))</formula>
    </cfRule>
    <cfRule type="cellIs" dxfId="1437" priority="1435" operator="lessThan">
      <formula>-0.05</formula>
    </cfRule>
    <cfRule type="cellIs" dxfId="1436" priority="1436" operator="greaterThan">
      <formula>0.05</formula>
    </cfRule>
  </conditionalFormatting>
  <conditionalFormatting sqref="R843 T843 V843 Y843">
    <cfRule type="cellIs" dxfId="1435" priority="1429" operator="between">
      <formula>-0.05</formula>
      <formula>0.05</formula>
    </cfRule>
    <cfRule type="containsText" dxfId="1434" priority="1430" operator="containsText" text="NA">
      <formula>NOT(ISERROR(SEARCH("NA",R843)))</formula>
    </cfRule>
    <cfRule type="cellIs" dxfId="1433" priority="1431" operator="lessThan">
      <formula>-0.05</formula>
    </cfRule>
    <cfRule type="cellIs" dxfId="1432" priority="1432" operator="greaterThan">
      <formula>0.05</formula>
    </cfRule>
  </conditionalFormatting>
  <conditionalFormatting sqref="R844 T844 V844 Y844">
    <cfRule type="cellIs" dxfId="1431" priority="1425" operator="between">
      <formula>-0.05</formula>
      <formula>0.05</formula>
    </cfRule>
    <cfRule type="containsText" dxfId="1430" priority="1426" operator="containsText" text="NA">
      <formula>NOT(ISERROR(SEARCH("NA",R844)))</formula>
    </cfRule>
    <cfRule type="cellIs" dxfId="1429" priority="1427" operator="lessThan">
      <formula>-0.05</formula>
    </cfRule>
    <cfRule type="cellIs" dxfId="1428" priority="1428" operator="greaterThan">
      <formula>0.05</formula>
    </cfRule>
  </conditionalFormatting>
  <conditionalFormatting sqref="R845 T845 V845 Y845">
    <cfRule type="cellIs" dxfId="1427" priority="1421" operator="between">
      <formula>-0.05</formula>
      <formula>0.05</formula>
    </cfRule>
    <cfRule type="containsText" dxfId="1426" priority="1422" operator="containsText" text="NA">
      <formula>NOT(ISERROR(SEARCH("NA",R845)))</formula>
    </cfRule>
    <cfRule type="cellIs" dxfId="1425" priority="1423" operator="lessThan">
      <formula>-0.05</formula>
    </cfRule>
    <cfRule type="cellIs" dxfId="1424" priority="1424" operator="greaterThan">
      <formula>0.05</formula>
    </cfRule>
  </conditionalFormatting>
  <conditionalFormatting sqref="R846 T846 V846 Y846">
    <cfRule type="cellIs" dxfId="1423" priority="1417" operator="between">
      <formula>-0.05</formula>
      <formula>0.05</formula>
    </cfRule>
    <cfRule type="containsText" dxfId="1422" priority="1418" operator="containsText" text="NA">
      <formula>NOT(ISERROR(SEARCH("NA",R846)))</formula>
    </cfRule>
    <cfRule type="cellIs" dxfId="1421" priority="1419" operator="lessThan">
      <formula>-0.05</formula>
    </cfRule>
    <cfRule type="cellIs" dxfId="1420" priority="1420" operator="greaterThan">
      <formula>0.05</formula>
    </cfRule>
  </conditionalFormatting>
  <conditionalFormatting sqref="R847 T847 V847 Y847">
    <cfRule type="cellIs" dxfId="1419" priority="1413" operator="between">
      <formula>-0.05</formula>
      <formula>0.05</formula>
    </cfRule>
    <cfRule type="containsText" dxfId="1418" priority="1414" operator="containsText" text="NA">
      <formula>NOT(ISERROR(SEARCH("NA",R847)))</formula>
    </cfRule>
    <cfRule type="cellIs" dxfId="1417" priority="1415" operator="lessThan">
      <formula>-0.05</formula>
    </cfRule>
    <cfRule type="cellIs" dxfId="1416" priority="1416" operator="greaterThan">
      <formula>0.05</formula>
    </cfRule>
  </conditionalFormatting>
  <conditionalFormatting sqref="R848 T848 V848 Y848">
    <cfRule type="cellIs" dxfId="1415" priority="1409" operator="between">
      <formula>-0.05</formula>
      <formula>0.05</formula>
    </cfRule>
    <cfRule type="containsText" dxfId="1414" priority="1410" operator="containsText" text="NA">
      <formula>NOT(ISERROR(SEARCH("NA",R848)))</formula>
    </cfRule>
    <cfRule type="cellIs" dxfId="1413" priority="1411" operator="lessThan">
      <formula>-0.05</formula>
    </cfRule>
    <cfRule type="cellIs" dxfId="1412" priority="1412" operator="greaterThan">
      <formula>0.05</formula>
    </cfRule>
  </conditionalFormatting>
  <conditionalFormatting sqref="R849 T849 V849 Y849">
    <cfRule type="cellIs" dxfId="1411" priority="1405" operator="between">
      <formula>-0.05</formula>
      <formula>0.05</formula>
    </cfRule>
    <cfRule type="containsText" dxfId="1410" priority="1406" operator="containsText" text="NA">
      <formula>NOT(ISERROR(SEARCH("NA",R849)))</formula>
    </cfRule>
    <cfRule type="cellIs" dxfId="1409" priority="1407" operator="lessThan">
      <formula>-0.05</formula>
    </cfRule>
    <cfRule type="cellIs" dxfId="1408" priority="1408" operator="greaterThan">
      <formula>0.05</formula>
    </cfRule>
  </conditionalFormatting>
  <conditionalFormatting sqref="R850 T850 V850 Y850">
    <cfRule type="cellIs" dxfId="1407" priority="1401" operator="between">
      <formula>-0.05</formula>
      <formula>0.05</formula>
    </cfRule>
    <cfRule type="containsText" dxfId="1406" priority="1402" operator="containsText" text="NA">
      <formula>NOT(ISERROR(SEARCH("NA",R850)))</formula>
    </cfRule>
    <cfRule type="cellIs" dxfId="1405" priority="1403" operator="lessThan">
      <formula>-0.05</formula>
    </cfRule>
    <cfRule type="cellIs" dxfId="1404" priority="1404" operator="greaterThan">
      <formula>0.05</formula>
    </cfRule>
  </conditionalFormatting>
  <conditionalFormatting sqref="R851 T851 V851 Y851">
    <cfRule type="cellIs" dxfId="1403" priority="1397" operator="between">
      <formula>-0.05</formula>
      <formula>0.05</formula>
    </cfRule>
    <cfRule type="containsText" dxfId="1402" priority="1398" operator="containsText" text="NA">
      <formula>NOT(ISERROR(SEARCH("NA",R851)))</formula>
    </cfRule>
    <cfRule type="cellIs" dxfId="1401" priority="1399" operator="lessThan">
      <formula>-0.05</formula>
    </cfRule>
    <cfRule type="cellIs" dxfId="1400" priority="1400" operator="greaterThan">
      <formula>0.05</formula>
    </cfRule>
  </conditionalFormatting>
  <conditionalFormatting sqref="R852 T852 V852 Y852">
    <cfRule type="cellIs" dxfId="1399" priority="1393" operator="between">
      <formula>-0.05</formula>
      <formula>0.05</formula>
    </cfRule>
    <cfRule type="containsText" dxfId="1398" priority="1394" operator="containsText" text="NA">
      <formula>NOT(ISERROR(SEARCH("NA",R852)))</formula>
    </cfRule>
    <cfRule type="cellIs" dxfId="1397" priority="1395" operator="lessThan">
      <formula>-0.05</formula>
    </cfRule>
    <cfRule type="cellIs" dxfId="1396" priority="1396" operator="greaterThan">
      <formula>0.05</formula>
    </cfRule>
  </conditionalFormatting>
  <conditionalFormatting sqref="R853 T853 V853 Y853">
    <cfRule type="cellIs" dxfId="1395" priority="1389" operator="between">
      <formula>-0.05</formula>
      <formula>0.05</formula>
    </cfRule>
    <cfRule type="containsText" dxfId="1394" priority="1390" operator="containsText" text="NA">
      <formula>NOT(ISERROR(SEARCH("NA",R853)))</formula>
    </cfRule>
    <cfRule type="cellIs" dxfId="1393" priority="1391" operator="lessThan">
      <formula>-0.05</formula>
    </cfRule>
    <cfRule type="cellIs" dxfId="1392" priority="1392" operator="greaterThan">
      <formula>0.05</formula>
    </cfRule>
  </conditionalFormatting>
  <conditionalFormatting sqref="R854 T854 V854 Y854">
    <cfRule type="cellIs" dxfId="1391" priority="1385" operator="between">
      <formula>-0.05</formula>
      <formula>0.05</formula>
    </cfRule>
    <cfRule type="containsText" dxfId="1390" priority="1386" operator="containsText" text="NA">
      <formula>NOT(ISERROR(SEARCH("NA",R854)))</formula>
    </cfRule>
    <cfRule type="cellIs" dxfId="1389" priority="1387" operator="lessThan">
      <formula>-0.05</formula>
    </cfRule>
    <cfRule type="cellIs" dxfId="1388" priority="1388" operator="greaterThan">
      <formula>0.05</formula>
    </cfRule>
  </conditionalFormatting>
  <conditionalFormatting sqref="R855 T855 V855 Y855">
    <cfRule type="cellIs" dxfId="1387" priority="1381" operator="between">
      <formula>-0.05</formula>
      <formula>0.05</formula>
    </cfRule>
    <cfRule type="containsText" dxfId="1386" priority="1382" operator="containsText" text="NA">
      <formula>NOT(ISERROR(SEARCH("NA",R855)))</formula>
    </cfRule>
    <cfRule type="cellIs" dxfId="1385" priority="1383" operator="lessThan">
      <formula>-0.05</formula>
    </cfRule>
    <cfRule type="cellIs" dxfId="1384" priority="1384" operator="greaterThan">
      <formula>0.05</formula>
    </cfRule>
  </conditionalFormatting>
  <conditionalFormatting sqref="R856 T856 V856 Y856">
    <cfRule type="cellIs" dxfId="1383" priority="1377" operator="between">
      <formula>-0.05</formula>
      <formula>0.05</formula>
    </cfRule>
    <cfRule type="containsText" dxfId="1382" priority="1378" operator="containsText" text="NA">
      <formula>NOT(ISERROR(SEARCH("NA",R856)))</formula>
    </cfRule>
    <cfRule type="cellIs" dxfId="1381" priority="1379" operator="lessThan">
      <formula>-0.05</formula>
    </cfRule>
    <cfRule type="cellIs" dxfId="1380" priority="1380" operator="greaterThan">
      <formula>0.05</formula>
    </cfRule>
  </conditionalFormatting>
  <conditionalFormatting sqref="R857 T857 V857 Y857">
    <cfRule type="cellIs" dxfId="1379" priority="1373" operator="between">
      <formula>-0.05</formula>
      <formula>0.05</formula>
    </cfRule>
    <cfRule type="containsText" dxfId="1378" priority="1374" operator="containsText" text="NA">
      <formula>NOT(ISERROR(SEARCH("NA",R857)))</formula>
    </cfRule>
    <cfRule type="cellIs" dxfId="1377" priority="1375" operator="lessThan">
      <formula>-0.05</formula>
    </cfRule>
    <cfRule type="cellIs" dxfId="1376" priority="1376" operator="greaterThan">
      <formula>0.05</formula>
    </cfRule>
  </conditionalFormatting>
  <conditionalFormatting sqref="R858 T858 V858 Y858">
    <cfRule type="cellIs" dxfId="1375" priority="1369" operator="between">
      <formula>-0.05</formula>
      <formula>0.05</formula>
    </cfRule>
    <cfRule type="containsText" dxfId="1374" priority="1370" operator="containsText" text="NA">
      <formula>NOT(ISERROR(SEARCH("NA",R858)))</formula>
    </cfRule>
    <cfRule type="cellIs" dxfId="1373" priority="1371" operator="lessThan">
      <formula>-0.05</formula>
    </cfRule>
    <cfRule type="cellIs" dxfId="1372" priority="1372" operator="greaterThan">
      <formula>0.05</formula>
    </cfRule>
  </conditionalFormatting>
  <conditionalFormatting sqref="R859 T859 V859 Y859">
    <cfRule type="cellIs" dxfId="1371" priority="1365" operator="between">
      <formula>-0.05</formula>
      <formula>0.05</formula>
    </cfRule>
    <cfRule type="containsText" dxfId="1370" priority="1366" operator="containsText" text="NA">
      <formula>NOT(ISERROR(SEARCH("NA",R859)))</formula>
    </cfRule>
    <cfRule type="cellIs" dxfId="1369" priority="1367" operator="lessThan">
      <formula>-0.05</formula>
    </cfRule>
    <cfRule type="cellIs" dxfId="1368" priority="1368" operator="greaterThan">
      <formula>0.05</formula>
    </cfRule>
  </conditionalFormatting>
  <conditionalFormatting sqref="R860 T860 V860 Y860">
    <cfRule type="cellIs" dxfId="1367" priority="1361" operator="between">
      <formula>-0.05</formula>
      <formula>0.05</formula>
    </cfRule>
    <cfRule type="containsText" dxfId="1366" priority="1362" operator="containsText" text="NA">
      <formula>NOT(ISERROR(SEARCH("NA",R860)))</formula>
    </cfRule>
    <cfRule type="cellIs" dxfId="1365" priority="1363" operator="lessThan">
      <formula>-0.05</formula>
    </cfRule>
    <cfRule type="cellIs" dxfId="1364" priority="1364" operator="greaterThan">
      <formula>0.05</formula>
    </cfRule>
  </conditionalFormatting>
  <conditionalFormatting sqref="R861 T861 V861 Y861">
    <cfRule type="cellIs" dxfId="1363" priority="1357" operator="between">
      <formula>-0.05</formula>
      <formula>0.05</formula>
    </cfRule>
    <cfRule type="containsText" dxfId="1362" priority="1358" operator="containsText" text="NA">
      <formula>NOT(ISERROR(SEARCH("NA",R861)))</formula>
    </cfRule>
    <cfRule type="cellIs" dxfId="1361" priority="1359" operator="lessThan">
      <formula>-0.05</formula>
    </cfRule>
    <cfRule type="cellIs" dxfId="1360" priority="1360" operator="greaterThan">
      <formula>0.05</formula>
    </cfRule>
  </conditionalFormatting>
  <conditionalFormatting sqref="R862 T862 V862 Y862">
    <cfRule type="cellIs" dxfId="1359" priority="1353" operator="between">
      <formula>-0.05</formula>
      <formula>0.05</formula>
    </cfRule>
    <cfRule type="containsText" dxfId="1358" priority="1354" operator="containsText" text="NA">
      <formula>NOT(ISERROR(SEARCH("NA",R862)))</formula>
    </cfRule>
    <cfRule type="cellIs" dxfId="1357" priority="1355" operator="lessThan">
      <formula>-0.05</formula>
    </cfRule>
    <cfRule type="cellIs" dxfId="1356" priority="1356" operator="greaterThan">
      <formula>0.05</formula>
    </cfRule>
  </conditionalFormatting>
  <conditionalFormatting sqref="R863 T863 V863 Y863">
    <cfRule type="cellIs" dxfId="1355" priority="1349" operator="between">
      <formula>-0.05</formula>
      <formula>0.05</formula>
    </cfRule>
    <cfRule type="containsText" dxfId="1354" priority="1350" operator="containsText" text="NA">
      <formula>NOT(ISERROR(SEARCH("NA",R863)))</formula>
    </cfRule>
    <cfRule type="cellIs" dxfId="1353" priority="1351" operator="lessThan">
      <formula>-0.05</formula>
    </cfRule>
    <cfRule type="cellIs" dxfId="1352" priority="1352" operator="greaterThan">
      <formula>0.05</formula>
    </cfRule>
  </conditionalFormatting>
  <conditionalFormatting sqref="R864 T864 V864 Y864">
    <cfRule type="cellIs" dxfId="1351" priority="1345" operator="between">
      <formula>-0.05</formula>
      <formula>0.05</formula>
    </cfRule>
    <cfRule type="containsText" dxfId="1350" priority="1346" operator="containsText" text="NA">
      <formula>NOT(ISERROR(SEARCH("NA",R864)))</formula>
    </cfRule>
    <cfRule type="cellIs" dxfId="1349" priority="1347" operator="lessThan">
      <formula>-0.05</formula>
    </cfRule>
    <cfRule type="cellIs" dxfId="1348" priority="1348" operator="greaterThan">
      <formula>0.05</formula>
    </cfRule>
  </conditionalFormatting>
  <conditionalFormatting sqref="R865 T865 V865 Y865">
    <cfRule type="cellIs" dxfId="1347" priority="1341" operator="between">
      <formula>-0.05</formula>
      <formula>0.05</formula>
    </cfRule>
    <cfRule type="containsText" dxfId="1346" priority="1342" operator="containsText" text="NA">
      <formula>NOT(ISERROR(SEARCH("NA",R865)))</formula>
    </cfRule>
    <cfRule type="cellIs" dxfId="1345" priority="1343" operator="lessThan">
      <formula>-0.05</formula>
    </cfRule>
    <cfRule type="cellIs" dxfId="1344" priority="1344" operator="greaterThan">
      <formula>0.05</formula>
    </cfRule>
  </conditionalFormatting>
  <conditionalFormatting sqref="R866 T866 V866 Y866">
    <cfRule type="cellIs" dxfId="1343" priority="1337" operator="between">
      <formula>-0.05</formula>
      <formula>0.05</formula>
    </cfRule>
    <cfRule type="containsText" dxfId="1342" priority="1338" operator="containsText" text="NA">
      <formula>NOT(ISERROR(SEARCH("NA",R866)))</formula>
    </cfRule>
    <cfRule type="cellIs" dxfId="1341" priority="1339" operator="lessThan">
      <formula>-0.05</formula>
    </cfRule>
    <cfRule type="cellIs" dxfId="1340" priority="1340" operator="greaterThan">
      <formula>0.05</formula>
    </cfRule>
  </conditionalFormatting>
  <conditionalFormatting sqref="R867 T867 V867 Y867">
    <cfRule type="cellIs" dxfId="1339" priority="1333" operator="between">
      <formula>-0.05</formula>
      <formula>0.05</formula>
    </cfRule>
    <cfRule type="containsText" dxfId="1338" priority="1334" operator="containsText" text="NA">
      <formula>NOT(ISERROR(SEARCH("NA",R867)))</formula>
    </cfRule>
    <cfRule type="cellIs" dxfId="1337" priority="1335" operator="lessThan">
      <formula>-0.05</formula>
    </cfRule>
    <cfRule type="cellIs" dxfId="1336" priority="1336" operator="greaterThan">
      <formula>0.05</formula>
    </cfRule>
  </conditionalFormatting>
  <conditionalFormatting sqref="R868 T868 V868 Y868">
    <cfRule type="cellIs" dxfId="1335" priority="1329" operator="between">
      <formula>-0.05</formula>
      <formula>0.05</formula>
    </cfRule>
    <cfRule type="containsText" dxfId="1334" priority="1330" operator="containsText" text="NA">
      <formula>NOT(ISERROR(SEARCH("NA",R868)))</formula>
    </cfRule>
    <cfRule type="cellIs" dxfId="1333" priority="1331" operator="lessThan">
      <formula>-0.05</formula>
    </cfRule>
    <cfRule type="cellIs" dxfId="1332" priority="1332" operator="greaterThan">
      <formula>0.05</formula>
    </cfRule>
  </conditionalFormatting>
  <conditionalFormatting sqref="R869 T869 V869 Y869">
    <cfRule type="cellIs" dxfId="1331" priority="1325" operator="between">
      <formula>-0.05</formula>
      <formula>0.05</formula>
    </cfRule>
    <cfRule type="containsText" dxfId="1330" priority="1326" operator="containsText" text="NA">
      <formula>NOT(ISERROR(SEARCH("NA",R869)))</formula>
    </cfRule>
    <cfRule type="cellIs" dxfId="1329" priority="1327" operator="lessThan">
      <formula>-0.05</formula>
    </cfRule>
    <cfRule type="cellIs" dxfId="1328" priority="1328" operator="greaterThan">
      <formula>0.05</formula>
    </cfRule>
  </conditionalFormatting>
  <conditionalFormatting sqref="R870 T870 V870 Y870">
    <cfRule type="cellIs" dxfId="1327" priority="1321" operator="between">
      <formula>-0.05</formula>
      <formula>0.05</formula>
    </cfRule>
    <cfRule type="containsText" dxfId="1326" priority="1322" operator="containsText" text="NA">
      <formula>NOT(ISERROR(SEARCH("NA",R870)))</formula>
    </cfRule>
    <cfRule type="cellIs" dxfId="1325" priority="1323" operator="lessThan">
      <formula>-0.05</formula>
    </cfRule>
    <cfRule type="cellIs" dxfId="1324" priority="1324" operator="greaterThan">
      <formula>0.05</formula>
    </cfRule>
  </conditionalFormatting>
  <conditionalFormatting sqref="R871 T871 V871 Y871">
    <cfRule type="cellIs" dxfId="1323" priority="1317" operator="between">
      <formula>-0.05</formula>
      <formula>0.05</formula>
    </cfRule>
    <cfRule type="containsText" dxfId="1322" priority="1318" operator="containsText" text="NA">
      <formula>NOT(ISERROR(SEARCH("NA",R871)))</formula>
    </cfRule>
    <cfRule type="cellIs" dxfId="1321" priority="1319" operator="lessThan">
      <formula>-0.05</formula>
    </cfRule>
    <cfRule type="cellIs" dxfId="1320" priority="1320" operator="greaterThan">
      <formula>0.05</formula>
    </cfRule>
  </conditionalFormatting>
  <conditionalFormatting sqref="R872 T872 V872 Y872">
    <cfRule type="cellIs" dxfId="1319" priority="1313" operator="between">
      <formula>-0.05</formula>
      <formula>0.05</formula>
    </cfRule>
    <cfRule type="containsText" dxfId="1318" priority="1314" operator="containsText" text="NA">
      <formula>NOT(ISERROR(SEARCH("NA",R872)))</formula>
    </cfRule>
    <cfRule type="cellIs" dxfId="1317" priority="1315" operator="lessThan">
      <formula>-0.05</formula>
    </cfRule>
    <cfRule type="cellIs" dxfId="1316" priority="1316" operator="greaterThan">
      <formula>0.05</formula>
    </cfRule>
  </conditionalFormatting>
  <conditionalFormatting sqref="R873 T873 V873 Y873">
    <cfRule type="cellIs" dxfId="1315" priority="1309" operator="between">
      <formula>-0.05</formula>
      <formula>0.05</formula>
    </cfRule>
    <cfRule type="containsText" dxfId="1314" priority="1310" operator="containsText" text="NA">
      <formula>NOT(ISERROR(SEARCH("NA",R873)))</formula>
    </cfRule>
    <cfRule type="cellIs" dxfId="1313" priority="1311" operator="lessThan">
      <formula>-0.05</formula>
    </cfRule>
    <cfRule type="cellIs" dxfId="1312" priority="1312" operator="greaterThan">
      <formula>0.05</formula>
    </cfRule>
  </conditionalFormatting>
  <conditionalFormatting sqref="R874 T874 V874 Y874">
    <cfRule type="cellIs" dxfId="1311" priority="1305" operator="between">
      <formula>-0.05</formula>
      <formula>0.05</formula>
    </cfRule>
    <cfRule type="containsText" dxfId="1310" priority="1306" operator="containsText" text="NA">
      <formula>NOT(ISERROR(SEARCH("NA",R874)))</formula>
    </cfRule>
    <cfRule type="cellIs" dxfId="1309" priority="1307" operator="lessThan">
      <formula>-0.05</formula>
    </cfRule>
    <cfRule type="cellIs" dxfId="1308" priority="1308" operator="greaterThan">
      <formula>0.05</formula>
    </cfRule>
  </conditionalFormatting>
  <conditionalFormatting sqref="R875 T875 V875 Y875">
    <cfRule type="cellIs" dxfId="1307" priority="1301" operator="between">
      <formula>-0.05</formula>
      <formula>0.05</formula>
    </cfRule>
    <cfRule type="containsText" dxfId="1306" priority="1302" operator="containsText" text="NA">
      <formula>NOT(ISERROR(SEARCH("NA",R875)))</formula>
    </cfRule>
    <cfRule type="cellIs" dxfId="1305" priority="1303" operator="lessThan">
      <formula>-0.05</formula>
    </cfRule>
    <cfRule type="cellIs" dxfId="1304" priority="1304" operator="greaterThan">
      <formula>0.05</formula>
    </cfRule>
  </conditionalFormatting>
  <conditionalFormatting sqref="R876 T876 V876 Y876">
    <cfRule type="cellIs" dxfId="1303" priority="1297" operator="between">
      <formula>-0.05</formula>
      <formula>0.05</formula>
    </cfRule>
    <cfRule type="containsText" dxfId="1302" priority="1298" operator="containsText" text="NA">
      <formula>NOT(ISERROR(SEARCH("NA",R876)))</formula>
    </cfRule>
    <cfRule type="cellIs" dxfId="1301" priority="1299" operator="lessThan">
      <formula>-0.05</formula>
    </cfRule>
    <cfRule type="cellIs" dxfId="1300" priority="1300" operator="greaterThan">
      <formula>0.05</formula>
    </cfRule>
  </conditionalFormatting>
  <conditionalFormatting sqref="R877 T877 V877 Y877">
    <cfRule type="cellIs" dxfId="1299" priority="1293" operator="between">
      <formula>-0.05</formula>
      <formula>0.05</formula>
    </cfRule>
    <cfRule type="containsText" dxfId="1298" priority="1294" operator="containsText" text="NA">
      <formula>NOT(ISERROR(SEARCH("NA",R877)))</formula>
    </cfRule>
    <cfRule type="cellIs" dxfId="1297" priority="1295" operator="lessThan">
      <formula>-0.05</formula>
    </cfRule>
    <cfRule type="cellIs" dxfId="1296" priority="1296" operator="greaterThan">
      <formula>0.05</formula>
    </cfRule>
  </conditionalFormatting>
  <conditionalFormatting sqref="R878 T878 V878 Y878">
    <cfRule type="cellIs" dxfId="1295" priority="1289" operator="between">
      <formula>-0.05</formula>
      <formula>0.05</formula>
    </cfRule>
    <cfRule type="containsText" dxfId="1294" priority="1290" operator="containsText" text="NA">
      <formula>NOT(ISERROR(SEARCH("NA",R878)))</formula>
    </cfRule>
    <cfRule type="cellIs" dxfId="1293" priority="1291" operator="lessThan">
      <formula>-0.05</formula>
    </cfRule>
    <cfRule type="cellIs" dxfId="1292" priority="1292" operator="greaterThan">
      <formula>0.05</formula>
    </cfRule>
  </conditionalFormatting>
  <conditionalFormatting sqref="R879 T879 V879 Y879">
    <cfRule type="cellIs" dxfId="1291" priority="1285" operator="between">
      <formula>-0.05</formula>
      <formula>0.05</formula>
    </cfRule>
    <cfRule type="containsText" dxfId="1290" priority="1286" operator="containsText" text="NA">
      <formula>NOT(ISERROR(SEARCH("NA",R879)))</formula>
    </cfRule>
    <cfRule type="cellIs" dxfId="1289" priority="1287" operator="lessThan">
      <formula>-0.05</formula>
    </cfRule>
    <cfRule type="cellIs" dxfId="1288" priority="1288" operator="greaterThan">
      <formula>0.05</formula>
    </cfRule>
  </conditionalFormatting>
  <conditionalFormatting sqref="R880 T880 V880 Y880">
    <cfRule type="cellIs" dxfId="1287" priority="1281" operator="between">
      <formula>-0.05</formula>
      <formula>0.05</formula>
    </cfRule>
    <cfRule type="containsText" dxfId="1286" priority="1282" operator="containsText" text="NA">
      <formula>NOT(ISERROR(SEARCH("NA",R880)))</formula>
    </cfRule>
    <cfRule type="cellIs" dxfId="1285" priority="1283" operator="lessThan">
      <formula>-0.05</formula>
    </cfRule>
    <cfRule type="cellIs" dxfId="1284" priority="1284" operator="greaterThan">
      <formula>0.05</formula>
    </cfRule>
  </conditionalFormatting>
  <conditionalFormatting sqref="R881 T881 V881 Y881">
    <cfRule type="cellIs" dxfId="1283" priority="1277" operator="between">
      <formula>-0.05</formula>
      <formula>0.05</formula>
    </cfRule>
    <cfRule type="containsText" dxfId="1282" priority="1278" operator="containsText" text="NA">
      <formula>NOT(ISERROR(SEARCH("NA",R881)))</formula>
    </cfRule>
    <cfRule type="cellIs" dxfId="1281" priority="1279" operator="lessThan">
      <formula>-0.05</formula>
    </cfRule>
    <cfRule type="cellIs" dxfId="1280" priority="1280" operator="greaterThan">
      <formula>0.05</formula>
    </cfRule>
  </conditionalFormatting>
  <conditionalFormatting sqref="R882 T882 V882 Y882">
    <cfRule type="cellIs" dxfId="1279" priority="1273" operator="between">
      <formula>-0.05</formula>
      <formula>0.05</formula>
    </cfRule>
    <cfRule type="containsText" dxfId="1278" priority="1274" operator="containsText" text="NA">
      <formula>NOT(ISERROR(SEARCH("NA",R882)))</formula>
    </cfRule>
    <cfRule type="cellIs" dxfId="1277" priority="1275" operator="lessThan">
      <formula>-0.05</formula>
    </cfRule>
    <cfRule type="cellIs" dxfId="1276" priority="1276" operator="greaterThan">
      <formula>0.05</formula>
    </cfRule>
  </conditionalFormatting>
  <conditionalFormatting sqref="R883 T883 V883 Y883">
    <cfRule type="cellIs" dxfId="1275" priority="1269" operator="between">
      <formula>-0.05</formula>
      <formula>0.05</formula>
    </cfRule>
    <cfRule type="containsText" dxfId="1274" priority="1270" operator="containsText" text="NA">
      <formula>NOT(ISERROR(SEARCH("NA",R883)))</formula>
    </cfRule>
    <cfRule type="cellIs" dxfId="1273" priority="1271" operator="lessThan">
      <formula>-0.05</formula>
    </cfRule>
    <cfRule type="cellIs" dxfId="1272" priority="1272" operator="greaterThan">
      <formula>0.05</formula>
    </cfRule>
  </conditionalFormatting>
  <conditionalFormatting sqref="R884 T884 V884 Y884">
    <cfRule type="cellIs" dxfId="1271" priority="1265" operator="between">
      <formula>-0.05</formula>
      <formula>0.05</formula>
    </cfRule>
    <cfRule type="containsText" dxfId="1270" priority="1266" operator="containsText" text="NA">
      <formula>NOT(ISERROR(SEARCH("NA",R884)))</formula>
    </cfRule>
    <cfRule type="cellIs" dxfId="1269" priority="1267" operator="lessThan">
      <formula>-0.05</formula>
    </cfRule>
    <cfRule type="cellIs" dxfId="1268" priority="1268" operator="greaterThan">
      <formula>0.05</formula>
    </cfRule>
  </conditionalFormatting>
  <conditionalFormatting sqref="R885 T885 V885 Y885">
    <cfRule type="cellIs" dxfId="1267" priority="1261" operator="between">
      <formula>-0.05</formula>
      <formula>0.05</formula>
    </cfRule>
    <cfRule type="containsText" dxfId="1266" priority="1262" operator="containsText" text="NA">
      <formula>NOT(ISERROR(SEARCH("NA",R885)))</formula>
    </cfRule>
    <cfRule type="cellIs" dxfId="1265" priority="1263" operator="lessThan">
      <formula>-0.05</formula>
    </cfRule>
    <cfRule type="cellIs" dxfId="1264" priority="1264" operator="greaterThan">
      <formula>0.05</formula>
    </cfRule>
  </conditionalFormatting>
  <conditionalFormatting sqref="R886 T886 V886 Y886">
    <cfRule type="cellIs" dxfId="1263" priority="1257" operator="between">
      <formula>-0.05</formula>
      <formula>0.05</formula>
    </cfRule>
    <cfRule type="containsText" dxfId="1262" priority="1258" operator="containsText" text="NA">
      <formula>NOT(ISERROR(SEARCH("NA",R886)))</formula>
    </cfRule>
    <cfRule type="cellIs" dxfId="1261" priority="1259" operator="lessThan">
      <formula>-0.05</formula>
    </cfRule>
    <cfRule type="cellIs" dxfId="1260" priority="1260" operator="greaterThan">
      <formula>0.05</formula>
    </cfRule>
  </conditionalFormatting>
  <conditionalFormatting sqref="R887 T887 V887 Y887">
    <cfRule type="cellIs" dxfId="1259" priority="1253" operator="between">
      <formula>-0.05</formula>
      <formula>0.05</formula>
    </cfRule>
    <cfRule type="containsText" dxfId="1258" priority="1254" operator="containsText" text="NA">
      <formula>NOT(ISERROR(SEARCH("NA",R887)))</formula>
    </cfRule>
    <cfRule type="cellIs" dxfId="1257" priority="1255" operator="lessThan">
      <formula>-0.05</formula>
    </cfRule>
    <cfRule type="cellIs" dxfId="1256" priority="1256" operator="greaterThan">
      <formula>0.05</formula>
    </cfRule>
  </conditionalFormatting>
  <conditionalFormatting sqref="R888 T888 V888 Y888">
    <cfRule type="cellIs" dxfId="1255" priority="1249" operator="between">
      <formula>-0.05</formula>
      <formula>0.05</formula>
    </cfRule>
    <cfRule type="containsText" dxfId="1254" priority="1250" operator="containsText" text="NA">
      <formula>NOT(ISERROR(SEARCH("NA",R888)))</formula>
    </cfRule>
    <cfRule type="cellIs" dxfId="1253" priority="1251" operator="lessThan">
      <formula>-0.05</formula>
    </cfRule>
    <cfRule type="cellIs" dxfId="1252" priority="1252" operator="greaterThan">
      <formula>0.05</formula>
    </cfRule>
  </conditionalFormatting>
  <conditionalFormatting sqref="R889 T889 V889 Y889">
    <cfRule type="cellIs" dxfId="1251" priority="1245" operator="between">
      <formula>-0.05</formula>
      <formula>0.05</formula>
    </cfRule>
    <cfRule type="containsText" dxfId="1250" priority="1246" operator="containsText" text="NA">
      <formula>NOT(ISERROR(SEARCH("NA",R889)))</formula>
    </cfRule>
    <cfRule type="cellIs" dxfId="1249" priority="1247" operator="lessThan">
      <formula>-0.05</formula>
    </cfRule>
    <cfRule type="cellIs" dxfId="1248" priority="1248" operator="greaterThan">
      <formula>0.05</formula>
    </cfRule>
  </conditionalFormatting>
  <conditionalFormatting sqref="R890 T890 V890 Y890">
    <cfRule type="cellIs" dxfId="1247" priority="1241" operator="between">
      <formula>-0.05</formula>
      <formula>0.05</formula>
    </cfRule>
    <cfRule type="containsText" dxfId="1246" priority="1242" operator="containsText" text="NA">
      <formula>NOT(ISERROR(SEARCH("NA",R890)))</formula>
    </cfRule>
    <cfRule type="cellIs" dxfId="1245" priority="1243" operator="lessThan">
      <formula>-0.05</formula>
    </cfRule>
    <cfRule type="cellIs" dxfId="1244" priority="1244" operator="greaterThan">
      <formula>0.05</formula>
    </cfRule>
  </conditionalFormatting>
  <conditionalFormatting sqref="R891 T891 V891 Y891">
    <cfRule type="cellIs" dxfId="1243" priority="1237" operator="between">
      <formula>-0.05</formula>
      <formula>0.05</formula>
    </cfRule>
    <cfRule type="containsText" dxfId="1242" priority="1238" operator="containsText" text="NA">
      <formula>NOT(ISERROR(SEARCH("NA",R891)))</formula>
    </cfRule>
    <cfRule type="cellIs" dxfId="1241" priority="1239" operator="lessThan">
      <formula>-0.05</formula>
    </cfRule>
    <cfRule type="cellIs" dxfId="1240" priority="1240" operator="greaterThan">
      <formula>0.05</formula>
    </cfRule>
  </conditionalFormatting>
  <conditionalFormatting sqref="R892 T892 V892 Y892">
    <cfRule type="cellIs" dxfId="1239" priority="1233" operator="between">
      <formula>-0.05</formula>
      <formula>0.05</formula>
    </cfRule>
    <cfRule type="containsText" dxfId="1238" priority="1234" operator="containsText" text="NA">
      <formula>NOT(ISERROR(SEARCH("NA",R892)))</formula>
    </cfRule>
    <cfRule type="cellIs" dxfId="1237" priority="1235" operator="lessThan">
      <formula>-0.05</formula>
    </cfRule>
    <cfRule type="cellIs" dxfId="1236" priority="1236" operator="greaterThan">
      <formula>0.05</formula>
    </cfRule>
  </conditionalFormatting>
  <conditionalFormatting sqref="R893 T893 V893 Y893">
    <cfRule type="cellIs" dxfId="1235" priority="1229" operator="between">
      <formula>-0.05</formula>
      <formula>0.05</formula>
    </cfRule>
    <cfRule type="containsText" dxfId="1234" priority="1230" operator="containsText" text="NA">
      <formula>NOT(ISERROR(SEARCH("NA",R893)))</formula>
    </cfRule>
    <cfRule type="cellIs" dxfId="1233" priority="1231" operator="lessThan">
      <formula>-0.05</formula>
    </cfRule>
    <cfRule type="cellIs" dxfId="1232" priority="1232" operator="greaterThan">
      <formula>0.05</formula>
    </cfRule>
  </conditionalFormatting>
  <conditionalFormatting sqref="R894 T894 V894 Y894">
    <cfRule type="cellIs" dxfId="1231" priority="1225" operator="between">
      <formula>-0.05</formula>
      <formula>0.05</formula>
    </cfRule>
    <cfRule type="containsText" dxfId="1230" priority="1226" operator="containsText" text="NA">
      <formula>NOT(ISERROR(SEARCH("NA",R894)))</formula>
    </cfRule>
    <cfRule type="cellIs" dxfId="1229" priority="1227" operator="lessThan">
      <formula>-0.05</formula>
    </cfRule>
    <cfRule type="cellIs" dxfId="1228" priority="1228" operator="greaterThan">
      <formula>0.05</formula>
    </cfRule>
  </conditionalFormatting>
  <conditionalFormatting sqref="R895 T895 V895 Y895">
    <cfRule type="cellIs" dxfId="1227" priority="1221" operator="between">
      <formula>-0.05</formula>
      <formula>0.05</formula>
    </cfRule>
    <cfRule type="containsText" dxfId="1226" priority="1222" operator="containsText" text="NA">
      <formula>NOT(ISERROR(SEARCH("NA",R895)))</formula>
    </cfRule>
    <cfRule type="cellIs" dxfId="1225" priority="1223" operator="lessThan">
      <formula>-0.05</formula>
    </cfRule>
    <cfRule type="cellIs" dxfId="1224" priority="1224" operator="greaterThan">
      <formula>0.05</formula>
    </cfRule>
  </conditionalFormatting>
  <conditionalFormatting sqref="R896 T896 V896 Y896">
    <cfRule type="cellIs" dxfId="1223" priority="1217" operator="between">
      <formula>-0.05</formula>
      <formula>0.05</formula>
    </cfRule>
    <cfRule type="containsText" dxfId="1222" priority="1218" operator="containsText" text="NA">
      <formula>NOT(ISERROR(SEARCH("NA",R896)))</formula>
    </cfRule>
    <cfRule type="cellIs" dxfId="1221" priority="1219" operator="lessThan">
      <formula>-0.05</formula>
    </cfRule>
    <cfRule type="cellIs" dxfId="1220" priority="1220" operator="greaterThan">
      <formula>0.05</formula>
    </cfRule>
  </conditionalFormatting>
  <conditionalFormatting sqref="R897 T897 V897 Y897">
    <cfRule type="cellIs" dxfId="1219" priority="1213" operator="between">
      <formula>-0.05</formula>
      <formula>0.05</formula>
    </cfRule>
    <cfRule type="containsText" dxfId="1218" priority="1214" operator="containsText" text="NA">
      <formula>NOT(ISERROR(SEARCH("NA",R897)))</formula>
    </cfRule>
    <cfRule type="cellIs" dxfId="1217" priority="1215" operator="lessThan">
      <formula>-0.05</formula>
    </cfRule>
    <cfRule type="cellIs" dxfId="1216" priority="1216" operator="greaterThan">
      <formula>0.05</formula>
    </cfRule>
  </conditionalFormatting>
  <conditionalFormatting sqref="R898 T898 V898 Y898">
    <cfRule type="cellIs" dxfId="1215" priority="1209" operator="between">
      <formula>-0.05</formula>
      <formula>0.05</formula>
    </cfRule>
    <cfRule type="containsText" dxfId="1214" priority="1210" operator="containsText" text="NA">
      <formula>NOT(ISERROR(SEARCH("NA",R898)))</formula>
    </cfRule>
    <cfRule type="cellIs" dxfId="1213" priority="1211" operator="lessThan">
      <formula>-0.05</formula>
    </cfRule>
    <cfRule type="cellIs" dxfId="1212" priority="1212" operator="greaterThan">
      <formula>0.05</formula>
    </cfRule>
  </conditionalFormatting>
  <conditionalFormatting sqref="R899 T899 V899 Y899">
    <cfRule type="cellIs" dxfId="1211" priority="1205" operator="between">
      <formula>-0.05</formula>
      <formula>0.05</formula>
    </cfRule>
    <cfRule type="containsText" dxfId="1210" priority="1206" operator="containsText" text="NA">
      <formula>NOT(ISERROR(SEARCH("NA",R899)))</formula>
    </cfRule>
    <cfRule type="cellIs" dxfId="1209" priority="1207" operator="lessThan">
      <formula>-0.05</formula>
    </cfRule>
    <cfRule type="cellIs" dxfId="1208" priority="1208" operator="greaterThan">
      <formula>0.05</formula>
    </cfRule>
  </conditionalFormatting>
  <conditionalFormatting sqref="R900 T900 V900 Y900">
    <cfRule type="cellIs" dxfId="1207" priority="1201" operator="between">
      <formula>-0.05</formula>
      <formula>0.05</formula>
    </cfRule>
    <cfRule type="containsText" dxfId="1206" priority="1202" operator="containsText" text="NA">
      <formula>NOT(ISERROR(SEARCH("NA",R900)))</formula>
    </cfRule>
    <cfRule type="cellIs" dxfId="1205" priority="1203" operator="lessThan">
      <formula>-0.05</formula>
    </cfRule>
    <cfRule type="cellIs" dxfId="1204" priority="1204" operator="greaterThan">
      <formula>0.05</formula>
    </cfRule>
  </conditionalFormatting>
  <conditionalFormatting sqref="R901 T901 V901 Y901">
    <cfRule type="cellIs" dxfId="1203" priority="1197" operator="between">
      <formula>-0.05</formula>
      <formula>0.05</formula>
    </cfRule>
    <cfRule type="containsText" dxfId="1202" priority="1198" operator="containsText" text="NA">
      <formula>NOT(ISERROR(SEARCH("NA",R901)))</formula>
    </cfRule>
    <cfRule type="cellIs" dxfId="1201" priority="1199" operator="lessThan">
      <formula>-0.05</formula>
    </cfRule>
    <cfRule type="cellIs" dxfId="1200" priority="1200" operator="greaterThan">
      <formula>0.05</formula>
    </cfRule>
  </conditionalFormatting>
  <conditionalFormatting sqref="R902 T902 V902 Y902">
    <cfRule type="cellIs" dxfId="1199" priority="1193" operator="between">
      <formula>-0.05</formula>
      <formula>0.05</formula>
    </cfRule>
    <cfRule type="containsText" dxfId="1198" priority="1194" operator="containsText" text="NA">
      <formula>NOT(ISERROR(SEARCH("NA",R902)))</formula>
    </cfRule>
    <cfRule type="cellIs" dxfId="1197" priority="1195" operator="lessThan">
      <formula>-0.05</formula>
    </cfRule>
    <cfRule type="cellIs" dxfId="1196" priority="1196" operator="greaterThan">
      <formula>0.05</formula>
    </cfRule>
  </conditionalFormatting>
  <conditionalFormatting sqref="R903 T903 V903 Y903">
    <cfRule type="cellIs" dxfId="1195" priority="1189" operator="between">
      <formula>-0.05</formula>
      <formula>0.05</formula>
    </cfRule>
    <cfRule type="containsText" dxfId="1194" priority="1190" operator="containsText" text="NA">
      <formula>NOT(ISERROR(SEARCH("NA",R903)))</formula>
    </cfRule>
    <cfRule type="cellIs" dxfId="1193" priority="1191" operator="lessThan">
      <formula>-0.05</formula>
    </cfRule>
    <cfRule type="cellIs" dxfId="1192" priority="1192" operator="greaterThan">
      <formula>0.05</formula>
    </cfRule>
  </conditionalFormatting>
  <conditionalFormatting sqref="R904 T904 V904 Y904">
    <cfRule type="cellIs" dxfId="1191" priority="1185" operator="between">
      <formula>-0.05</formula>
      <formula>0.05</formula>
    </cfRule>
    <cfRule type="containsText" dxfId="1190" priority="1186" operator="containsText" text="NA">
      <formula>NOT(ISERROR(SEARCH("NA",R904)))</formula>
    </cfRule>
    <cfRule type="cellIs" dxfId="1189" priority="1187" operator="lessThan">
      <formula>-0.05</formula>
    </cfRule>
    <cfRule type="cellIs" dxfId="1188" priority="1188" operator="greaterThan">
      <formula>0.05</formula>
    </cfRule>
  </conditionalFormatting>
  <conditionalFormatting sqref="R905 T905 V905 Y905">
    <cfRule type="cellIs" dxfId="1187" priority="1181" operator="between">
      <formula>-0.05</formula>
      <formula>0.05</formula>
    </cfRule>
    <cfRule type="containsText" dxfId="1186" priority="1182" operator="containsText" text="NA">
      <formula>NOT(ISERROR(SEARCH("NA",R905)))</formula>
    </cfRule>
    <cfRule type="cellIs" dxfId="1185" priority="1183" operator="lessThan">
      <formula>-0.05</formula>
    </cfRule>
    <cfRule type="cellIs" dxfId="1184" priority="1184" operator="greaterThan">
      <formula>0.05</formula>
    </cfRule>
  </conditionalFormatting>
  <conditionalFormatting sqref="R906 T906 V906 Y906">
    <cfRule type="cellIs" dxfId="1183" priority="1177" operator="between">
      <formula>-0.05</formula>
      <formula>0.05</formula>
    </cfRule>
    <cfRule type="containsText" dxfId="1182" priority="1178" operator="containsText" text="NA">
      <formula>NOT(ISERROR(SEARCH("NA",R906)))</formula>
    </cfRule>
    <cfRule type="cellIs" dxfId="1181" priority="1179" operator="lessThan">
      <formula>-0.05</formula>
    </cfRule>
    <cfRule type="cellIs" dxfId="1180" priority="1180" operator="greaterThan">
      <formula>0.05</formula>
    </cfRule>
  </conditionalFormatting>
  <conditionalFormatting sqref="R907 T907 V907 Y907">
    <cfRule type="cellIs" dxfId="1179" priority="1173" operator="between">
      <formula>-0.05</formula>
      <formula>0.05</formula>
    </cfRule>
    <cfRule type="containsText" dxfId="1178" priority="1174" operator="containsText" text="NA">
      <formula>NOT(ISERROR(SEARCH("NA",R907)))</formula>
    </cfRule>
    <cfRule type="cellIs" dxfId="1177" priority="1175" operator="lessThan">
      <formula>-0.05</formula>
    </cfRule>
    <cfRule type="cellIs" dxfId="1176" priority="1176" operator="greaterThan">
      <formula>0.05</formula>
    </cfRule>
  </conditionalFormatting>
  <conditionalFormatting sqref="R908 T908 V908 Y908">
    <cfRule type="cellIs" dxfId="1175" priority="1169" operator="between">
      <formula>-0.05</formula>
      <formula>0.05</formula>
    </cfRule>
    <cfRule type="containsText" dxfId="1174" priority="1170" operator="containsText" text="NA">
      <formula>NOT(ISERROR(SEARCH("NA",R908)))</formula>
    </cfRule>
    <cfRule type="cellIs" dxfId="1173" priority="1171" operator="lessThan">
      <formula>-0.05</formula>
    </cfRule>
    <cfRule type="cellIs" dxfId="1172" priority="1172" operator="greaterThan">
      <formula>0.05</formula>
    </cfRule>
  </conditionalFormatting>
  <conditionalFormatting sqref="R909 T909 V909 Y909">
    <cfRule type="cellIs" dxfId="1171" priority="1165" operator="between">
      <formula>-0.05</formula>
      <formula>0.05</formula>
    </cfRule>
    <cfRule type="containsText" dxfId="1170" priority="1166" operator="containsText" text="NA">
      <formula>NOT(ISERROR(SEARCH("NA",R909)))</formula>
    </cfRule>
    <cfRule type="cellIs" dxfId="1169" priority="1167" operator="lessThan">
      <formula>-0.05</formula>
    </cfRule>
    <cfRule type="cellIs" dxfId="1168" priority="1168" operator="greaterThan">
      <formula>0.05</formula>
    </cfRule>
  </conditionalFormatting>
  <conditionalFormatting sqref="R910 T910 V910 Y910">
    <cfRule type="cellIs" dxfId="1167" priority="1161" operator="between">
      <formula>-0.05</formula>
      <formula>0.05</formula>
    </cfRule>
    <cfRule type="containsText" dxfId="1166" priority="1162" operator="containsText" text="NA">
      <formula>NOT(ISERROR(SEARCH("NA",R910)))</formula>
    </cfRule>
    <cfRule type="cellIs" dxfId="1165" priority="1163" operator="lessThan">
      <formula>-0.05</formula>
    </cfRule>
    <cfRule type="cellIs" dxfId="1164" priority="1164" operator="greaterThan">
      <formula>0.05</formula>
    </cfRule>
  </conditionalFormatting>
  <conditionalFormatting sqref="R911 T911 V911 Y911">
    <cfRule type="cellIs" dxfId="1163" priority="1157" operator="between">
      <formula>-0.05</formula>
      <formula>0.05</formula>
    </cfRule>
    <cfRule type="containsText" dxfId="1162" priority="1158" operator="containsText" text="NA">
      <formula>NOT(ISERROR(SEARCH("NA",R911)))</formula>
    </cfRule>
    <cfRule type="cellIs" dxfId="1161" priority="1159" operator="lessThan">
      <formula>-0.05</formula>
    </cfRule>
    <cfRule type="cellIs" dxfId="1160" priority="1160" operator="greaterThan">
      <formula>0.05</formula>
    </cfRule>
  </conditionalFormatting>
  <conditionalFormatting sqref="R912 T912 V912 Y912">
    <cfRule type="cellIs" dxfId="1159" priority="1153" operator="between">
      <formula>-0.05</formula>
      <formula>0.05</formula>
    </cfRule>
    <cfRule type="containsText" dxfId="1158" priority="1154" operator="containsText" text="NA">
      <formula>NOT(ISERROR(SEARCH("NA",R912)))</formula>
    </cfRule>
    <cfRule type="cellIs" dxfId="1157" priority="1155" operator="lessThan">
      <formula>-0.05</formula>
    </cfRule>
    <cfRule type="cellIs" dxfId="1156" priority="1156" operator="greaterThan">
      <formula>0.05</formula>
    </cfRule>
  </conditionalFormatting>
  <conditionalFormatting sqref="R913 T913 V913 Y913">
    <cfRule type="cellIs" dxfId="1155" priority="1149" operator="between">
      <formula>-0.05</formula>
      <formula>0.05</formula>
    </cfRule>
    <cfRule type="containsText" dxfId="1154" priority="1150" operator="containsText" text="NA">
      <formula>NOT(ISERROR(SEARCH("NA",R913)))</formula>
    </cfRule>
    <cfRule type="cellIs" dxfId="1153" priority="1151" operator="lessThan">
      <formula>-0.05</formula>
    </cfRule>
    <cfRule type="cellIs" dxfId="1152" priority="1152" operator="greaterThan">
      <formula>0.05</formula>
    </cfRule>
  </conditionalFormatting>
  <conditionalFormatting sqref="R914 T914 V914 Y914">
    <cfRule type="cellIs" dxfId="1151" priority="1145" operator="between">
      <formula>-0.05</formula>
      <formula>0.05</formula>
    </cfRule>
    <cfRule type="containsText" dxfId="1150" priority="1146" operator="containsText" text="NA">
      <formula>NOT(ISERROR(SEARCH("NA",R914)))</formula>
    </cfRule>
    <cfRule type="cellIs" dxfId="1149" priority="1147" operator="lessThan">
      <formula>-0.05</formula>
    </cfRule>
    <cfRule type="cellIs" dxfId="1148" priority="1148" operator="greaterThan">
      <formula>0.05</formula>
    </cfRule>
  </conditionalFormatting>
  <conditionalFormatting sqref="R915 T915 V915 Y915">
    <cfRule type="cellIs" dxfId="1147" priority="1141" operator="between">
      <formula>-0.05</formula>
      <formula>0.05</formula>
    </cfRule>
    <cfRule type="containsText" dxfId="1146" priority="1142" operator="containsText" text="NA">
      <formula>NOT(ISERROR(SEARCH("NA",R915)))</formula>
    </cfRule>
    <cfRule type="cellIs" dxfId="1145" priority="1143" operator="lessThan">
      <formula>-0.05</formula>
    </cfRule>
    <cfRule type="cellIs" dxfId="1144" priority="1144" operator="greaterThan">
      <formula>0.05</formula>
    </cfRule>
  </conditionalFormatting>
  <conditionalFormatting sqref="R916 T916 V916 Y916">
    <cfRule type="cellIs" dxfId="1143" priority="1137" operator="between">
      <formula>-0.05</formula>
      <formula>0.05</formula>
    </cfRule>
    <cfRule type="containsText" dxfId="1142" priority="1138" operator="containsText" text="NA">
      <formula>NOT(ISERROR(SEARCH("NA",R916)))</formula>
    </cfRule>
    <cfRule type="cellIs" dxfId="1141" priority="1139" operator="lessThan">
      <formula>-0.05</formula>
    </cfRule>
    <cfRule type="cellIs" dxfId="1140" priority="1140" operator="greaterThan">
      <formula>0.05</formula>
    </cfRule>
  </conditionalFormatting>
  <conditionalFormatting sqref="R917 T917 V917 Y917">
    <cfRule type="cellIs" dxfId="1139" priority="1133" operator="between">
      <formula>-0.05</formula>
      <formula>0.05</formula>
    </cfRule>
    <cfRule type="containsText" dxfId="1138" priority="1134" operator="containsText" text="NA">
      <formula>NOT(ISERROR(SEARCH("NA",R917)))</formula>
    </cfRule>
    <cfRule type="cellIs" dxfId="1137" priority="1135" operator="lessThan">
      <formula>-0.05</formula>
    </cfRule>
    <cfRule type="cellIs" dxfId="1136" priority="1136" operator="greaterThan">
      <formula>0.05</formula>
    </cfRule>
  </conditionalFormatting>
  <conditionalFormatting sqref="R918 T918 V918 Y918">
    <cfRule type="cellIs" dxfId="1135" priority="1129" operator="between">
      <formula>-0.05</formula>
      <formula>0.05</formula>
    </cfRule>
    <cfRule type="containsText" dxfId="1134" priority="1130" operator="containsText" text="NA">
      <formula>NOT(ISERROR(SEARCH("NA",R918)))</formula>
    </cfRule>
    <cfRule type="cellIs" dxfId="1133" priority="1131" operator="lessThan">
      <formula>-0.05</formula>
    </cfRule>
    <cfRule type="cellIs" dxfId="1132" priority="1132" operator="greaterThan">
      <formula>0.05</formula>
    </cfRule>
  </conditionalFormatting>
  <conditionalFormatting sqref="R919 T919 V919 Y919">
    <cfRule type="cellIs" dxfId="1131" priority="1125" operator="between">
      <formula>-0.05</formula>
      <formula>0.05</formula>
    </cfRule>
    <cfRule type="containsText" dxfId="1130" priority="1126" operator="containsText" text="NA">
      <formula>NOT(ISERROR(SEARCH("NA",R919)))</formula>
    </cfRule>
    <cfRule type="cellIs" dxfId="1129" priority="1127" operator="lessThan">
      <formula>-0.05</formula>
    </cfRule>
    <cfRule type="cellIs" dxfId="1128" priority="1128" operator="greaterThan">
      <formula>0.05</formula>
    </cfRule>
  </conditionalFormatting>
  <conditionalFormatting sqref="R920 T920 V920 Y920">
    <cfRule type="cellIs" dxfId="1127" priority="1121" operator="between">
      <formula>-0.05</formula>
      <formula>0.05</formula>
    </cfRule>
    <cfRule type="containsText" dxfId="1126" priority="1122" operator="containsText" text="NA">
      <formula>NOT(ISERROR(SEARCH("NA",R920)))</formula>
    </cfRule>
    <cfRule type="cellIs" dxfId="1125" priority="1123" operator="lessThan">
      <formula>-0.05</formula>
    </cfRule>
    <cfRule type="cellIs" dxfId="1124" priority="1124" operator="greaterThan">
      <formula>0.05</formula>
    </cfRule>
  </conditionalFormatting>
  <conditionalFormatting sqref="R921 T921 V921 Y921">
    <cfRule type="cellIs" dxfId="1123" priority="1117" operator="between">
      <formula>-0.05</formula>
      <formula>0.05</formula>
    </cfRule>
    <cfRule type="containsText" dxfId="1122" priority="1118" operator="containsText" text="NA">
      <formula>NOT(ISERROR(SEARCH("NA",R921)))</formula>
    </cfRule>
    <cfRule type="cellIs" dxfId="1121" priority="1119" operator="lessThan">
      <formula>-0.05</formula>
    </cfRule>
    <cfRule type="cellIs" dxfId="1120" priority="1120" operator="greaterThan">
      <formula>0.05</formula>
    </cfRule>
  </conditionalFormatting>
  <conditionalFormatting sqref="R922 T922 V922 Y922">
    <cfRule type="cellIs" dxfId="1119" priority="1113" operator="between">
      <formula>-0.05</formula>
      <formula>0.05</formula>
    </cfRule>
    <cfRule type="containsText" dxfId="1118" priority="1114" operator="containsText" text="NA">
      <formula>NOT(ISERROR(SEARCH("NA",R922)))</formula>
    </cfRule>
    <cfRule type="cellIs" dxfId="1117" priority="1115" operator="lessThan">
      <formula>-0.05</formula>
    </cfRule>
    <cfRule type="cellIs" dxfId="1116" priority="1116" operator="greaterThan">
      <formula>0.05</formula>
    </cfRule>
  </conditionalFormatting>
  <conditionalFormatting sqref="R923 T923 V923 Y923">
    <cfRule type="cellIs" dxfId="1115" priority="1109" operator="between">
      <formula>-0.05</formula>
      <formula>0.05</formula>
    </cfRule>
    <cfRule type="containsText" dxfId="1114" priority="1110" operator="containsText" text="NA">
      <formula>NOT(ISERROR(SEARCH("NA",R923)))</formula>
    </cfRule>
    <cfRule type="cellIs" dxfId="1113" priority="1111" operator="lessThan">
      <formula>-0.05</formula>
    </cfRule>
    <cfRule type="cellIs" dxfId="1112" priority="1112" operator="greaterThan">
      <formula>0.05</formula>
    </cfRule>
  </conditionalFormatting>
  <conditionalFormatting sqref="R924 T924 V924 Y924">
    <cfRule type="cellIs" dxfId="1111" priority="1105" operator="between">
      <formula>-0.05</formula>
      <formula>0.05</formula>
    </cfRule>
    <cfRule type="containsText" dxfId="1110" priority="1106" operator="containsText" text="NA">
      <formula>NOT(ISERROR(SEARCH("NA",R924)))</formula>
    </cfRule>
    <cfRule type="cellIs" dxfId="1109" priority="1107" operator="lessThan">
      <formula>-0.05</formula>
    </cfRule>
    <cfRule type="cellIs" dxfId="1108" priority="1108" operator="greaterThan">
      <formula>0.05</formula>
    </cfRule>
  </conditionalFormatting>
  <conditionalFormatting sqref="R925 T925 V925 Y925">
    <cfRule type="cellIs" dxfId="1107" priority="1101" operator="between">
      <formula>-0.05</formula>
      <formula>0.05</formula>
    </cfRule>
    <cfRule type="containsText" dxfId="1106" priority="1102" operator="containsText" text="NA">
      <formula>NOT(ISERROR(SEARCH("NA",R925)))</formula>
    </cfRule>
    <cfRule type="cellIs" dxfId="1105" priority="1103" operator="lessThan">
      <formula>-0.05</formula>
    </cfRule>
    <cfRule type="cellIs" dxfId="1104" priority="1104" operator="greaterThan">
      <formula>0.05</formula>
    </cfRule>
  </conditionalFormatting>
  <conditionalFormatting sqref="R926 T926 V926 Y926">
    <cfRule type="cellIs" dxfId="1103" priority="1097" operator="between">
      <formula>-0.05</formula>
      <formula>0.05</formula>
    </cfRule>
    <cfRule type="containsText" dxfId="1102" priority="1098" operator="containsText" text="NA">
      <formula>NOT(ISERROR(SEARCH("NA",R926)))</formula>
    </cfRule>
    <cfRule type="cellIs" dxfId="1101" priority="1099" operator="lessThan">
      <formula>-0.05</formula>
    </cfRule>
    <cfRule type="cellIs" dxfId="1100" priority="1100" operator="greaterThan">
      <formula>0.05</formula>
    </cfRule>
  </conditionalFormatting>
  <conditionalFormatting sqref="R927 T927 V927 Y927">
    <cfRule type="cellIs" dxfId="1099" priority="1093" operator="between">
      <formula>-0.05</formula>
      <formula>0.05</formula>
    </cfRule>
    <cfRule type="containsText" dxfId="1098" priority="1094" operator="containsText" text="NA">
      <formula>NOT(ISERROR(SEARCH("NA",R927)))</formula>
    </cfRule>
    <cfRule type="cellIs" dxfId="1097" priority="1095" operator="lessThan">
      <formula>-0.05</formula>
    </cfRule>
    <cfRule type="cellIs" dxfId="1096" priority="1096" operator="greaterThan">
      <formula>0.05</formula>
    </cfRule>
  </conditionalFormatting>
  <conditionalFormatting sqref="R928 T928 V928 Y928">
    <cfRule type="cellIs" dxfId="1095" priority="1089" operator="between">
      <formula>-0.05</formula>
      <formula>0.05</formula>
    </cfRule>
    <cfRule type="containsText" dxfId="1094" priority="1090" operator="containsText" text="NA">
      <formula>NOT(ISERROR(SEARCH("NA",R928)))</formula>
    </cfRule>
    <cfRule type="cellIs" dxfId="1093" priority="1091" operator="lessThan">
      <formula>-0.05</formula>
    </cfRule>
    <cfRule type="cellIs" dxfId="1092" priority="1092" operator="greaterThan">
      <formula>0.05</formula>
    </cfRule>
  </conditionalFormatting>
  <conditionalFormatting sqref="R929 T929 V929 Y929">
    <cfRule type="cellIs" dxfId="1091" priority="1085" operator="between">
      <formula>-0.05</formula>
      <formula>0.05</formula>
    </cfRule>
    <cfRule type="containsText" dxfId="1090" priority="1086" operator="containsText" text="NA">
      <formula>NOT(ISERROR(SEARCH("NA",R929)))</formula>
    </cfRule>
    <cfRule type="cellIs" dxfId="1089" priority="1087" operator="lessThan">
      <formula>-0.05</formula>
    </cfRule>
    <cfRule type="cellIs" dxfId="1088" priority="1088" operator="greaterThan">
      <formula>0.05</formula>
    </cfRule>
  </conditionalFormatting>
  <conditionalFormatting sqref="R930 T930 V930 Y930">
    <cfRule type="cellIs" dxfId="1087" priority="1081" operator="between">
      <formula>-0.05</formula>
      <formula>0.05</formula>
    </cfRule>
    <cfRule type="containsText" dxfId="1086" priority="1082" operator="containsText" text="NA">
      <formula>NOT(ISERROR(SEARCH("NA",R930)))</formula>
    </cfRule>
    <cfRule type="cellIs" dxfId="1085" priority="1083" operator="lessThan">
      <formula>-0.05</formula>
    </cfRule>
    <cfRule type="cellIs" dxfId="1084" priority="1084" operator="greaterThan">
      <formula>0.05</formula>
    </cfRule>
  </conditionalFormatting>
  <conditionalFormatting sqref="R931 T931 V931 Y931">
    <cfRule type="cellIs" dxfId="1083" priority="1077" operator="between">
      <formula>-0.05</formula>
      <formula>0.05</formula>
    </cfRule>
    <cfRule type="containsText" dxfId="1082" priority="1078" operator="containsText" text="NA">
      <formula>NOT(ISERROR(SEARCH("NA",R931)))</formula>
    </cfRule>
    <cfRule type="cellIs" dxfId="1081" priority="1079" operator="lessThan">
      <formula>-0.05</formula>
    </cfRule>
    <cfRule type="cellIs" dxfId="1080" priority="1080" operator="greaterThan">
      <formula>0.05</formula>
    </cfRule>
  </conditionalFormatting>
  <conditionalFormatting sqref="R932 T932 V932 Y932">
    <cfRule type="cellIs" dxfId="1079" priority="1073" operator="between">
      <formula>-0.05</formula>
      <formula>0.05</formula>
    </cfRule>
    <cfRule type="containsText" dxfId="1078" priority="1074" operator="containsText" text="NA">
      <formula>NOT(ISERROR(SEARCH("NA",R932)))</formula>
    </cfRule>
    <cfRule type="cellIs" dxfId="1077" priority="1075" operator="lessThan">
      <formula>-0.05</formula>
    </cfRule>
    <cfRule type="cellIs" dxfId="1076" priority="1076" operator="greaterThan">
      <formula>0.05</formula>
    </cfRule>
  </conditionalFormatting>
  <conditionalFormatting sqref="R933 T933 V933 Y933">
    <cfRule type="cellIs" dxfId="1075" priority="1069" operator="between">
      <formula>-0.05</formula>
      <formula>0.05</formula>
    </cfRule>
    <cfRule type="containsText" dxfId="1074" priority="1070" operator="containsText" text="NA">
      <formula>NOT(ISERROR(SEARCH("NA",R933)))</formula>
    </cfRule>
    <cfRule type="cellIs" dxfId="1073" priority="1071" operator="lessThan">
      <formula>-0.05</formula>
    </cfRule>
    <cfRule type="cellIs" dxfId="1072" priority="1072" operator="greaterThan">
      <formula>0.05</formula>
    </cfRule>
  </conditionalFormatting>
  <conditionalFormatting sqref="R934 T934 V934 Y934">
    <cfRule type="cellIs" dxfId="1071" priority="1065" operator="between">
      <formula>-0.05</formula>
      <formula>0.05</formula>
    </cfRule>
    <cfRule type="containsText" dxfId="1070" priority="1066" operator="containsText" text="NA">
      <formula>NOT(ISERROR(SEARCH("NA",R934)))</formula>
    </cfRule>
    <cfRule type="cellIs" dxfId="1069" priority="1067" operator="lessThan">
      <formula>-0.05</formula>
    </cfRule>
    <cfRule type="cellIs" dxfId="1068" priority="1068" operator="greaterThan">
      <formula>0.05</formula>
    </cfRule>
  </conditionalFormatting>
  <conditionalFormatting sqref="R935 T935 V935 Y935">
    <cfRule type="cellIs" dxfId="1067" priority="1061" operator="between">
      <formula>-0.05</formula>
      <formula>0.05</formula>
    </cfRule>
    <cfRule type="containsText" dxfId="1066" priority="1062" operator="containsText" text="NA">
      <formula>NOT(ISERROR(SEARCH("NA",R935)))</formula>
    </cfRule>
    <cfRule type="cellIs" dxfId="1065" priority="1063" operator="lessThan">
      <formula>-0.05</formula>
    </cfRule>
    <cfRule type="cellIs" dxfId="1064" priority="1064" operator="greaterThan">
      <formula>0.05</formula>
    </cfRule>
  </conditionalFormatting>
  <conditionalFormatting sqref="R936 T936 V936 Y936">
    <cfRule type="cellIs" dxfId="1063" priority="1057" operator="between">
      <formula>-0.05</formula>
      <formula>0.05</formula>
    </cfRule>
    <cfRule type="containsText" dxfId="1062" priority="1058" operator="containsText" text="NA">
      <formula>NOT(ISERROR(SEARCH("NA",R936)))</formula>
    </cfRule>
    <cfRule type="cellIs" dxfId="1061" priority="1059" operator="lessThan">
      <formula>-0.05</formula>
    </cfRule>
    <cfRule type="cellIs" dxfId="1060" priority="1060" operator="greaterThan">
      <formula>0.05</formula>
    </cfRule>
  </conditionalFormatting>
  <conditionalFormatting sqref="R937 T937 V937 Y937">
    <cfRule type="cellIs" dxfId="1059" priority="1053" operator="between">
      <formula>-0.05</formula>
      <formula>0.05</formula>
    </cfRule>
    <cfRule type="containsText" dxfId="1058" priority="1054" operator="containsText" text="NA">
      <formula>NOT(ISERROR(SEARCH("NA",R937)))</formula>
    </cfRule>
    <cfRule type="cellIs" dxfId="1057" priority="1055" operator="lessThan">
      <formula>-0.05</formula>
    </cfRule>
    <cfRule type="cellIs" dxfId="1056" priority="1056" operator="greaterThan">
      <formula>0.05</formula>
    </cfRule>
  </conditionalFormatting>
  <conditionalFormatting sqref="R938 T938 V938 Y938">
    <cfRule type="cellIs" dxfId="1055" priority="1049" operator="between">
      <formula>-0.05</formula>
      <formula>0.05</formula>
    </cfRule>
    <cfRule type="containsText" dxfId="1054" priority="1050" operator="containsText" text="NA">
      <formula>NOT(ISERROR(SEARCH("NA",R938)))</formula>
    </cfRule>
    <cfRule type="cellIs" dxfId="1053" priority="1051" operator="lessThan">
      <formula>-0.05</formula>
    </cfRule>
    <cfRule type="cellIs" dxfId="1052" priority="1052" operator="greaterThan">
      <formula>0.05</formula>
    </cfRule>
  </conditionalFormatting>
  <conditionalFormatting sqref="R939 T939 V939 Y939">
    <cfRule type="cellIs" dxfId="1051" priority="1045" operator="between">
      <formula>-0.05</formula>
      <formula>0.05</formula>
    </cfRule>
    <cfRule type="containsText" dxfId="1050" priority="1046" operator="containsText" text="NA">
      <formula>NOT(ISERROR(SEARCH("NA",R939)))</formula>
    </cfRule>
    <cfRule type="cellIs" dxfId="1049" priority="1047" operator="lessThan">
      <formula>-0.05</formula>
    </cfRule>
    <cfRule type="cellIs" dxfId="1048" priority="1048" operator="greaterThan">
      <formula>0.05</formula>
    </cfRule>
  </conditionalFormatting>
  <conditionalFormatting sqref="R940 T940 V940 Y940">
    <cfRule type="cellIs" dxfId="1047" priority="1041" operator="between">
      <formula>-0.05</formula>
      <formula>0.05</formula>
    </cfRule>
    <cfRule type="containsText" dxfId="1046" priority="1042" operator="containsText" text="NA">
      <formula>NOT(ISERROR(SEARCH("NA",R940)))</formula>
    </cfRule>
    <cfRule type="cellIs" dxfId="1045" priority="1043" operator="lessThan">
      <formula>-0.05</formula>
    </cfRule>
    <cfRule type="cellIs" dxfId="1044" priority="1044" operator="greaterThan">
      <formula>0.05</formula>
    </cfRule>
  </conditionalFormatting>
  <conditionalFormatting sqref="R941 T941 V941 Y941">
    <cfRule type="cellIs" dxfId="1043" priority="1037" operator="between">
      <formula>-0.05</formula>
      <formula>0.05</formula>
    </cfRule>
    <cfRule type="containsText" dxfId="1042" priority="1038" operator="containsText" text="NA">
      <formula>NOT(ISERROR(SEARCH("NA",R941)))</formula>
    </cfRule>
    <cfRule type="cellIs" dxfId="1041" priority="1039" operator="lessThan">
      <formula>-0.05</formula>
    </cfRule>
    <cfRule type="cellIs" dxfId="1040" priority="1040" operator="greaterThan">
      <formula>0.05</formula>
    </cfRule>
  </conditionalFormatting>
  <conditionalFormatting sqref="R942 T942 V942 Y942">
    <cfRule type="cellIs" dxfId="1039" priority="1033" operator="between">
      <formula>-0.05</formula>
      <formula>0.05</formula>
    </cfRule>
    <cfRule type="containsText" dxfId="1038" priority="1034" operator="containsText" text="NA">
      <formula>NOT(ISERROR(SEARCH("NA",R942)))</formula>
    </cfRule>
    <cfRule type="cellIs" dxfId="1037" priority="1035" operator="lessThan">
      <formula>-0.05</formula>
    </cfRule>
    <cfRule type="cellIs" dxfId="1036" priority="1036" operator="greaterThan">
      <formula>0.05</formula>
    </cfRule>
  </conditionalFormatting>
  <conditionalFormatting sqref="R943 T943 V943 Y943">
    <cfRule type="cellIs" dxfId="1035" priority="1029" operator="between">
      <formula>-0.05</formula>
      <formula>0.05</formula>
    </cfRule>
    <cfRule type="containsText" dxfId="1034" priority="1030" operator="containsText" text="NA">
      <formula>NOT(ISERROR(SEARCH("NA",R943)))</formula>
    </cfRule>
    <cfRule type="cellIs" dxfId="1033" priority="1031" operator="lessThan">
      <formula>-0.05</formula>
    </cfRule>
    <cfRule type="cellIs" dxfId="1032" priority="1032" operator="greaterThan">
      <formula>0.05</formula>
    </cfRule>
  </conditionalFormatting>
  <conditionalFormatting sqref="R944 T944 V944 Y944">
    <cfRule type="cellIs" dxfId="1031" priority="1025" operator="between">
      <formula>-0.05</formula>
      <formula>0.05</formula>
    </cfRule>
    <cfRule type="containsText" dxfId="1030" priority="1026" operator="containsText" text="NA">
      <formula>NOT(ISERROR(SEARCH("NA",R944)))</formula>
    </cfRule>
    <cfRule type="cellIs" dxfId="1029" priority="1027" operator="lessThan">
      <formula>-0.05</formula>
    </cfRule>
    <cfRule type="cellIs" dxfId="1028" priority="1028" operator="greaterThan">
      <formula>0.05</formula>
    </cfRule>
  </conditionalFormatting>
  <conditionalFormatting sqref="R945 T945 V945 Y945">
    <cfRule type="cellIs" dxfId="1027" priority="1021" operator="between">
      <formula>-0.05</formula>
      <formula>0.05</formula>
    </cfRule>
    <cfRule type="containsText" dxfId="1026" priority="1022" operator="containsText" text="NA">
      <formula>NOT(ISERROR(SEARCH("NA",R945)))</formula>
    </cfRule>
    <cfRule type="cellIs" dxfId="1025" priority="1023" operator="lessThan">
      <formula>-0.05</formula>
    </cfRule>
    <cfRule type="cellIs" dxfId="1024" priority="1024" operator="greaterThan">
      <formula>0.05</formula>
    </cfRule>
  </conditionalFormatting>
  <conditionalFormatting sqref="R946 T946 V946 Y946">
    <cfRule type="cellIs" dxfId="1023" priority="1017" operator="between">
      <formula>-0.05</formula>
      <formula>0.05</formula>
    </cfRule>
    <cfRule type="containsText" dxfId="1022" priority="1018" operator="containsText" text="NA">
      <formula>NOT(ISERROR(SEARCH("NA",R946)))</formula>
    </cfRule>
    <cfRule type="cellIs" dxfId="1021" priority="1019" operator="lessThan">
      <formula>-0.05</formula>
    </cfRule>
    <cfRule type="cellIs" dxfId="1020" priority="1020" operator="greaterThan">
      <formula>0.05</formula>
    </cfRule>
  </conditionalFormatting>
  <conditionalFormatting sqref="R947 T947 V947 Y947">
    <cfRule type="cellIs" dxfId="1019" priority="1013" operator="between">
      <formula>-0.05</formula>
      <formula>0.05</formula>
    </cfRule>
    <cfRule type="containsText" dxfId="1018" priority="1014" operator="containsText" text="NA">
      <formula>NOT(ISERROR(SEARCH("NA",R947)))</formula>
    </cfRule>
    <cfRule type="cellIs" dxfId="1017" priority="1015" operator="lessThan">
      <formula>-0.05</formula>
    </cfRule>
    <cfRule type="cellIs" dxfId="1016" priority="1016" operator="greaterThan">
      <formula>0.05</formula>
    </cfRule>
  </conditionalFormatting>
  <conditionalFormatting sqref="R948 T948 V948 Y948">
    <cfRule type="cellIs" dxfId="1015" priority="1009" operator="between">
      <formula>-0.05</formula>
      <formula>0.05</formula>
    </cfRule>
    <cfRule type="containsText" dxfId="1014" priority="1010" operator="containsText" text="NA">
      <formula>NOT(ISERROR(SEARCH("NA",R948)))</formula>
    </cfRule>
    <cfRule type="cellIs" dxfId="1013" priority="1011" operator="lessThan">
      <formula>-0.05</formula>
    </cfRule>
    <cfRule type="cellIs" dxfId="1012" priority="1012" operator="greaterThan">
      <formula>0.05</formula>
    </cfRule>
  </conditionalFormatting>
  <conditionalFormatting sqref="R949 T949 V949 Y949">
    <cfRule type="cellIs" dxfId="1011" priority="1005" operator="between">
      <formula>-0.05</formula>
      <formula>0.05</formula>
    </cfRule>
    <cfRule type="containsText" dxfId="1010" priority="1006" operator="containsText" text="NA">
      <formula>NOT(ISERROR(SEARCH("NA",R949)))</formula>
    </cfRule>
    <cfRule type="cellIs" dxfId="1009" priority="1007" operator="lessThan">
      <formula>-0.05</formula>
    </cfRule>
    <cfRule type="cellIs" dxfId="1008" priority="1008" operator="greaterThan">
      <formula>0.05</formula>
    </cfRule>
  </conditionalFormatting>
  <conditionalFormatting sqref="R950 T950 V950 Y950">
    <cfRule type="cellIs" dxfId="1007" priority="1001" operator="between">
      <formula>-0.05</formula>
      <formula>0.05</formula>
    </cfRule>
    <cfRule type="containsText" dxfId="1006" priority="1002" operator="containsText" text="NA">
      <formula>NOT(ISERROR(SEARCH("NA",R950)))</formula>
    </cfRule>
    <cfRule type="cellIs" dxfId="1005" priority="1003" operator="lessThan">
      <formula>-0.05</formula>
    </cfRule>
    <cfRule type="cellIs" dxfId="1004" priority="1004" operator="greaterThan">
      <formula>0.05</formula>
    </cfRule>
  </conditionalFormatting>
  <conditionalFormatting sqref="R951 T951 V951 Y951">
    <cfRule type="cellIs" dxfId="1003" priority="997" operator="between">
      <formula>-0.05</formula>
      <formula>0.05</formula>
    </cfRule>
    <cfRule type="containsText" dxfId="1002" priority="998" operator="containsText" text="NA">
      <formula>NOT(ISERROR(SEARCH("NA",R951)))</formula>
    </cfRule>
    <cfRule type="cellIs" dxfId="1001" priority="999" operator="lessThan">
      <formula>-0.05</formula>
    </cfRule>
    <cfRule type="cellIs" dxfId="1000" priority="1000" operator="greaterThan">
      <formula>0.05</formula>
    </cfRule>
  </conditionalFormatting>
  <conditionalFormatting sqref="R952 T952 V952 Y952">
    <cfRule type="cellIs" dxfId="999" priority="993" operator="between">
      <formula>-0.05</formula>
      <formula>0.05</formula>
    </cfRule>
    <cfRule type="containsText" dxfId="998" priority="994" operator="containsText" text="NA">
      <formula>NOT(ISERROR(SEARCH("NA",R952)))</formula>
    </cfRule>
    <cfRule type="cellIs" dxfId="997" priority="995" operator="lessThan">
      <formula>-0.05</formula>
    </cfRule>
    <cfRule type="cellIs" dxfId="996" priority="996" operator="greaterThan">
      <formula>0.05</formula>
    </cfRule>
  </conditionalFormatting>
  <conditionalFormatting sqref="R953 T953 V953 Y953">
    <cfRule type="cellIs" dxfId="995" priority="989" operator="between">
      <formula>-0.05</formula>
      <formula>0.05</formula>
    </cfRule>
    <cfRule type="containsText" dxfId="994" priority="990" operator="containsText" text="NA">
      <formula>NOT(ISERROR(SEARCH("NA",R953)))</formula>
    </cfRule>
    <cfRule type="cellIs" dxfId="993" priority="991" operator="lessThan">
      <formula>-0.05</formula>
    </cfRule>
    <cfRule type="cellIs" dxfId="992" priority="992" operator="greaterThan">
      <formula>0.05</formula>
    </cfRule>
  </conditionalFormatting>
  <conditionalFormatting sqref="R954 T954 V954 Y954">
    <cfRule type="cellIs" dxfId="991" priority="985" operator="between">
      <formula>-0.05</formula>
      <formula>0.05</formula>
    </cfRule>
    <cfRule type="containsText" dxfId="990" priority="986" operator="containsText" text="NA">
      <formula>NOT(ISERROR(SEARCH("NA",R954)))</formula>
    </cfRule>
    <cfRule type="cellIs" dxfId="989" priority="987" operator="lessThan">
      <formula>-0.05</formula>
    </cfRule>
    <cfRule type="cellIs" dxfId="988" priority="988" operator="greaterThan">
      <formula>0.05</formula>
    </cfRule>
  </conditionalFormatting>
  <conditionalFormatting sqref="R955 T955 V955 Y955">
    <cfRule type="cellIs" dxfId="987" priority="981" operator="between">
      <formula>-0.05</formula>
      <formula>0.05</formula>
    </cfRule>
    <cfRule type="containsText" dxfId="986" priority="982" operator="containsText" text="NA">
      <formula>NOT(ISERROR(SEARCH("NA",R955)))</formula>
    </cfRule>
    <cfRule type="cellIs" dxfId="985" priority="983" operator="lessThan">
      <formula>-0.05</formula>
    </cfRule>
    <cfRule type="cellIs" dxfId="984" priority="984" operator="greaterThan">
      <formula>0.05</formula>
    </cfRule>
  </conditionalFormatting>
  <conditionalFormatting sqref="R956 T956 V956 Y956">
    <cfRule type="cellIs" dxfId="983" priority="977" operator="between">
      <formula>-0.05</formula>
      <formula>0.05</formula>
    </cfRule>
    <cfRule type="containsText" dxfId="982" priority="978" operator="containsText" text="NA">
      <formula>NOT(ISERROR(SEARCH("NA",R956)))</formula>
    </cfRule>
    <cfRule type="cellIs" dxfId="981" priority="979" operator="lessThan">
      <formula>-0.05</formula>
    </cfRule>
    <cfRule type="cellIs" dxfId="980" priority="980" operator="greaterThan">
      <formula>0.05</formula>
    </cfRule>
  </conditionalFormatting>
  <conditionalFormatting sqref="R957 T957 V957 Y957">
    <cfRule type="cellIs" dxfId="979" priority="973" operator="between">
      <formula>-0.05</formula>
      <formula>0.05</formula>
    </cfRule>
    <cfRule type="containsText" dxfId="978" priority="974" operator="containsText" text="NA">
      <formula>NOT(ISERROR(SEARCH("NA",R957)))</formula>
    </cfRule>
    <cfRule type="cellIs" dxfId="977" priority="975" operator="lessThan">
      <formula>-0.05</formula>
    </cfRule>
    <cfRule type="cellIs" dxfId="976" priority="976" operator="greaterThan">
      <formula>0.05</formula>
    </cfRule>
  </conditionalFormatting>
  <conditionalFormatting sqref="R958 T958 V958 Y958">
    <cfRule type="cellIs" dxfId="975" priority="969" operator="between">
      <formula>-0.05</formula>
      <formula>0.05</formula>
    </cfRule>
    <cfRule type="containsText" dxfId="974" priority="970" operator="containsText" text="NA">
      <formula>NOT(ISERROR(SEARCH("NA",R958)))</formula>
    </cfRule>
    <cfRule type="cellIs" dxfId="973" priority="971" operator="lessThan">
      <formula>-0.05</formula>
    </cfRule>
    <cfRule type="cellIs" dxfId="972" priority="972" operator="greaterThan">
      <formula>0.05</formula>
    </cfRule>
  </conditionalFormatting>
  <conditionalFormatting sqref="R959 T959 V959 Y959">
    <cfRule type="cellIs" dxfId="971" priority="965" operator="between">
      <formula>-0.05</formula>
      <formula>0.05</formula>
    </cfRule>
    <cfRule type="containsText" dxfId="970" priority="966" operator="containsText" text="NA">
      <formula>NOT(ISERROR(SEARCH("NA",R959)))</formula>
    </cfRule>
    <cfRule type="cellIs" dxfId="969" priority="967" operator="lessThan">
      <formula>-0.05</formula>
    </cfRule>
    <cfRule type="cellIs" dxfId="968" priority="968" operator="greaterThan">
      <formula>0.05</formula>
    </cfRule>
  </conditionalFormatting>
  <conditionalFormatting sqref="R960 T960 V960 Y960">
    <cfRule type="cellIs" dxfId="967" priority="961" operator="between">
      <formula>-0.05</formula>
      <formula>0.05</formula>
    </cfRule>
    <cfRule type="containsText" dxfId="966" priority="962" operator="containsText" text="NA">
      <formula>NOT(ISERROR(SEARCH("NA",R960)))</formula>
    </cfRule>
    <cfRule type="cellIs" dxfId="965" priority="963" operator="lessThan">
      <formula>-0.05</formula>
    </cfRule>
    <cfRule type="cellIs" dxfId="964" priority="964" operator="greaterThan">
      <formula>0.05</formula>
    </cfRule>
  </conditionalFormatting>
  <conditionalFormatting sqref="R961 T961 V961 Y961">
    <cfRule type="cellIs" dxfId="963" priority="957" operator="between">
      <formula>-0.05</formula>
      <formula>0.05</formula>
    </cfRule>
    <cfRule type="containsText" dxfId="962" priority="958" operator="containsText" text="NA">
      <formula>NOT(ISERROR(SEARCH("NA",R961)))</formula>
    </cfRule>
    <cfRule type="cellIs" dxfId="961" priority="959" operator="lessThan">
      <formula>-0.05</formula>
    </cfRule>
    <cfRule type="cellIs" dxfId="960" priority="960" operator="greaterThan">
      <formula>0.05</formula>
    </cfRule>
  </conditionalFormatting>
  <conditionalFormatting sqref="R962 T962 V962 Y962">
    <cfRule type="cellIs" dxfId="959" priority="953" operator="between">
      <formula>-0.05</formula>
      <formula>0.05</formula>
    </cfRule>
    <cfRule type="containsText" dxfId="958" priority="954" operator="containsText" text="NA">
      <formula>NOT(ISERROR(SEARCH("NA",R962)))</formula>
    </cfRule>
    <cfRule type="cellIs" dxfId="957" priority="955" operator="lessThan">
      <formula>-0.05</formula>
    </cfRule>
    <cfRule type="cellIs" dxfId="956" priority="956" operator="greaterThan">
      <formula>0.05</formula>
    </cfRule>
  </conditionalFormatting>
  <conditionalFormatting sqref="R963 T963 V963 Y963">
    <cfRule type="cellIs" dxfId="955" priority="949" operator="between">
      <formula>-0.05</formula>
      <formula>0.05</formula>
    </cfRule>
    <cfRule type="containsText" dxfId="954" priority="950" operator="containsText" text="NA">
      <formula>NOT(ISERROR(SEARCH("NA",R963)))</formula>
    </cfRule>
    <cfRule type="cellIs" dxfId="953" priority="951" operator="lessThan">
      <formula>-0.05</formula>
    </cfRule>
    <cfRule type="cellIs" dxfId="952" priority="952" operator="greaterThan">
      <formula>0.05</formula>
    </cfRule>
  </conditionalFormatting>
  <conditionalFormatting sqref="R964 T964 V964 Y964">
    <cfRule type="cellIs" dxfId="951" priority="945" operator="between">
      <formula>-0.05</formula>
      <formula>0.05</formula>
    </cfRule>
    <cfRule type="containsText" dxfId="950" priority="946" operator="containsText" text="NA">
      <formula>NOT(ISERROR(SEARCH("NA",R964)))</formula>
    </cfRule>
    <cfRule type="cellIs" dxfId="949" priority="947" operator="lessThan">
      <formula>-0.05</formula>
    </cfRule>
    <cfRule type="cellIs" dxfId="948" priority="948" operator="greaterThan">
      <formula>0.05</formula>
    </cfRule>
  </conditionalFormatting>
  <conditionalFormatting sqref="R965 T965 V965 Y965">
    <cfRule type="cellIs" dxfId="947" priority="941" operator="between">
      <formula>-0.05</formula>
      <formula>0.05</formula>
    </cfRule>
    <cfRule type="containsText" dxfId="946" priority="942" operator="containsText" text="NA">
      <formula>NOT(ISERROR(SEARCH("NA",R965)))</formula>
    </cfRule>
    <cfRule type="cellIs" dxfId="945" priority="943" operator="lessThan">
      <formula>-0.05</formula>
    </cfRule>
    <cfRule type="cellIs" dxfId="944" priority="944" operator="greaterThan">
      <formula>0.05</formula>
    </cfRule>
  </conditionalFormatting>
  <conditionalFormatting sqref="R966 T966 V966 Y966">
    <cfRule type="cellIs" dxfId="943" priority="937" operator="between">
      <formula>-0.05</formula>
      <formula>0.05</formula>
    </cfRule>
    <cfRule type="containsText" dxfId="942" priority="938" operator="containsText" text="NA">
      <formula>NOT(ISERROR(SEARCH("NA",R966)))</formula>
    </cfRule>
    <cfRule type="cellIs" dxfId="941" priority="939" operator="lessThan">
      <formula>-0.05</formula>
    </cfRule>
    <cfRule type="cellIs" dxfId="940" priority="940" operator="greaterThan">
      <formula>0.05</formula>
    </cfRule>
  </conditionalFormatting>
  <conditionalFormatting sqref="R967 T967 V967 Y967">
    <cfRule type="cellIs" dxfId="939" priority="933" operator="between">
      <formula>-0.05</formula>
      <formula>0.05</formula>
    </cfRule>
    <cfRule type="containsText" dxfId="938" priority="934" operator="containsText" text="NA">
      <formula>NOT(ISERROR(SEARCH("NA",R967)))</formula>
    </cfRule>
    <cfRule type="cellIs" dxfId="937" priority="935" operator="lessThan">
      <formula>-0.05</formula>
    </cfRule>
    <cfRule type="cellIs" dxfId="936" priority="936" operator="greaterThan">
      <formula>0.05</formula>
    </cfRule>
  </conditionalFormatting>
  <conditionalFormatting sqref="R968 T968 V968 Y968">
    <cfRule type="cellIs" dxfId="935" priority="929" operator="between">
      <formula>-0.05</formula>
      <formula>0.05</formula>
    </cfRule>
    <cfRule type="containsText" dxfId="934" priority="930" operator="containsText" text="NA">
      <formula>NOT(ISERROR(SEARCH("NA",R968)))</formula>
    </cfRule>
    <cfRule type="cellIs" dxfId="933" priority="931" operator="lessThan">
      <formula>-0.05</formula>
    </cfRule>
    <cfRule type="cellIs" dxfId="932" priority="932" operator="greaterThan">
      <formula>0.05</formula>
    </cfRule>
  </conditionalFormatting>
  <conditionalFormatting sqref="R969 T969 V969 Y969">
    <cfRule type="cellIs" dxfId="931" priority="925" operator="between">
      <formula>-0.05</formula>
      <formula>0.05</formula>
    </cfRule>
    <cfRule type="containsText" dxfId="930" priority="926" operator="containsText" text="NA">
      <formula>NOT(ISERROR(SEARCH("NA",R969)))</formula>
    </cfRule>
    <cfRule type="cellIs" dxfId="929" priority="927" operator="lessThan">
      <formula>-0.05</formula>
    </cfRule>
    <cfRule type="cellIs" dxfId="928" priority="928" operator="greaterThan">
      <formula>0.05</formula>
    </cfRule>
  </conditionalFormatting>
  <conditionalFormatting sqref="R970 T970 V970 Y970">
    <cfRule type="cellIs" dxfId="927" priority="921" operator="between">
      <formula>-0.05</formula>
      <formula>0.05</formula>
    </cfRule>
    <cfRule type="containsText" dxfId="926" priority="922" operator="containsText" text="NA">
      <formula>NOT(ISERROR(SEARCH("NA",R970)))</formula>
    </cfRule>
    <cfRule type="cellIs" dxfId="925" priority="923" operator="lessThan">
      <formula>-0.05</formula>
    </cfRule>
    <cfRule type="cellIs" dxfId="924" priority="924" operator="greaterThan">
      <formula>0.05</formula>
    </cfRule>
  </conditionalFormatting>
  <conditionalFormatting sqref="R971 T971 V971 Y971">
    <cfRule type="cellIs" dxfId="923" priority="917" operator="between">
      <formula>-0.05</formula>
      <formula>0.05</formula>
    </cfRule>
    <cfRule type="containsText" dxfId="922" priority="918" operator="containsText" text="NA">
      <formula>NOT(ISERROR(SEARCH("NA",R971)))</formula>
    </cfRule>
    <cfRule type="cellIs" dxfId="921" priority="919" operator="lessThan">
      <formula>-0.05</formula>
    </cfRule>
    <cfRule type="cellIs" dxfId="920" priority="920" operator="greaterThan">
      <formula>0.05</formula>
    </cfRule>
  </conditionalFormatting>
  <conditionalFormatting sqref="R972 T972 V972 Y972">
    <cfRule type="cellIs" dxfId="919" priority="913" operator="between">
      <formula>-0.05</formula>
      <formula>0.05</formula>
    </cfRule>
    <cfRule type="containsText" dxfId="918" priority="914" operator="containsText" text="NA">
      <formula>NOT(ISERROR(SEARCH("NA",R972)))</formula>
    </cfRule>
    <cfRule type="cellIs" dxfId="917" priority="915" operator="lessThan">
      <formula>-0.05</formula>
    </cfRule>
    <cfRule type="cellIs" dxfId="916" priority="916" operator="greaterThan">
      <formula>0.05</formula>
    </cfRule>
  </conditionalFormatting>
  <conditionalFormatting sqref="R973 T973 V973 Y973">
    <cfRule type="cellIs" dxfId="915" priority="909" operator="between">
      <formula>-0.05</formula>
      <formula>0.05</formula>
    </cfRule>
    <cfRule type="containsText" dxfId="914" priority="910" operator="containsText" text="NA">
      <formula>NOT(ISERROR(SEARCH("NA",R973)))</formula>
    </cfRule>
    <cfRule type="cellIs" dxfId="913" priority="911" operator="lessThan">
      <formula>-0.05</formula>
    </cfRule>
    <cfRule type="cellIs" dxfId="912" priority="912" operator="greaterThan">
      <formula>0.05</formula>
    </cfRule>
  </conditionalFormatting>
  <conditionalFormatting sqref="R974 T974 V974 Y974">
    <cfRule type="cellIs" dxfId="911" priority="905" operator="between">
      <formula>-0.05</formula>
      <formula>0.05</formula>
    </cfRule>
    <cfRule type="containsText" dxfId="910" priority="906" operator="containsText" text="NA">
      <formula>NOT(ISERROR(SEARCH("NA",R974)))</formula>
    </cfRule>
    <cfRule type="cellIs" dxfId="909" priority="907" operator="lessThan">
      <formula>-0.05</formula>
    </cfRule>
    <cfRule type="cellIs" dxfId="908" priority="908" operator="greaterThan">
      <formula>0.05</formula>
    </cfRule>
  </conditionalFormatting>
  <conditionalFormatting sqref="R975 T975 V975 Y975">
    <cfRule type="cellIs" dxfId="907" priority="901" operator="between">
      <formula>-0.05</formula>
      <formula>0.05</formula>
    </cfRule>
    <cfRule type="containsText" dxfId="906" priority="902" operator="containsText" text="NA">
      <formula>NOT(ISERROR(SEARCH("NA",R975)))</formula>
    </cfRule>
    <cfRule type="cellIs" dxfId="905" priority="903" operator="lessThan">
      <formula>-0.05</formula>
    </cfRule>
    <cfRule type="cellIs" dxfId="904" priority="904" operator="greaterThan">
      <formula>0.05</formula>
    </cfRule>
  </conditionalFormatting>
  <conditionalFormatting sqref="R976 T976 V976 Y976">
    <cfRule type="cellIs" dxfId="903" priority="897" operator="between">
      <formula>-0.05</formula>
      <formula>0.05</formula>
    </cfRule>
    <cfRule type="containsText" dxfId="902" priority="898" operator="containsText" text="NA">
      <formula>NOT(ISERROR(SEARCH("NA",R976)))</formula>
    </cfRule>
    <cfRule type="cellIs" dxfId="901" priority="899" operator="lessThan">
      <formula>-0.05</formula>
    </cfRule>
    <cfRule type="cellIs" dxfId="900" priority="900" operator="greaterThan">
      <formula>0.05</formula>
    </cfRule>
  </conditionalFormatting>
  <conditionalFormatting sqref="R977 T977 V977 Y977">
    <cfRule type="cellIs" dxfId="899" priority="893" operator="between">
      <formula>-0.05</formula>
      <formula>0.05</formula>
    </cfRule>
    <cfRule type="containsText" dxfId="898" priority="894" operator="containsText" text="NA">
      <formula>NOT(ISERROR(SEARCH("NA",R977)))</formula>
    </cfRule>
    <cfRule type="cellIs" dxfId="897" priority="895" operator="lessThan">
      <formula>-0.05</formula>
    </cfRule>
    <cfRule type="cellIs" dxfId="896" priority="896" operator="greaterThan">
      <formula>0.05</formula>
    </cfRule>
  </conditionalFormatting>
  <conditionalFormatting sqref="R978 T978 V978 Y978">
    <cfRule type="cellIs" dxfId="895" priority="889" operator="between">
      <formula>-0.05</formula>
      <formula>0.05</formula>
    </cfRule>
    <cfRule type="containsText" dxfId="894" priority="890" operator="containsText" text="NA">
      <formula>NOT(ISERROR(SEARCH("NA",R978)))</formula>
    </cfRule>
    <cfRule type="cellIs" dxfId="893" priority="891" operator="lessThan">
      <formula>-0.05</formula>
    </cfRule>
    <cfRule type="cellIs" dxfId="892" priority="892" operator="greaterThan">
      <formula>0.05</formula>
    </cfRule>
  </conditionalFormatting>
  <conditionalFormatting sqref="R979 T979 V979 Y979">
    <cfRule type="cellIs" dxfId="891" priority="885" operator="between">
      <formula>-0.05</formula>
      <formula>0.05</formula>
    </cfRule>
    <cfRule type="containsText" dxfId="890" priority="886" operator="containsText" text="NA">
      <formula>NOT(ISERROR(SEARCH("NA",R979)))</formula>
    </cfRule>
    <cfRule type="cellIs" dxfId="889" priority="887" operator="lessThan">
      <formula>-0.05</formula>
    </cfRule>
    <cfRule type="cellIs" dxfId="888" priority="888" operator="greaterThan">
      <formula>0.05</formula>
    </cfRule>
  </conditionalFormatting>
  <conditionalFormatting sqref="R980 T980 V980 Y980">
    <cfRule type="cellIs" dxfId="887" priority="881" operator="between">
      <formula>-0.05</formula>
      <formula>0.05</formula>
    </cfRule>
    <cfRule type="containsText" dxfId="886" priority="882" operator="containsText" text="NA">
      <formula>NOT(ISERROR(SEARCH("NA",R980)))</formula>
    </cfRule>
    <cfRule type="cellIs" dxfId="885" priority="883" operator="lessThan">
      <formula>-0.05</formula>
    </cfRule>
    <cfRule type="cellIs" dxfId="884" priority="884" operator="greaterThan">
      <formula>0.05</formula>
    </cfRule>
  </conditionalFormatting>
  <conditionalFormatting sqref="R981 T981 V981 Y981">
    <cfRule type="cellIs" dxfId="883" priority="877" operator="between">
      <formula>-0.05</formula>
      <formula>0.05</formula>
    </cfRule>
    <cfRule type="containsText" dxfId="882" priority="878" operator="containsText" text="NA">
      <formula>NOT(ISERROR(SEARCH("NA",R981)))</formula>
    </cfRule>
    <cfRule type="cellIs" dxfId="881" priority="879" operator="lessThan">
      <formula>-0.05</formula>
    </cfRule>
    <cfRule type="cellIs" dxfId="880" priority="880" operator="greaterThan">
      <formula>0.05</formula>
    </cfRule>
  </conditionalFormatting>
  <conditionalFormatting sqref="R982 T982 V982 Y982">
    <cfRule type="cellIs" dxfId="879" priority="873" operator="between">
      <formula>-0.05</formula>
      <formula>0.05</formula>
    </cfRule>
    <cfRule type="containsText" dxfId="878" priority="874" operator="containsText" text="NA">
      <formula>NOT(ISERROR(SEARCH("NA",R982)))</formula>
    </cfRule>
    <cfRule type="cellIs" dxfId="877" priority="875" operator="lessThan">
      <formula>-0.05</formula>
    </cfRule>
    <cfRule type="cellIs" dxfId="876" priority="876" operator="greaterThan">
      <formula>0.05</formula>
    </cfRule>
  </conditionalFormatting>
  <conditionalFormatting sqref="R983 T983 V983 Y983">
    <cfRule type="cellIs" dxfId="875" priority="869" operator="between">
      <formula>-0.05</formula>
      <formula>0.05</formula>
    </cfRule>
    <cfRule type="containsText" dxfId="874" priority="870" operator="containsText" text="NA">
      <formula>NOT(ISERROR(SEARCH("NA",R983)))</formula>
    </cfRule>
    <cfRule type="cellIs" dxfId="873" priority="871" operator="lessThan">
      <formula>-0.05</formula>
    </cfRule>
    <cfRule type="cellIs" dxfId="872" priority="872" operator="greaterThan">
      <formula>0.05</formula>
    </cfRule>
  </conditionalFormatting>
  <conditionalFormatting sqref="R984 T984 V984 Y984">
    <cfRule type="cellIs" dxfId="871" priority="865" operator="between">
      <formula>-0.05</formula>
      <formula>0.05</formula>
    </cfRule>
    <cfRule type="containsText" dxfId="870" priority="866" operator="containsText" text="NA">
      <formula>NOT(ISERROR(SEARCH("NA",R984)))</formula>
    </cfRule>
    <cfRule type="cellIs" dxfId="869" priority="867" operator="lessThan">
      <formula>-0.05</formula>
    </cfRule>
    <cfRule type="cellIs" dxfId="868" priority="868" operator="greaterThan">
      <formula>0.05</formula>
    </cfRule>
  </conditionalFormatting>
  <conditionalFormatting sqref="R985 T985 V985 Y985">
    <cfRule type="cellIs" dxfId="867" priority="861" operator="between">
      <formula>-0.05</formula>
      <formula>0.05</formula>
    </cfRule>
    <cfRule type="containsText" dxfId="866" priority="862" operator="containsText" text="NA">
      <formula>NOT(ISERROR(SEARCH("NA",R985)))</formula>
    </cfRule>
    <cfRule type="cellIs" dxfId="865" priority="863" operator="lessThan">
      <formula>-0.05</formula>
    </cfRule>
    <cfRule type="cellIs" dxfId="864" priority="864" operator="greaterThan">
      <formula>0.05</formula>
    </cfRule>
  </conditionalFormatting>
  <conditionalFormatting sqref="R986 T986 V986 Y986">
    <cfRule type="cellIs" dxfId="863" priority="857" operator="between">
      <formula>-0.05</formula>
      <formula>0.05</formula>
    </cfRule>
    <cfRule type="containsText" dxfId="862" priority="858" operator="containsText" text="NA">
      <formula>NOT(ISERROR(SEARCH("NA",R986)))</formula>
    </cfRule>
    <cfRule type="cellIs" dxfId="861" priority="859" operator="lessThan">
      <formula>-0.05</formula>
    </cfRule>
    <cfRule type="cellIs" dxfId="860" priority="860" operator="greaterThan">
      <formula>0.05</formula>
    </cfRule>
  </conditionalFormatting>
  <conditionalFormatting sqref="R987 T987 V987 Y987">
    <cfRule type="cellIs" dxfId="859" priority="853" operator="between">
      <formula>-0.05</formula>
      <formula>0.05</formula>
    </cfRule>
    <cfRule type="containsText" dxfId="858" priority="854" operator="containsText" text="NA">
      <formula>NOT(ISERROR(SEARCH("NA",R987)))</formula>
    </cfRule>
    <cfRule type="cellIs" dxfId="857" priority="855" operator="lessThan">
      <formula>-0.05</formula>
    </cfRule>
    <cfRule type="cellIs" dxfId="856" priority="856" operator="greaterThan">
      <formula>0.05</formula>
    </cfRule>
  </conditionalFormatting>
  <conditionalFormatting sqref="R988 T988 V988 Y988">
    <cfRule type="cellIs" dxfId="855" priority="849" operator="between">
      <formula>-0.05</formula>
      <formula>0.05</formula>
    </cfRule>
    <cfRule type="containsText" dxfId="854" priority="850" operator="containsText" text="NA">
      <formula>NOT(ISERROR(SEARCH("NA",R988)))</formula>
    </cfRule>
    <cfRule type="cellIs" dxfId="853" priority="851" operator="lessThan">
      <formula>-0.05</formula>
    </cfRule>
    <cfRule type="cellIs" dxfId="852" priority="852" operator="greaterThan">
      <formula>0.05</formula>
    </cfRule>
  </conditionalFormatting>
  <conditionalFormatting sqref="R989 T989 V989 Y989">
    <cfRule type="cellIs" dxfId="851" priority="845" operator="between">
      <formula>-0.05</formula>
      <formula>0.05</formula>
    </cfRule>
    <cfRule type="containsText" dxfId="850" priority="846" operator="containsText" text="NA">
      <formula>NOT(ISERROR(SEARCH("NA",R989)))</formula>
    </cfRule>
    <cfRule type="cellIs" dxfId="849" priority="847" operator="lessThan">
      <formula>-0.05</formula>
    </cfRule>
    <cfRule type="cellIs" dxfId="848" priority="848" operator="greaterThan">
      <formula>0.05</formula>
    </cfRule>
  </conditionalFormatting>
  <conditionalFormatting sqref="R990 T990 V990 Y990">
    <cfRule type="cellIs" dxfId="847" priority="841" operator="between">
      <formula>-0.05</formula>
      <formula>0.05</formula>
    </cfRule>
    <cfRule type="containsText" dxfId="846" priority="842" operator="containsText" text="NA">
      <formula>NOT(ISERROR(SEARCH("NA",R990)))</formula>
    </cfRule>
    <cfRule type="cellIs" dxfId="845" priority="843" operator="lessThan">
      <formula>-0.05</formula>
    </cfRule>
    <cfRule type="cellIs" dxfId="844" priority="844" operator="greaterThan">
      <formula>0.05</formula>
    </cfRule>
  </conditionalFormatting>
  <conditionalFormatting sqref="R991 T991 V991 Y991">
    <cfRule type="cellIs" dxfId="843" priority="837" operator="between">
      <formula>-0.05</formula>
      <formula>0.05</formula>
    </cfRule>
    <cfRule type="containsText" dxfId="842" priority="838" operator="containsText" text="NA">
      <formula>NOT(ISERROR(SEARCH("NA",R991)))</formula>
    </cfRule>
    <cfRule type="cellIs" dxfId="841" priority="839" operator="lessThan">
      <formula>-0.05</formula>
    </cfRule>
    <cfRule type="cellIs" dxfId="840" priority="840" operator="greaterThan">
      <formula>0.05</formula>
    </cfRule>
  </conditionalFormatting>
  <conditionalFormatting sqref="R992 T992 V992 Y992">
    <cfRule type="cellIs" dxfId="839" priority="833" operator="between">
      <formula>-0.05</formula>
      <formula>0.05</formula>
    </cfRule>
    <cfRule type="containsText" dxfId="838" priority="834" operator="containsText" text="NA">
      <formula>NOT(ISERROR(SEARCH("NA",R992)))</formula>
    </cfRule>
    <cfRule type="cellIs" dxfId="837" priority="835" operator="lessThan">
      <formula>-0.05</formula>
    </cfRule>
    <cfRule type="cellIs" dxfId="836" priority="836" operator="greaterThan">
      <formula>0.05</formula>
    </cfRule>
  </conditionalFormatting>
  <conditionalFormatting sqref="R993 T993 V993 Y993">
    <cfRule type="cellIs" dxfId="835" priority="829" operator="between">
      <formula>-0.05</formula>
      <formula>0.05</formula>
    </cfRule>
    <cfRule type="containsText" dxfId="834" priority="830" operator="containsText" text="NA">
      <formula>NOT(ISERROR(SEARCH("NA",R993)))</formula>
    </cfRule>
    <cfRule type="cellIs" dxfId="833" priority="831" operator="lessThan">
      <formula>-0.05</formula>
    </cfRule>
    <cfRule type="cellIs" dxfId="832" priority="832" operator="greaterThan">
      <formula>0.05</formula>
    </cfRule>
  </conditionalFormatting>
  <conditionalFormatting sqref="R994 T994 V994 Y994">
    <cfRule type="cellIs" dxfId="831" priority="825" operator="between">
      <formula>-0.05</formula>
      <formula>0.05</formula>
    </cfRule>
    <cfRule type="containsText" dxfId="830" priority="826" operator="containsText" text="NA">
      <formula>NOT(ISERROR(SEARCH("NA",R994)))</formula>
    </cfRule>
    <cfRule type="cellIs" dxfId="829" priority="827" operator="lessThan">
      <formula>-0.05</formula>
    </cfRule>
    <cfRule type="cellIs" dxfId="828" priority="828" operator="greaterThan">
      <formula>0.05</formula>
    </cfRule>
  </conditionalFormatting>
  <conditionalFormatting sqref="R995 T995 V995 Y995">
    <cfRule type="cellIs" dxfId="827" priority="821" operator="between">
      <formula>-0.05</formula>
      <formula>0.05</formula>
    </cfRule>
    <cfRule type="containsText" dxfId="826" priority="822" operator="containsText" text="NA">
      <formula>NOT(ISERROR(SEARCH("NA",R995)))</formula>
    </cfRule>
    <cfRule type="cellIs" dxfId="825" priority="823" operator="lessThan">
      <formula>-0.05</formula>
    </cfRule>
    <cfRule type="cellIs" dxfId="824" priority="824" operator="greaterThan">
      <formula>0.05</formula>
    </cfRule>
  </conditionalFormatting>
  <conditionalFormatting sqref="R996 T996 V996 Y996">
    <cfRule type="cellIs" dxfId="823" priority="817" operator="between">
      <formula>-0.05</formula>
      <formula>0.05</formula>
    </cfRule>
    <cfRule type="containsText" dxfId="822" priority="818" operator="containsText" text="NA">
      <formula>NOT(ISERROR(SEARCH("NA",R996)))</formula>
    </cfRule>
    <cfRule type="cellIs" dxfId="821" priority="819" operator="lessThan">
      <formula>-0.05</formula>
    </cfRule>
    <cfRule type="cellIs" dxfId="820" priority="820" operator="greaterThan">
      <formula>0.05</formula>
    </cfRule>
  </conditionalFormatting>
  <conditionalFormatting sqref="R997 T997 V997 Y997">
    <cfRule type="cellIs" dxfId="819" priority="813" operator="between">
      <formula>-0.05</formula>
      <formula>0.05</formula>
    </cfRule>
    <cfRule type="containsText" dxfId="818" priority="814" operator="containsText" text="NA">
      <formula>NOT(ISERROR(SEARCH("NA",R997)))</formula>
    </cfRule>
    <cfRule type="cellIs" dxfId="817" priority="815" operator="lessThan">
      <formula>-0.05</formula>
    </cfRule>
    <cfRule type="cellIs" dxfId="816" priority="816" operator="greaterThan">
      <formula>0.05</formula>
    </cfRule>
  </conditionalFormatting>
  <conditionalFormatting sqref="R998 T998 V998 Y998">
    <cfRule type="cellIs" dxfId="815" priority="809" operator="between">
      <formula>-0.05</formula>
      <formula>0.05</formula>
    </cfRule>
    <cfRule type="containsText" dxfId="814" priority="810" operator="containsText" text="NA">
      <formula>NOT(ISERROR(SEARCH("NA",R998)))</formula>
    </cfRule>
    <cfRule type="cellIs" dxfId="813" priority="811" operator="lessThan">
      <formula>-0.05</formula>
    </cfRule>
    <cfRule type="cellIs" dxfId="812" priority="812" operator="greaterThan">
      <formula>0.05</formula>
    </cfRule>
  </conditionalFormatting>
  <conditionalFormatting sqref="R999 T999 V999 Y999">
    <cfRule type="cellIs" dxfId="811" priority="805" operator="between">
      <formula>-0.05</formula>
      <formula>0.05</formula>
    </cfRule>
    <cfRule type="containsText" dxfId="810" priority="806" operator="containsText" text="NA">
      <formula>NOT(ISERROR(SEARCH("NA",R999)))</formula>
    </cfRule>
    <cfRule type="cellIs" dxfId="809" priority="807" operator="lessThan">
      <formula>-0.05</formula>
    </cfRule>
    <cfRule type="cellIs" dxfId="808" priority="808" operator="greaterThan">
      <formula>0.05</formula>
    </cfRule>
  </conditionalFormatting>
  <conditionalFormatting sqref="R1000 T1000 V1000 Y1000">
    <cfRule type="cellIs" dxfId="807" priority="801" operator="between">
      <formula>-0.05</formula>
      <formula>0.05</formula>
    </cfRule>
    <cfRule type="containsText" dxfId="806" priority="802" operator="containsText" text="NA">
      <formula>NOT(ISERROR(SEARCH("NA",R1000)))</formula>
    </cfRule>
    <cfRule type="cellIs" dxfId="805" priority="803" operator="lessThan">
      <formula>-0.05</formula>
    </cfRule>
    <cfRule type="cellIs" dxfId="804" priority="804" operator="greaterThan">
      <formula>0.05</formula>
    </cfRule>
  </conditionalFormatting>
  <conditionalFormatting sqref="R1001 T1001 V1001 Y1001">
    <cfRule type="cellIs" dxfId="803" priority="797" operator="between">
      <formula>-0.05</formula>
      <formula>0.05</formula>
    </cfRule>
    <cfRule type="containsText" dxfId="802" priority="798" operator="containsText" text="NA">
      <formula>NOT(ISERROR(SEARCH("NA",R1001)))</formula>
    </cfRule>
    <cfRule type="cellIs" dxfId="801" priority="799" operator="lessThan">
      <formula>-0.05</formula>
    </cfRule>
    <cfRule type="cellIs" dxfId="800" priority="800" operator="greaterThan">
      <formula>0.05</formula>
    </cfRule>
  </conditionalFormatting>
  <conditionalFormatting sqref="R1002 T1002 V1002 Y1002">
    <cfRule type="cellIs" dxfId="799" priority="793" operator="between">
      <formula>-0.05</formula>
      <formula>0.05</formula>
    </cfRule>
    <cfRule type="containsText" dxfId="798" priority="794" operator="containsText" text="NA">
      <formula>NOT(ISERROR(SEARCH("NA",R1002)))</formula>
    </cfRule>
    <cfRule type="cellIs" dxfId="797" priority="795" operator="lessThan">
      <formula>-0.05</formula>
    </cfRule>
    <cfRule type="cellIs" dxfId="796" priority="796" operator="greaterThan">
      <formula>0.05</formula>
    </cfRule>
  </conditionalFormatting>
  <conditionalFormatting sqref="R1003 T1003 V1003 Y1003">
    <cfRule type="cellIs" dxfId="795" priority="789" operator="between">
      <formula>-0.05</formula>
      <formula>0.05</formula>
    </cfRule>
    <cfRule type="containsText" dxfId="794" priority="790" operator="containsText" text="NA">
      <formula>NOT(ISERROR(SEARCH("NA",R1003)))</formula>
    </cfRule>
    <cfRule type="cellIs" dxfId="793" priority="791" operator="lessThan">
      <formula>-0.05</formula>
    </cfRule>
    <cfRule type="cellIs" dxfId="792" priority="792" operator="greaterThan">
      <formula>0.05</formula>
    </cfRule>
  </conditionalFormatting>
  <conditionalFormatting sqref="R1004 T1004 V1004 Y1004">
    <cfRule type="cellIs" dxfId="791" priority="785" operator="between">
      <formula>-0.05</formula>
      <formula>0.05</formula>
    </cfRule>
    <cfRule type="containsText" dxfId="790" priority="786" operator="containsText" text="NA">
      <formula>NOT(ISERROR(SEARCH("NA",R1004)))</formula>
    </cfRule>
    <cfRule type="cellIs" dxfId="789" priority="787" operator="lessThan">
      <formula>-0.05</formula>
    </cfRule>
    <cfRule type="cellIs" dxfId="788" priority="788" operator="greaterThan">
      <formula>0.05</formula>
    </cfRule>
  </conditionalFormatting>
  <conditionalFormatting sqref="R1005 T1005 V1005 Y1005">
    <cfRule type="cellIs" dxfId="787" priority="781" operator="between">
      <formula>-0.05</formula>
      <formula>0.05</formula>
    </cfRule>
    <cfRule type="containsText" dxfId="786" priority="782" operator="containsText" text="NA">
      <formula>NOT(ISERROR(SEARCH("NA",R1005)))</formula>
    </cfRule>
    <cfRule type="cellIs" dxfId="785" priority="783" operator="lessThan">
      <formula>-0.05</formula>
    </cfRule>
    <cfRule type="cellIs" dxfId="784" priority="784" operator="greaterThan">
      <formula>0.05</formula>
    </cfRule>
  </conditionalFormatting>
  <conditionalFormatting sqref="R1006 T1006 V1006 Y1006">
    <cfRule type="cellIs" dxfId="783" priority="777" operator="between">
      <formula>-0.05</formula>
      <formula>0.05</formula>
    </cfRule>
    <cfRule type="containsText" dxfId="782" priority="778" operator="containsText" text="NA">
      <formula>NOT(ISERROR(SEARCH("NA",R1006)))</formula>
    </cfRule>
    <cfRule type="cellIs" dxfId="781" priority="779" operator="lessThan">
      <formula>-0.05</formula>
    </cfRule>
    <cfRule type="cellIs" dxfId="780" priority="780" operator="greaterThan">
      <formula>0.05</formula>
    </cfRule>
  </conditionalFormatting>
  <conditionalFormatting sqref="R1007 T1007 V1007 Y1007">
    <cfRule type="cellIs" dxfId="779" priority="773" operator="between">
      <formula>-0.05</formula>
      <formula>0.05</formula>
    </cfRule>
    <cfRule type="containsText" dxfId="778" priority="774" operator="containsText" text="NA">
      <formula>NOT(ISERROR(SEARCH("NA",R1007)))</formula>
    </cfRule>
    <cfRule type="cellIs" dxfId="777" priority="775" operator="lessThan">
      <formula>-0.05</formula>
    </cfRule>
    <cfRule type="cellIs" dxfId="776" priority="776" operator="greaterThan">
      <formula>0.05</formula>
    </cfRule>
  </conditionalFormatting>
  <conditionalFormatting sqref="R1008 T1008 V1008 Y1008">
    <cfRule type="cellIs" dxfId="775" priority="769" operator="between">
      <formula>-0.05</formula>
      <formula>0.05</formula>
    </cfRule>
    <cfRule type="containsText" dxfId="774" priority="770" operator="containsText" text="NA">
      <formula>NOT(ISERROR(SEARCH("NA",R1008)))</formula>
    </cfRule>
    <cfRule type="cellIs" dxfId="773" priority="771" operator="lessThan">
      <formula>-0.05</formula>
    </cfRule>
    <cfRule type="cellIs" dxfId="772" priority="772" operator="greaterThan">
      <formula>0.05</formula>
    </cfRule>
  </conditionalFormatting>
  <conditionalFormatting sqref="R1009 T1009 V1009 Y1009">
    <cfRule type="cellIs" dxfId="771" priority="765" operator="between">
      <formula>-0.05</formula>
      <formula>0.05</formula>
    </cfRule>
    <cfRule type="containsText" dxfId="770" priority="766" operator="containsText" text="NA">
      <formula>NOT(ISERROR(SEARCH("NA",R1009)))</formula>
    </cfRule>
    <cfRule type="cellIs" dxfId="769" priority="767" operator="lessThan">
      <formula>-0.05</formula>
    </cfRule>
    <cfRule type="cellIs" dxfId="768" priority="768" operator="greaterThan">
      <formula>0.05</formula>
    </cfRule>
  </conditionalFormatting>
  <conditionalFormatting sqref="R1010 T1010 V1010 Y1010">
    <cfRule type="cellIs" dxfId="767" priority="761" operator="between">
      <formula>-0.05</formula>
      <formula>0.05</formula>
    </cfRule>
    <cfRule type="containsText" dxfId="766" priority="762" operator="containsText" text="NA">
      <formula>NOT(ISERROR(SEARCH("NA",R1010)))</formula>
    </cfRule>
    <cfRule type="cellIs" dxfId="765" priority="763" operator="lessThan">
      <formula>-0.05</formula>
    </cfRule>
    <cfRule type="cellIs" dxfId="764" priority="764" operator="greaterThan">
      <formula>0.05</formula>
    </cfRule>
  </conditionalFormatting>
  <conditionalFormatting sqref="R1011 T1011 V1011 Y1011">
    <cfRule type="cellIs" dxfId="763" priority="757" operator="between">
      <formula>-0.05</formula>
      <formula>0.05</formula>
    </cfRule>
    <cfRule type="containsText" dxfId="762" priority="758" operator="containsText" text="NA">
      <formula>NOT(ISERROR(SEARCH("NA",R1011)))</formula>
    </cfRule>
    <cfRule type="cellIs" dxfId="761" priority="759" operator="lessThan">
      <formula>-0.05</formula>
    </cfRule>
    <cfRule type="cellIs" dxfId="760" priority="760" operator="greaterThan">
      <formula>0.05</formula>
    </cfRule>
  </conditionalFormatting>
  <conditionalFormatting sqref="R1012 T1012 V1012 Y1012">
    <cfRule type="cellIs" dxfId="759" priority="753" operator="between">
      <formula>-0.05</formula>
      <formula>0.05</formula>
    </cfRule>
    <cfRule type="containsText" dxfId="758" priority="754" operator="containsText" text="NA">
      <formula>NOT(ISERROR(SEARCH("NA",R1012)))</formula>
    </cfRule>
    <cfRule type="cellIs" dxfId="757" priority="755" operator="lessThan">
      <formula>-0.05</formula>
    </cfRule>
    <cfRule type="cellIs" dxfId="756" priority="756" operator="greaterThan">
      <formula>0.05</formula>
    </cfRule>
  </conditionalFormatting>
  <conditionalFormatting sqref="R1013 T1013 V1013 Y1013">
    <cfRule type="cellIs" dxfId="755" priority="749" operator="between">
      <formula>-0.05</formula>
      <formula>0.05</formula>
    </cfRule>
    <cfRule type="containsText" dxfId="754" priority="750" operator="containsText" text="NA">
      <formula>NOT(ISERROR(SEARCH("NA",R1013)))</formula>
    </cfRule>
    <cfRule type="cellIs" dxfId="753" priority="751" operator="lessThan">
      <formula>-0.05</formula>
    </cfRule>
    <cfRule type="cellIs" dxfId="752" priority="752" operator="greaterThan">
      <formula>0.05</formula>
    </cfRule>
  </conditionalFormatting>
  <conditionalFormatting sqref="R1014 T1014 V1014 Y1014">
    <cfRule type="cellIs" dxfId="751" priority="745" operator="between">
      <formula>-0.05</formula>
      <formula>0.05</formula>
    </cfRule>
    <cfRule type="containsText" dxfId="750" priority="746" operator="containsText" text="NA">
      <formula>NOT(ISERROR(SEARCH("NA",R1014)))</formula>
    </cfRule>
    <cfRule type="cellIs" dxfId="749" priority="747" operator="lessThan">
      <formula>-0.05</formula>
    </cfRule>
    <cfRule type="cellIs" dxfId="748" priority="748" operator="greaterThan">
      <formula>0.05</formula>
    </cfRule>
  </conditionalFormatting>
  <conditionalFormatting sqref="R1015 T1015 V1015 Y1015">
    <cfRule type="cellIs" dxfId="747" priority="741" operator="between">
      <formula>-0.05</formula>
      <formula>0.05</formula>
    </cfRule>
    <cfRule type="containsText" dxfId="746" priority="742" operator="containsText" text="NA">
      <formula>NOT(ISERROR(SEARCH("NA",R1015)))</formula>
    </cfRule>
    <cfRule type="cellIs" dxfId="745" priority="743" operator="lessThan">
      <formula>-0.05</formula>
    </cfRule>
    <cfRule type="cellIs" dxfId="744" priority="744" operator="greaterThan">
      <formula>0.05</formula>
    </cfRule>
  </conditionalFormatting>
  <conditionalFormatting sqref="R1016 T1016 V1016 Y1016">
    <cfRule type="cellIs" dxfId="743" priority="737" operator="between">
      <formula>-0.05</formula>
      <formula>0.05</formula>
    </cfRule>
    <cfRule type="containsText" dxfId="742" priority="738" operator="containsText" text="NA">
      <formula>NOT(ISERROR(SEARCH("NA",R1016)))</formula>
    </cfRule>
    <cfRule type="cellIs" dxfId="741" priority="739" operator="lessThan">
      <formula>-0.05</formula>
    </cfRule>
    <cfRule type="cellIs" dxfId="740" priority="740" operator="greaterThan">
      <formula>0.05</formula>
    </cfRule>
  </conditionalFormatting>
  <conditionalFormatting sqref="R1017 T1017 V1017 Y1017">
    <cfRule type="cellIs" dxfId="739" priority="733" operator="between">
      <formula>-0.05</formula>
      <formula>0.05</formula>
    </cfRule>
    <cfRule type="containsText" dxfId="738" priority="734" operator="containsText" text="NA">
      <formula>NOT(ISERROR(SEARCH("NA",R1017)))</formula>
    </cfRule>
    <cfRule type="cellIs" dxfId="737" priority="735" operator="lessThan">
      <formula>-0.05</formula>
    </cfRule>
    <cfRule type="cellIs" dxfId="736" priority="736" operator="greaterThan">
      <formula>0.05</formula>
    </cfRule>
  </conditionalFormatting>
  <conditionalFormatting sqref="R1018 T1018 V1018 Y1018">
    <cfRule type="cellIs" dxfId="735" priority="729" operator="between">
      <formula>-0.05</formula>
      <formula>0.05</formula>
    </cfRule>
    <cfRule type="containsText" dxfId="734" priority="730" operator="containsText" text="NA">
      <formula>NOT(ISERROR(SEARCH("NA",R1018)))</formula>
    </cfRule>
    <cfRule type="cellIs" dxfId="733" priority="731" operator="lessThan">
      <formula>-0.05</formula>
    </cfRule>
    <cfRule type="cellIs" dxfId="732" priority="732" operator="greaterThan">
      <formula>0.05</formula>
    </cfRule>
  </conditionalFormatting>
  <conditionalFormatting sqref="R1019 T1019 V1019 Y1019">
    <cfRule type="cellIs" dxfId="731" priority="725" operator="between">
      <formula>-0.05</formula>
      <formula>0.05</formula>
    </cfRule>
    <cfRule type="containsText" dxfId="730" priority="726" operator="containsText" text="NA">
      <formula>NOT(ISERROR(SEARCH("NA",R1019)))</formula>
    </cfRule>
    <cfRule type="cellIs" dxfId="729" priority="727" operator="lessThan">
      <formula>-0.05</formula>
    </cfRule>
    <cfRule type="cellIs" dxfId="728" priority="728" operator="greaterThan">
      <formula>0.05</formula>
    </cfRule>
  </conditionalFormatting>
  <conditionalFormatting sqref="R1020 T1020 V1020 Y1020">
    <cfRule type="cellIs" dxfId="727" priority="721" operator="between">
      <formula>-0.05</formula>
      <formula>0.05</formula>
    </cfRule>
    <cfRule type="containsText" dxfId="726" priority="722" operator="containsText" text="NA">
      <formula>NOT(ISERROR(SEARCH("NA",R1020)))</formula>
    </cfRule>
    <cfRule type="cellIs" dxfId="725" priority="723" operator="lessThan">
      <formula>-0.05</formula>
    </cfRule>
    <cfRule type="cellIs" dxfId="724" priority="724" operator="greaterThan">
      <formula>0.05</formula>
    </cfRule>
  </conditionalFormatting>
  <conditionalFormatting sqref="R1021 T1021 V1021 Y1021">
    <cfRule type="cellIs" dxfId="723" priority="717" operator="between">
      <formula>-0.05</formula>
      <formula>0.05</formula>
    </cfRule>
    <cfRule type="containsText" dxfId="722" priority="718" operator="containsText" text="NA">
      <formula>NOT(ISERROR(SEARCH("NA",R1021)))</formula>
    </cfRule>
    <cfRule type="cellIs" dxfId="721" priority="719" operator="lessThan">
      <formula>-0.05</formula>
    </cfRule>
    <cfRule type="cellIs" dxfId="720" priority="720" operator="greaterThan">
      <formula>0.05</formula>
    </cfRule>
  </conditionalFormatting>
  <conditionalFormatting sqref="R1022 T1022 V1022 Y1022">
    <cfRule type="cellIs" dxfId="719" priority="713" operator="between">
      <formula>-0.05</formula>
      <formula>0.05</formula>
    </cfRule>
    <cfRule type="containsText" dxfId="718" priority="714" operator="containsText" text="NA">
      <formula>NOT(ISERROR(SEARCH("NA",R1022)))</formula>
    </cfRule>
    <cfRule type="cellIs" dxfId="717" priority="715" operator="lessThan">
      <formula>-0.05</formula>
    </cfRule>
    <cfRule type="cellIs" dxfId="716" priority="716" operator="greaterThan">
      <formula>0.05</formula>
    </cfRule>
  </conditionalFormatting>
  <conditionalFormatting sqref="R1023 T1023 V1023 Y1023">
    <cfRule type="cellIs" dxfId="715" priority="709" operator="between">
      <formula>-0.05</formula>
      <formula>0.05</formula>
    </cfRule>
    <cfRule type="containsText" dxfId="714" priority="710" operator="containsText" text="NA">
      <formula>NOT(ISERROR(SEARCH("NA",R1023)))</formula>
    </cfRule>
    <cfRule type="cellIs" dxfId="713" priority="711" operator="lessThan">
      <formula>-0.05</formula>
    </cfRule>
    <cfRule type="cellIs" dxfId="712" priority="712" operator="greaterThan">
      <formula>0.05</formula>
    </cfRule>
  </conditionalFormatting>
  <conditionalFormatting sqref="R1024 T1024 V1024 Y1024">
    <cfRule type="cellIs" dxfId="711" priority="705" operator="between">
      <formula>-0.05</formula>
      <formula>0.05</formula>
    </cfRule>
    <cfRule type="containsText" dxfId="710" priority="706" operator="containsText" text="NA">
      <formula>NOT(ISERROR(SEARCH("NA",R1024)))</formula>
    </cfRule>
    <cfRule type="cellIs" dxfId="709" priority="707" operator="lessThan">
      <formula>-0.05</formula>
    </cfRule>
    <cfRule type="cellIs" dxfId="708" priority="708" operator="greaterThan">
      <formula>0.05</formula>
    </cfRule>
  </conditionalFormatting>
  <conditionalFormatting sqref="R1025 T1025 V1025 Y1025">
    <cfRule type="cellIs" dxfId="707" priority="701" operator="between">
      <formula>-0.05</formula>
      <formula>0.05</formula>
    </cfRule>
    <cfRule type="containsText" dxfId="706" priority="702" operator="containsText" text="NA">
      <formula>NOT(ISERROR(SEARCH("NA",R1025)))</formula>
    </cfRule>
    <cfRule type="cellIs" dxfId="705" priority="703" operator="lessThan">
      <formula>-0.05</formula>
    </cfRule>
    <cfRule type="cellIs" dxfId="704" priority="704" operator="greaterThan">
      <formula>0.05</formula>
    </cfRule>
  </conditionalFormatting>
  <conditionalFormatting sqref="R1026 T1026 V1026 Y1026">
    <cfRule type="cellIs" dxfId="703" priority="697" operator="between">
      <formula>-0.05</formula>
      <formula>0.05</formula>
    </cfRule>
    <cfRule type="containsText" dxfId="702" priority="698" operator="containsText" text="NA">
      <formula>NOT(ISERROR(SEARCH("NA",R1026)))</formula>
    </cfRule>
    <cfRule type="cellIs" dxfId="701" priority="699" operator="lessThan">
      <formula>-0.05</formula>
    </cfRule>
    <cfRule type="cellIs" dxfId="700" priority="700" operator="greaterThan">
      <formula>0.05</formula>
    </cfRule>
  </conditionalFormatting>
  <conditionalFormatting sqref="R1027 T1027 V1027 Y1027">
    <cfRule type="cellIs" dxfId="699" priority="693" operator="between">
      <formula>-0.05</formula>
      <formula>0.05</formula>
    </cfRule>
    <cfRule type="containsText" dxfId="698" priority="694" operator="containsText" text="NA">
      <formula>NOT(ISERROR(SEARCH("NA",R1027)))</formula>
    </cfRule>
    <cfRule type="cellIs" dxfId="697" priority="695" operator="lessThan">
      <formula>-0.05</formula>
    </cfRule>
    <cfRule type="cellIs" dxfId="696" priority="696" operator="greaterThan">
      <formula>0.05</formula>
    </cfRule>
  </conditionalFormatting>
  <conditionalFormatting sqref="R1028 T1028 V1028 Y1028">
    <cfRule type="cellIs" dxfId="695" priority="689" operator="between">
      <formula>-0.05</formula>
      <formula>0.05</formula>
    </cfRule>
    <cfRule type="containsText" dxfId="694" priority="690" operator="containsText" text="NA">
      <formula>NOT(ISERROR(SEARCH("NA",R1028)))</formula>
    </cfRule>
    <cfRule type="cellIs" dxfId="693" priority="691" operator="lessThan">
      <formula>-0.05</formula>
    </cfRule>
    <cfRule type="cellIs" dxfId="692" priority="692" operator="greaterThan">
      <formula>0.05</formula>
    </cfRule>
  </conditionalFormatting>
  <conditionalFormatting sqref="R1029 T1029 V1029 Y1029">
    <cfRule type="cellIs" dxfId="691" priority="685" operator="between">
      <formula>-0.05</formula>
      <formula>0.05</formula>
    </cfRule>
    <cfRule type="containsText" dxfId="690" priority="686" operator="containsText" text="NA">
      <formula>NOT(ISERROR(SEARCH("NA",R1029)))</formula>
    </cfRule>
    <cfRule type="cellIs" dxfId="689" priority="687" operator="lessThan">
      <formula>-0.05</formula>
    </cfRule>
    <cfRule type="cellIs" dxfId="688" priority="688" operator="greaterThan">
      <formula>0.05</formula>
    </cfRule>
  </conditionalFormatting>
  <conditionalFormatting sqref="R1030 T1030 V1030 Y1030">
    <cfRule type="cellIs" dxfId="687" priority="681" operator="between">
      <formula>-0.05</formula>
      <formula>0.05</formula>
    </cfRule>
    <cfRule type="containsText" dxfId="686" priority="682" operator="containsText" text="NA">
      <formula>NOT(ISERROR(SEARCH("NA",R1030)))</formula>
    </cfRule>
    <cfRule type="cellIs" dxfId="685" priority="683" operator="lessThan">
      <formula>-0.05</formula>
    </cfRule>
    <cfRule type="cellIs" dxfId="684" priority="684" operator="greaterThan">
      <formula>0.05</formula>
    </cfRule>
  </conditionalFormatting>
  <conditionalFormatting sqref="R1031 T1031 V1031 Y1031">
    <cfRule type="cellIs" dxfId="683" priority="677" operator="between">
      <formula>-0.05</formula>
      <formula>0.05</formula>
    </cfRule>
    <cfRule type="containsText" dxfId="682" priority="678" operator="containsText" text="NA">
      <formula>NOT(ISERROR(SEARCH("NA",R1031)))</formula>
    </cfRule>
    <cfRule type="cellIs" dxfId="681" priority="679" operator="lessThan">
      <formula>-0.05</formula>
    </cfRule>
    <cfRule type="cellIs" dxfId="680" priority="680" operator="greaterThan">
      <formula>0.05</formula>
    </cfRule>
  </conditionalFormatting>
  <conditionalFormatting sqref="R1032 T1032 V1032 Y1032">
    <cfRule type="cellIs" dxfId="679" priority="673" operator="between">
      <formula>-0.05</formula>
      <formula>0.05</formula>
    </cfRule>
    <cfRule type="containsText" dxfId="678" priority="674" operator="containsText" text="NA">
      <formula>NOT(ISERROR(SEARCH("NA",R1032)))</formula>
    </cfRule>
    <cfRule type="cellIs" dxfId="677" priority="675" operator="lessThan">
      <formula>-0.05</formula>
    </cfRule>
    <cfRule type="cellIs" dxfId="676" priority="676" operator="greaterThan">
      <formula>0.05</formula>
    </cfRule>
  </conditionalFormatting>
  <conditionalFormatting sqref="R1033 T1033 V1033 Y1033">
    <cfRule type="cellIs" dxfId="675" priority="669" operator="between">
      <formula>-0.05</formula>
      <formula>0.05</formula>
    </cfRule>
    <cfRule type="containsText" dxfId="674" priority="670" operator="containsText" text="NA">
      <formula>NOT(ISERROR(SEARCH("NA",R1033)))</formula>
    </cfRule>
    <cfRule type="cellIs" dxfId="673" priority="671" operator="lessThan">
      <formula>-0.05</formula>
    </cfRule>
    <cfRule type="cellIs" dxfId="672" priority="672" operator="greaterThan">
      <formula>0.05</formula>
    </cfRule>
  </conditionalFormatting>
  <conditionalFormatting sqref="R1034 T1034 V1034 Y1034">
    <cfRule type="cellIs" dxfId="671" priority="665" operator="between">
      <formula>-0.05</formula>
      <formula>0.05</formula>
    </cfRule>
    <cfRule type="containsText" dxfId="670" priority="666" operator="containsText" text="NA">
      <formula>NOT(ISERROR(SEARCH("NA",R1034)))</formula>
    </cfRule>
    <cfRule type="cellIs" dxfId="669" priority="667" operator="lessThan">
      <formula>-0.05</formula>
    </cfRule>
    <cfRule type="cellIs" dxfId="668" priority="668" operator="greaterThan">
      <formula>0.05</formula>
    </cfRule>
  </conditionalFormatting>
  <conditionalFormatting sqref="R1035 T1035 V1035 Y1035">
    <cfRule type="cellIs" dxfId="667" priority="661" operator="between">
      <formula>-0.05</formula>
      <formula>0.05</formula>
    </cfRule>
    <cfRule type="containsText" dxfId="666" priority="662" operator="containsText" text="NA">
      <formula>NOT(ISERROR(SEARCH("NA",R1035)))</formula>
    </cfRule>
    <cfRule type="cellIs" dxfId="665" priority="663" operator="lessThan">
      <formula>-0.05</formula>
    </cfRule>
    <cfRule type="cellIs" dxfId="664" priority="664" operator="greaterThan">
      <formula>0.05</formula>
    </cfRule>
  </conditionalFormatting>
  <conditionalFormatting sqref="R1036 T1036 V1036 Y1036">
    <cfRule type="cellIs" dxfId="663" priority="657" operator="between">
      <formula>-0.05</formula>
      <formula>0.05</formula>
    </cfRule>
    <cfRule type="containsText" dxfId="662" priority="658" operator="containsText" text="NA">
      <formula>NOT(ISERROR(SEARCH("NA",R1036)))</formula>
    </cfRule>
    <cfRule type="cellIs" dxfId="661" priority="659" operator="lessThan">
      <formula>-0.05</formula>
    </cfRule>
    <cfRule type="cellIs" dxfId="660" priority="660" operator="greaterThan">
      <formula>0.05</formula>
    </cfRule>
  </conditionalFormatting>
  <conditionalFormatting sqref="R1037 T1037 V1037 Y1037">
    <cfRule type="cellIs" dxfId="659" priority="653" operator="between">
      <formula>-0.05</formula>
      <formula>0.05</formula>
    </cfRule>
    <cfRule type="containsText" dxfId="658" priority="654" operator="containsText" text="NA">
      <formula>NOT(ISERROR(SEARCH("NA",R1037)))</formula>
    </cfRule>
    <cfRule type="cellIs" dxfId="657" priority="655" operator="lessThan">
      <formula>-0.05</formula>
    </cfRule>
    <cfRule type="cellIs" dxfId="656" priority="656" operator="greaterThan">
      <formula>0.05</formula>
    </cfRule>
  </conditionalFormatting>
  <conditionalFormatting sqref="R1038 T1038 V1038 Y1038">
    <cfRule type="cellIs" dxfId="655" priority="649" operator="between">
      <formula>-0.05</formula>
      <formula>0.05</formula>
    </cfRule>
    <cfRule type="containsText" dxfId="654" priority="650" operator="containsText" text="NA">
      <formula>NOT(ISERROR(SEARCH("NA",R1038)))</formula>
    </cfRule>
    <cfRule type="cellIs" dxfId="653" priority="651" operator="lessThan">
      <formula>-0.05</formula>
    </cfRule>
    <cfRule type="cellIs" dxfId="652" priority="652" operator="greaterThan">
      <formula>0.05</formula>
    </cfRule>
  </conditionalFormatting>
  <conditionalFormatting sqref="R1039 T1039 V1039 Y1039">
    <cfRule type="cellIs" dxfId="651" priority="645" operator="between">
      <formula>-0.05</formula>
      <formula>0.05</formula>
    </cfRule>
    <cfRule type="containsText" dxfId="650" priority="646" operator="containsText" text="NA">
      <formula>NOT(ISERROR(SEARCH("NA",R1039)))</formula>
    </cfRule>
    <cfRule type="cellIs" dxfId="649" priority="647" operator="lessThan">
      <formula>-0.05</formula>
    </cfRule>
    <cfRule type="cellIs" dxfId="648" priority="648" operator="greaterThan">
      <formula>0.05</formula>
    </cfRule>
  </conditionalFormatting>
  <conditionalFormatting sqref="R1040 T1040 V1040 Y1040">
    <cfRule type="cellIs" dxfId="647" priority="641" operator="between">
      <formula>-0.05</formula>
      <formula>0.05</formula>
    </cfRule>
    <cfRule type="containsText" dxfId="646" priority="642" operator="containsText" text="NA">
      <formula>NOT(ISERROR(SEARCH("NA",R1040)))</formula>
    </cfRule>
    <cfRule type="cellIs" dxfId="645" priority="643" operator="lessThan">
      <formula>-0.05</formula>
    </cfRule>
    <cfRule type="cellIs" dxfId="644" priority="644" operator="greaterThan">
      <formula>0.05</formula>
    </cfRule>
  </conditionalFormatting>
  <conditionalFormatting sqref="R1041 T1041 V1041 Y1041">
    <cfRule type="cellIs" dxfId="643" priority="637" operator="between">
      <formula>-0.05</formula>
      <formula>0.05</formula>
    </cfRule>
    <cfRule type="containsText" dxfId="642" priority="638" operator="containsText" text="NA">
      <formula>NOT(ISERROR(SEARCH("NA",R1041)))</formula>
    </cfRule>
    <cfRule type="cellIs" dxfId="641" priority="639" operator="lessThan">
      <formula>-0.05</formula>
    </cfRule>
    <cfRule type="cellIs" dxfId="640" priority="640" operator="greaterThan">
      <formula>0.05</formula>
    </cfRule>
  </conditionalFormatting>
  <conditionalFormatting sqref="R1042 T1042 V1042 Y1042">
    <cfRule type="cellIs" dxfId="639" priority="633" operator="between">
      <formula>-0.05</formula>
      <formula>0.05</formula>
    </cfRule>
    <cfRule type="containsText" dxfId="638" priority="634" operator="containsText" text="NA">
      <formula>NOT(ISERROR(SEARCH("NA",R1042)))</formula>
    </cfRule>
    <cfRule type="cellIs" dxfId="637" priority="635" operator="lessThan">
      <formula>-0.05</formula>
    </cfRule>
    <cfRule type="cellIs" dxfId="636" priority="636" operator="greaterThan">
      <formula>0.05</formula>
    </cfRule>
  </conditionalFormatting>
  <conditionalFormatting sqref="R1043 T1043 V1043 Y1043">
    <cfRule type="cellIs" dxfId="635" priority="629" operator="between">
      <formula>-0.05</formula>
      <formula>0.05</formula>
    </cfRule>
    <cfRule type="containsText" dxfId="634" priority="630" operator="containsText" text="NA">
      <formula>NOT(ISERROR(SEARCH("NA",R1043)))</formula>
    </cfRule>
    <cfRule type="cellIs" dxfId="633" priority="631" operator="lessThan">
      <formula>-0.05</formula>
    </cfRule>
    <cfRule type="cellIs" dxfId="632" priority="632" operator="greaterThan">
      <formula>0.05</formula>
    </cfRule>
  </conditionalFormatting>
  <conditionalFormatting sqref="R1044 T1044 V1044 Y1044">
    <cfRule type="cellIs" dxfId="631" priority="625" operator="between">
      <formula>-0.05</formula>
      <formula>0.05</formula>
    </cfRule>
    <cfRule type="containsText" dxfId="630" priority="626" operator="containsText" text="NA">
      <formula>NOT(ISERROR(SEARCH("NA",R1044)))</formula>
    </cfRule>
    <cfRule type="cellIs" dxfId="629" priority="627" operator="lessThan">
      <formula>-0.05</formula>
    </cfRule>
    <cfRule type="cellIs" dxfId="628" priority="628" operator="greaterThan">
      <formula>0.05</formula>
    </cfRule>
  </conditionalFormatting>
  <conditionalFormatting sqref="R1045 T1045 V1045 Y1045">
    <cfRule type="cellIs" dxfId="627" priority="621" operator="between">
      <formula>-0.05</formula>
      <formula>0.05</formula>
    </cfRule>
    <cfRule type="containsText" dxfId="626" priority="622" operator="containsText" text="NA">
      <formula>NOT(ISERROR(SEARCH("NA",R1045)))</formula>
    </cfRule>
    <cfRule type="cellIs" dxfId="625" priority="623" operator="lessThan">
      <formula>-0.05</formula>
    </cfRule>
    <cfRule type="cellIs" dxfId="624" priority="624" operator="greaterThan">
      <formula>0.05</formula>
    </cfRule>
  </conditionalFormatting>
  <conditionalFormatting sqref="R1046 T1046 V1046 Y1046">
    <cfRule type="cellIs" dxfId="623" priority="617" operator="between">
      <formula>-0.05</formula>
      <formula>0.05</formula>
    </cfRule>
    <cfRule type="containsText" dxfId="622" priority="618" operator="containsText" text="NA">
      <formula>NOT(ISERROR(SEARCH("NA",R1046)))</formula>
    </cfRule>
    <cfRule type="cellIs" dxfId="621" priority="619" operator="lessThan">
      <formula>-0.05</formula>
    </cfRule>
    <cfRule type="cellIs" dxfId="620" priority="620" operator="greaterThan">
      <formula>0.05</formula>
    </cfRule>
  </conditionalFormatting>
  <conditionalFormatting sqref="R1047 T1047 V1047 Y1047">
    <cfRule type="cellIs" dxfId="619" priority="613" operator="between">
      <formula>-0.05</formula>
      <formula>0.05</formula>
    </cfRule>
    <cfRule type="containsText" dxfId="618" priority="614" operator="containsText" text="NA">
      <formula>NOT(ISERROR(SEARCH("NA",R1047)))</formula>
    </cfRule>
    <cfRule type="cellIs" dxfId="617" priority="615" operator="lessThan">
      <formula>-0.05</formula>
    </cfRule>
    <cfRule type="cellIs" dxfId="616" priority="616" operator="greaterThan">
      <formula>0.05</formula>
    </cfRule>
  </conditionalFormatting>
  <conditionalFormatting sqref="R1048 T1048 V1048 Y1048">
    <cfRule type="cellIs" dxfId="615" priority="609" operator="between">
      <formula>-0.05</formula>
      <formula>0.05</formula>
    </cfRule>
    <cfRule type="containsText" dxfId="614" priority="610" operator="containsText" text="NA">
      <formula>NOT(ISERROR(SEARCH("NA",R1048)))</formula>
    </cfRule>
    <cfRule type="cellIs" dxfId="613" priority="611" operator="lessThan">
      <formula>-0.05</formula>
    </cfRule>
    <cfRule type="cellIs" dxfId="612" priority="612" operator="greaterThan">
      <formula>0.05</formula>
    </cfRule>
  </conditionalFormatting>
  <conditionalFormatting sqref="R1049 T1049 V1049 Y1049">
    <cfRule type="cellIs" dxfId="611" priority="605" operator="between">
      <formula>-0.05</formula>
      <formula>0.05</formula>
    </cfRule>
    <cfRule type="containsText" dxfId="610" priority="606" operator="containsText" text="NA">
      <formula>NOT(ISERROR(SEARCH("NA",R1049)))</formula>
    </cfRule>
    <cfRule type="cellIs" dxfId="609" priority="607" operator="lessThan">
      <formula>-0.05</formula>
    </cfRule>
    <cfRule type="cellIs" dxfId="608" priority="608" operator="greaterThan">
      <formula>0.05</formula>
    </cfRule>
  </conditionalFormatting>
  <conditionalFormatting sqref="R1050 T1050 V1050 Y1050">
    <cfRule type="cellIs" dxfId="607" priority="601" operator="between">
      <formula>-0.05</formula>
      <formula>0.05</formula>
    </cfRule>
    <cfRule type="containsText" dxfId="606" priority="602" operator="containsText" text="NA">
      <formula>NOT(ISERROR(SEARCH("NA",R1050)))</formula>
    </cfRule>
    <cfRule type="cellIs" dxfId="605" priority="603" operator="lessThan">
      <formula>-0.05</formula>
    </cfRule>
    <cfRule type="cellIs" dxfId="604" priority="604" operator="greaterThan">
      <formula>0.05</formula>
    </cfRule>
  </conditionalFormatting>
  <conditionalFormatting sqref="R1051 T1051 V1051 Y1051">
    <cfRule type="cellIs" dxfId="603" priority="597" operator="between">
      <formula>-0.05</formula>
      <formula>0.05</formula>
    </cfRule>
    <cfRule type="containsText" dxfId="602" priority="598" operator="containsText" text="NA">
      <formula>NOT(ISERROR(SEARCH("NA",R1051)))</formula>
    </cfRule>
    <cfRule type="cellIs" dxfId="601" priority="599" operator="lessThan">
      <formula>-0.05</formula>
    </cfRule>
    <cfRule type="cellIs" dxfId="600" priority="600" operator="greaterThan">
      <formula>0.05</formula>
    </cfRule>
  </conditionalFormatting>
  <conditionalFormatting sqref="R1052 T1052 V1052 Y1052">
    <cfRule type="cellIs" dxfId="599" priority="593" operator="between">
      <formula>-0.05</formula>
      <formula>0.05</formula>
    </cfRule>
    <cfRule type="containsText" dxfId="598" priority="594" operator="containsText" text="NA">
      <formula>NOT(ISERROR(SEARCH("NA",R1052)))</formula>
    </cfRule>
    <cfRule type="cellIs" dxfId="597" priority="595" operator="lessThan">
      <formula>-0.05</formula>
    </cfRule>
    <cfRule type="cellIs" dxfId="596" priority="596" operator="greaterThan">
      <formula>0.05</formula>
    </cfRule>
  </conditionalFormatting>
  <conditionalFormatting sqref="R1053 T1053 V1053 Y1053">
    <cfRule type="cellIs" dxfId="595" priority="589" operator="between">
      <formula>-0.05</formula>
      <formula>0.05</formula>
    </cfRule>
    <cfRule type="containsText" dxfId="594" priority="590" operator="containsText" text="NA">
      <formula>NOT(ISERROR(SEARCH("NA",R1053)))</formula>
    </cfRule>
    <cfRule type="cellIs" dxfId="593" priority="591" operator="lessThan">
      <formula>-0.05</formula>
    </cfRule>
    <cfRule type="cellIs" dxfId="592" priority="592" operator="greaterThan">
      <formula>0.05</formula>
    </cfRule>
  </conditionalFormatting>
  <conditionalFormatting sqref="R1054 T1054 V1054 Y1054">
    <cfRule type="cellIs" dxfId="591" priority="585" operator="between">
      <formula>-0.05</formula>
      <formula>0.05</formula>
    </cfRule>
    <cfRule type="containsText" dxfId="590" priority="586" operator="containsText" text="NA">
      <formula>NOT(ISERROR(SEARCH("NA",R1054)))</formula>
    </cfRule>
    <cfRule type="cellIs" dxfId="589" priority="587" operator="lessThan">
      <formula>-0.05</formula>
    </cfRule>
    <cfRule type="cellIs" dxfId="588" priority="588" operator="greaterThan">
      <formula>0.05</formula>
    </cfRule>
  </conditionalFormatting>
  <conditionalFormatting sqref="R1055 T1055 V1055 Y1055">
    <cfRule type="cellIs" dxfId="587" priority="581" operator="between">
      <formula>-0.05</formula>
      <formula>0.05</formula>
    </cfRule>
    <cfRule type="containsText" dxfId="586" priority="582" operator="containsText" text="NA">
      <formula>NOT(ISERROR(SEARCH("NA",R1055)))</formula>
    </cfRule>
    <cfRule type="cellIs" dxfId="585" priority="583" operator="lessThan">
      <formula>-0.05</formula>
    </cfRule>
    <cfRule type="cellIs" dxfId="584" priority="584" operator="greaterThan">
      <formula>0.05</formula>
    </cfRule>
  </conditionalFormatting>
  <conditionalFormatting sqref="R1056 T1056 V1056 Y1056">
    <cfRule type="cellIs" dxfId="583" priority="577" operator="between">
      <formula>-0.05</formula>
      <formula>0.05</formula>
    </cfRule>
    <cfRule type="containsText" dxfId="582" priority="578" operator="containsText" text="NA">
      <formula>NOT(ISERROR(SEARCH("NA",R1056)))</formula>
    </cfRule>
    <cfRule type="cellIs" dxfId="581" priority="579" operator="lessThan">
      <formula>-0.05</formula>
    </cfRule>
    <cfRule type="cellIs" dxfId="580" priority="580" operator="greaterThan">
      <formula>0.05</formula>
    </cfRule>
  </conditionalFormatting>
  <conditionalFormatting sqref="R1057 T1057 V1057 Y1057">
    <cfRule type="cellIs" dxfId="579" priority="573" operator="between">
      <formula>-0.05</formula>
      <formula>0.05</formula>
    </cfRule>
    <cfRule type="containsText" dxfId="578" priority="574" operator="containsText" text="NA">
      <formula>NOT(ISERROR(SEARCH("NA",R1057)))</formula>
    </cfRule>
    <cfRule type="cellIs" dxfId="577" priority="575" operator="lessThan">
      <formula>-0.05</formula>
    </cfRule>
    <cfRule type="cellIs" dxfId="576" priority="576" operator="greaterThan">
      <formula>0.05</formula>
    </cfRule>
  </conditionalFormatting>
  <conditionalFormatting sqref="R1058 T1058 V1058 Y1058">
    <cfRule type="cellIs" dxfId="575" priority="569" operator="between">
      <formula>-0.05</formula>
      <formula>0.05</formula>
    </cfRule>
    <cfRule type="containsText" dxfId="574" priority="570" operator="containsText" text="NA">
      <formula>NOT(ISERROR(SEARCH("NA",R1058)))</formula>
    </cfRule>
    <cfRule type="cellIs" dxfId="573" priority="571" operator="lessThan">
      <formula>-0.05</formula>
    </cfRule>
    <cfRule type="cellIs" dxfId="572" priority="572" operator="greaterThan">
      <formula>0.05</formula>
    </cfRule>
  </conditionalFormatting>
  <conditionalFormatting sqref="R1059 T1059 V1059 Y1059">
    <cfRule type="cellIs" dxfId="571" priority="565" operator="between">
      <formula>-0.05</formula>
      <formula>0.05</formula>
    </cfRule>
    <cfRule type="containsText" dxfId="570" priority="566" operator="containsText" text="NA">
      <formula>NOT(ISERROR(SEARCH("NA",R1059)))</formula>
    </cfRule>
    <cfRule type="cellIs" dxfId="569" priority="567" operator="lessThan">
      <formula>-0.05</formula>
    </cfRule>
    <cfRule type="cellIs" dxfId="568" priority="568" operator="greaterThan">
      <formula>0.05</formula>
    </cfRule>
  </conditionalFormatting>
  <conditionalFormatting sqref="R1060 T1060 V1060 Y1060">
    <cfRule type="cellIs" dxfId="567" priority="561" operator="between">
      <formula>-0.05</formula>
      <formula>0.05</formula>
    </cfRule>
    <cfRule type="containsText" dxfId="566" priority="562" operator="containsText" text="NA">
      <formula>NOT(ISERROR(SEARCH("NA",R1060)))</formula>
    </cfRule>
    <cfRule type="cellIs" dxfId="565" priority="563" operator="lessThan">
      <formula>-0.05</formula>
    </cfRule>
    <cfRule type="cellIs" dxfId="564" priority="564" operator="greaterThan">
      <formula>0.05</formula>
    </cfRule>
  </conditionalFormatting>
  <conditionalFormatting sqref="R1061 T1061 V1061 Y1061">
    <cfRule type="cellIs" dxfId="563" priority="557" operator="between">
      <formula>-0.05</formula>
      <formula>0.05</formula>
    </cfRule>
    <cfRule type="containsText" dxfId="562" priority="558" operator="containsText" text="NA">
      <formula>NOT(ISERROR(SEARCH("NA",R1061)))</formula>
    </cfRule>
    <cfRule type="cellIs" dxfId="561" priority="559" operator="lessThan">
      <formula>-0.05</formula>
    </cfRule>
    <cfRule type="cellIs" dxfId="560" priority="560" operator="greaterThan">
      <formula>0.05</formula>
    </cfRule>
  </conditionalFormatting>
  <conditionalFormatting sqref="R1062 T1062 V1062 Y1062">
    <cfRule type="cellIs" dxfId="559" priority="553" operator="between">
      <formula>-0.05</formula>
      <formula>0.05</formula>
    </cfRule>
    <cfRule type="containsText" dxfId="558" priority="554" operator="containsText" text="NA">
      <formula>NOT(ISERROR(SEARCH("NA",R1062)))</formula>
    </cfRule>
    <cfRule type="cellIs" dxfId="557" priority="555" operator="lessThan">
      <formula>-0.05</formula>
    </cfRule>
    <cfRule type="cellIs" dxfId="556" priority="556" operator="greaterThan">
      <formula>0.05</formula>
    </cfRule>
  </conditionalFormatting>
  <conditionalFormatting sqref="R1063 T1063 V1063 Y1063">
    <cfRule type="cellIs" dxfId="555" priority="549" operator="between">
      <formula>-0.05</formula>
      <formula>0.05</formula>
    </cfRule>
    <cfRule type="containsText" dxfId="554" priority="550" operator="containsText" text="NA">
      <formula>NOT(ISERROR(SEARCH("NA",R1063)))</formula>
    </cfRule>
    <cfRule type="cellIs" dxfId="553" priority="551" operator="lessThan">
      <formula>-0.05</formula>
    </cfRule>
    <cfRule type="cellIs" dxfId="552" priority="552" operator="greaterThan">
      <formula>0.05</formula>
    </cfRule>
  </conditionalFormatting>
  <conditionalFormatting sqref="R1064 T1064 V1064 Y1064">
    <cfRule type="cellIs" dxfId="551" priority="545" operator="between">
      <formula>-0.05</formula>
      <formula>0.05</formula>
    </cfRule>
    <cfRule type="containsText" dxfId="550" priority="546" operator="containsText" text="NA">
      <formula>NOT(ISERROR(SEARCH("NA",R1064)))</formula>
    </cfRule>
    <cfRule type="cellIs" dxfId="549" priority="547" operator="lessThan">
      <formula>-0.05</formula>
    </cfRule>
    <cfRule type="cellIs" dxfId="548" priority="548" operator="greaterThan">
      <formula>0.05</formula>
    </cfRule>
  </conditionalFormatting>
  <conditionalFormatting sqref="R1065 T1065 V1065 Y1065">
    <cfRule type="cellIs" dxfId="547" priority="541" operator="between">
      <formula>-0.05</formula>
      <formula>0.05</formula>
    </cfRule>
    <cfRule type="containsText" dxfId="546" priority="542" operator="containsText" text="NA">
      <formula>NOT(ISERROR(SEARCH("NA",R1065)))</formula>
    </cfRule>
    <cfRule type="cellIs" dxfId="545" priority="543" operator="lessThan">
      <formula>-0.05</formula>
    </cfRule>
    <cfRule type="cellIs" dxfId="544" priority="544" operator="greaterThan">
      <formula>0.05</formula>
    </cfRule>
  </conditionalFormatting>
  <conditionalFormatting sqref="R1066 T1066 V1066 Y1066">
    <cfRule type="cellIs" dxfId="543" priority="537" operator="between">
      <formula>-0.05</formula>
      <formula>0.05</formula>
    </cfRule>
    <cfRule type="containsText" dxfId="542" priority="538" operator="containsText" text="NA">
      <formula>NOT(ISERROR(SEARCH("NA",R1066)))</formula>
    </cfRule>
    <cfRule type="cellIs" dxfId="541" priority="539" operator="lessThan">
      <formula>-0.05</formula>
    </cfRule>
    <cfRule type="cellIs" dxfId="540" priority="540" operator="greaterThan">
      <formula>0.05</formula>
    </cfRule>
  </conditionalFormatting>
  <conditionalFormatting sqref="R1067 T1067 V1067 Y1067">
    <cfRule type="cellIs" dxfId="539" priority="533" operator="between">
      <formula>-0.05</formula>
      <formula>0.05</formula>
    </cfRule>
    <cfRule type="containsText" dxfId="538" priority="534" operator="containsText" text="NA">
      <formula>NOT(ISERROR(SEARCH("NA",R1067)))</formula>
    </cfRule>
    <cfRule type="cellIs" dxfId="537" priority="535" operator="lessThan">
      <formula>-0.05</formula>
    </cfRule>
    <cfRule type="cellIs" dxfId="536" priority="536" operator="greaterThan">
      <formula>0.05</formula>
    </cfRule>
  </conditionalFormatting>
  <conditionalFormatting sqref="R1068 T1068 V1068 Y1068">
    <cfRule type="cellIs" dxfId="535" priority="529" operator="between">
      <formula>-0.05</formula>
      <formula>0.05</formula>
    </cfRule>
    <cfRule type="containsText" dxfId="534" priority="530" operator="containsText" text="NA">
      <formula>NOT(ISERROR(SEARCH("NA",R1068)))</formula>
    </cfRule>
    <cfRule type="cellIs" dxfId="533" priority="531" operator="lessThan">
      <formula>-0.05</formula>
    </cfRule>
    <cfRule type="cellIs" dxfId="532" priority="532" operator="greaterThan">
      <formula>0.05</formula>
    </cfRule>
  </conditionalFormatting>
  <conditionalFormatting sqref="R1069 T1069 V1069 Y1069">
    <cfRule type="cellIs" dxfId="531" priority="525" operator="between">
      <formula>-0.05</formula>
      <formula>0.05</formula>
    </cfRule>
    <cfRule type="containsText" dxfId="530" priority="526" operator="containsText" text="NA">
      <formula>NOT(ISERROR(SEARCH("NA",R1069)))</formula>
    </cfRule>
    <cfRule type="cellIs" dxfId="529" priority="527" operator="lessThan">
      <formula>-0.05</formula>
    </cfRule>
    <cfRule type="cellIs" dxfId="528" priority="528" operator="greaterThan">
      <formula>0.05</formula>
    </cfRule>
  </conditionalFormatting>
  <conditionalFormatting sqref="R1070 T1070 V1070 Y1070">
    <cfRule type="cellIs" dxfId="527" priority="521" operator="between">
      <formula>-0.05</formula>
      <formula>0.05</formula>
    </cfRule>
    <cfRule type="containsText" dxfId="526" priority="522" operator="containsText" text="NA">
      <formula>NOT(ISERROR(SEARCH("NA",R1070)))</formula>
    </cfRule>
    <cfRule type="cellIs" dxfId="525" priority="523" operator="lessThan">
      <formula>-0.05</formula>
    </cfRule>
    <cfRule type="cellIs" dxfId="524" priority="524" operator="greaterThan">
      <formula>0.05</formula>
    </cfRule>
  </conditionalFormatting>
  <conditionalFormatting sqref="R1071 T1071 V1071 Y1071">
    <cfRule type="cellIs" dxfId="523" priority="517" operator="between">
      <formula>-0.05</formula>
      <formula>0.05</formula>
    </cfRule>
    <cfRule type="containsText" dxfId="522" priority="518" operator="containsText" text="NA">
      <formula>NOT(ISERROR(SEARCH("NA",R1071)))</formula>
    </cfRule>
    <cfRule type="cellIs" dxfId="521" priority="519" operator="lessThan">
      <formula>-0.05</formula>
    </cfRule>
    <cfRule type="cellIs" dxfId="520" priority="520" operator="greaterThan">
      <formula>0.05</formula>
    </cfRule>
  </conditionalFormatting>
  <conditionalFormatting sqref="R1072 T1072 V1072 Y1072">
    <cfRule type="cellIs" dxfId="519" priority="513" operator="between">
      <formula>-0.05</formula>
      <formula>0.05</formula>
    </cfRule>
    <cfRule type="containsText" dxfId="518" priority="514" operator="containsText" text="NA">
      <formula>NOT(ISERROR(SEARCH("NA",R1072)))</formula>
    </cfRule>
    <cfRule type="cellIs" dxfId="517" priority="515" operator="lessThan">
      <formula>-0.05</formula>
    </cfRule>
    <cfRule type="cellIs" dxfId="516" priority="516" operator="greaterThan">
      <formula>0.05</formula>
    </cfRule>
  </conditionalFormatting>
  <conditionalFormatting sqref="R1073 T1073 V1073 Y1073">
    <cfRule type="cellIs" dxfId="515" priority="509" operator="between">
      <formula>-0.05</formula>
      <formula>0.05</formula>
    </cfRule>
    <cfRule type="containsText" dxfId="514" priority="510" operator="containsText" text="NA">
      <formula>NOT(ISERROR(SEARCH("NA",R1073)))</formula>
    </cfRule>
    <cfRule type="cellIs" dxfId="513" priority="511" operator="lessThan">
      <formula>-0.05</formula>
    </cfRule>
    <cfRule type="cellIs" dxfId="512" priority="512" operator="greaterThan">
      <formula>0.05</formula>
    </cfRule>
  </conditionalFormatting>
  <conditionalFormatting sqref="R1074 T1074 V1074 Y1074">
    <cfRule type="cellIs" dxfId="511" priority="505" operator="between">
      <formula>-0.05</formula>
      <formula>0.05</formula>
    </cfRule>
    <cfRule type="containsText" dxfId="510" priority="506" operator="containsText" text="NA">
      <formula>NOT(ISERROR(SEARCH("NA",R1074)))</formula>
    </cfRule>
    <cfRule type="cellIs" dxfId="509" priority="507" operator="lessThan">
      <formula>-0.05</formula>
    </cfRule>
    <cfRule type="cellIs" dxfId="508" priority="508" operator="greaterThan">
      <formula>0.05</formula>
    </cfRule>
  </conditionalFormatting>
  <conditionalFormatting sqref="R1075 T1075 V1075 Y1075">
    <cfRule type="cellIs" dxfId="507" priority="501" operator="between">
      <formula>-0.05</formula>
      <formula>0.05</formula>
    </cfRule>
    <cfRule type="containsText" dxfId="506" priority="502" operator="containsText" text="NA">
      <formula>NOT(ISERROR(SEARCH("NA",R1075)))</formula>
    </cfRule>
    <cfRule type="cellIs" dxfId="505" priority="503" operator="lessThan">
      <formula>-0.05</formula>
    </cfRule>
    <cfRule type="cellIs" dxfId="504" priority="504" operator="greaterThan">
      <formula>0.05</formula>
    </cfRule>
  </conditionalFormatting>
  <conditionalFormatting sqref="R1076 T1076 V1076 Y1076">
    <cfRule type="cellIs" dxfId="503" priority="497" operator="between">
      <formula>-0.05</formula>
      <formula>0.05</formula>
    </cfRule>
    <cfRule type="containsText" dxfId="502" priority="498" operator="containsText" text="NA">
      <formula>NOT(ISERROR(SEARCH("NA",R1076)))</formula>
    </cfRule>
    <cfRule type="cellIs" dxfId="501" priority="499" operator="lessThan">
      <formula>-0.05</formula>
    </cfRule>
    <cfRule type="cellIs" dxfId="500" priority="500" operator="greaterThan">
      <formula>0.05</formula>
    </cfRule>
  </conditionalFormatting>
  <conditionalFormatting sqref="R1077 T1077 V1077 Y1077">
    <cfRule type="cellIs" dxfId="499" priority="493" operator="between">
      <formula>-0.05</formula>
      <formula>0.05</formula>
    </cfRule>
    <cfRule type="containsText" dxfId="498" priority="494" operator="containsText" text="NA">
      <formula>NOT(ISERROR(SEARCH("NA",R1077)))</formula>
    </cfRule>
    <cfRule type="cellIs" dxfId="497" priority="495" operator="lessThan">
      <formula>-0.05</formula>
    </cfRule>
    <cfRule type="cellIs" dxfId="496" priority="496" operator="greaterThan">
      <formula>0.05</formula>
    </cfRule>
  </conditionalFormatting>
  <conditionalFormatting sqref="R1078 T1078 V1078 Y1078">
    <cfRule type="cellIs" dxfId="495" priority="489" operator="between">
      <formula>-0.05</formula>
      <formula>0.05</formula>
    </cfRule>
    <cfRule type="containsText" dxfId="494" priority="490" operator="containsText" text="NA">
      <formula>NOT(ISERROR(SEARCH("NA",R1078)))</formula>
    </cfRule>
    <cfRule type="cellIs" dxfId="493" priority="491" operator="lessThan">
      <formula>-0.05</formula>
    </cfRule>
    <cfRule type="cellIs" dxfId="492" priority="492" operator="greaterThan">
      <formula>0.05</formula>
    </cfRule>
  </conditionalFormatting>
  <conditionalFormatting sqref="R1079 T1079 V1079 Y1079">
    <cfRule type="cellIs" dxfId="491" priority="485" operator="between">
      <formula>-0.05</formula>
      <formula>0.05</formula>
    </cfRule>
    <cfRule type="containsText" dxfId="490" priority="486" operator="containsText" text="NA">
      <formula>NOT(ISERROR(SEARCH("NA",R1079)))</formula>
    </cfRule>
    <cfRule type="cellIs" dxfId="489" priority="487" operator="lessThan">
      <formula>-0.05</formula>
    </cfRule>
    <cfRule type="cellIs" dxfId="488" priority="488" operator="greaterThan">
      <formula>0.05</formula>
    </cfRule>
  </conditionalFormatting>
  <conditionalFormatting sqref="R1080 T1080 V1080 Y1080">
    <cfRule type="cellIs" dxfId="487" priority="481" operator="between">
      <formula>-0.05</formula>
      <formula>0.05</formula>
    </cfRule>
    <cfRule type="containsText" dxfId="486" priority="482" operator="containsText" text="NA">
      <formula>NOT(ISERROR(SEARCH("NA",R1080)))</formula>
    </cfRule>
    <cfRule type="cellIs" dxfId="485" priority="483" operator="lessThan">
      <formula>-0.05</formula>
    </cfRule>
    <cfRule type="cellIs" dxfId="484" priority="484" operator="greaterThan">
      <formula>0.05</formula>
    </cfRule>
  </conditionalFormatting>
  <conditionalFormatting sqref="R1081 T1081 V1081 Y1081">
    <cfRule type="cellIs" dxfId="483" priority="477" operator="between">
      <formula>-0.05</formula>
      <formula>0.05</formula>
    </cfRule>
    <cfRule type="containsText" dxfId="482" priority="478" operator="containsText" text="NA">
      <formula>NOT(ISERROR(SEARCH("NA",R1081)))</formula>
    </cfRule>
    <cfRule type="cellIs" dxfId="481" priority="479" operator="lessThan">
      <formula>-0.05</formula>
    </cfRule>
    <cfRule type="cellIs" dxfId="480" priority="480" operator="greaterThan">
      <formula>0.05</formula>
    </cfRule>
  </conditionalFormatting>
  <conditionalFormatting sqref="R1082 T1082 V1082 Y1082">
    <cfRule type="cellIs" dxfId="479" priority="473" operator="between">
      <formula>-0.05</formula>
      <formula>0.05</formula>
    </cfRule>
    <cfRule type="containsText" dxfId="478" priority="474" operator="containsText" text="NA">
      <formula>NOT(ISERROR(SEARCH("NA",R1082)))</formula>
    </cfRule>
    <cfRule type="cellIs" dxfId="477" priority="475" operator="lessThan">
      <formula>-0.05</formula>
    </cfRule>
    <cfRule type="cellIs" dxfId="476" priority="476" operator="greaterThan">
      <formula>0.05</formula>
    </cfRule>
  </conditionalFormatting>
  <conditionalFormatting sqref="R1083 T1083 V1083 Y1083">
    <cfRule type="cellIs" dxfId="475" priority="469" operator="between">
      <formula>-0.05</formula>
      <formula>0.05</formula>
    </cfRule>
    <cfRule type="containsText" dxfId="474" priority="470" operator="containsText" text="NA">
      <formula>NOT(ISERROR(SEARCH("NA",R1083)))</formula>
    </cfRule>
    <cfRule type="cellIs" dxfId="473" priority="471" operator="lessThan">
      <formula>-0.05</formula>
    </cfRule>
    <cfRule type="cellIs" dxfId="472" priority="472" operator="greaterThan">
      <formula>0.05</formula>
    </cfRule>
  </conditionalFormatting>
  <conditionalFormatting sqref="R1084 T1084 V1084 Y1084">
    <cfRule type="cellIs" dxfId="471" priority="465" operator="between">
      <formula>-0.05</formula>
      <formula>0.05</formula>
    </cfRule>
    <cfRule type="containsText" dxfId="470" priority="466" operator="containsText" text="NA">
      <formula>NOT(ISERROR(SEARCH("NA",R1084)))</formula>
    </cfRule>
    <cfRule type="cellIs" dxfId="469" priority="467" operator="lessThan">
      <formula>-0.05</formula>
    </cfRule>
    <cfRule type="cellIs" dxfId="468" priority="468" operator="greaterThan">
      <formula>0.05</formula>
    </cfRule>
  </conditionalFormatting>
  <conditionalFormatting sqref="R1085 T1085 V1085 Y1085">
    <cfRule type="cellIs" dxfId="467" priority="461" operator="between">
      <formula>-0.05</formula>
      <formula>0.05</formula>
    </cfRule>
    <cfRule type="containsText" dxfId="466" priority="462" operator="containsText" text="NA">
      <formula>NOT(ISERROR(SEARCH("NA",R1085)))</formula>
    </cfRule>
    <cfRule type="cellIs" dxfId="465" priority="463" operator="lessThan">
      <formula>-0.05</formula>
    </cfRule>
    <cfRule type="cellIs" dxfId="464" priority="464" operator="greaterThan">
      <formula>0.05</formula>
    </cfRule>
  </conditionalFormatting>
  <conditionalFormatting sqref="R1086 T1086 V1086 Y1086">
    <cfRule type="cellIs" dxfId="463" priority="457" operator="between">
      <formula>-0.05</formula>
      <formula>0.05</formula>
    </cfRule>
    <cfRule type="containsText" dxfId="462" priority="458" operator="containsText" text="NA">
      <formula>NOT(ISERROR(SEARCH("NA",R1086)))</formula>
    </cfRule>
    <cfRule type="cellIs" dxfId="461" priority="459" operator="lessThan">
      <formula>-0.05</formula>
    </cfRule>
    <cfRule type="cellIs" dxfId="460" priority="460" operator="greaterThan">
      <formula>0.05</formula>
    </cfRule>
  </conditionalFormatting>
  <conditionalFormatting sqref="R1087 T1087 V1087 Y1087">
    <cfRule type="cellIs" dxfId="459" priority="453" operator="between">
      <formula>-0.05</formula>
      <formula>0.05</formula>
    </cfRule>
    <cfRule type="containsText" dxfId="458" priority="454" operator="containsText" text="NA">
      <formula>NOT(ISERROR(SEARCH("NA",R1087)))</formula>
    </cfRule>
    <cfRule type="cellIs" dxfId="457" priority="455" operator="lessThan">
      <formula>-0.05</formula>
    </cfRule>
    <cfRule type="cellIs" dxfId="456" priority="456" operator="greaterThan">
      <formula>0.05</formula>
    </cfRule>
  </conditionalFormatting>
  <conditionalFormatting sqref="R1088 T1088 V1088 Y1088">
    <cfRule type="cellIs" dxfId="455" priority="449" operator="between">
      <formula>-0.05</formula>
      <formula>0.05</formula>
    </cfRule>
    <cfRule type="containsText" dxfId="454" priority="450" operator="containsText" text="NA">
      <formula>NOT(ISERROR(SEARCH("NA",R1088)))</formula>
    </cfRule>
    <cfRule type="cellIs" dxfId="453" priority="451" operator="lessThan">
      <formula>-0.05</formula>
    </cfRule>
    <cfRule type="cellIs" dxfId="452" priority="452" operator="greaterThan">
      <formula>0.05</formula>
    </cfRule>
  </conditionalFormatting>
  <conditionalFormatting sqref="R1089 T1089 V1089 Y1089">
    <cfRule type="cellIs" dxfId="451" priority="445" operator="between">
      <formula>-0.05</formula>
      <formula>0.05</formula>
    </cfRule>
    <cfRule type="containsText" dxfId="450" priority="446" operator="containsText" text="NA">
      <formula>NOT(ISERROR(SEARCH("NA",R1089)))</formula>
    </cfRule>
    <cfRule type="cellIs" dxfId="449" priority="447" operator="lessThan">
      <formula>-0.05</formula>
    </cfRule>
    <cfRule type="cellIs" dxfId="448" priority="448" operator="greaterThan">
      <formula>0.05</formula>
    </cfRule>
  </conditionalFormatting>
  <conditionalFormatting sqref="R1090 T1090 V1090 Y1090">
    <cfRule type="cellIs" dxfId="447" priority="441" operator="between">
      <formula>-0.05</formula>
      <formula>0.05</formula>
    </cfRule>
    <cfRule type="containsText" dxfId="446" priority="442" operator="containsText" text="NA">
      <formula>NOT(ISERROR(SEARCH("NA",R1090)))</formula>
    </cfRule>
    <cfRule type="cellIs" dxfId="445" priority="443" operator="lessThan">
      <formula>-0.05</formula>
    </cfRule>
    <cfRule type="cellIs" dxfId="444" priority="444" operator="greaterThan">
      <formula>0.05</formula>
    </cfRule>
  </conditionalFormatting>
  <conditionalFormatting sqref="R1091 T1091 V1091 Y1091">
    <cfRule type="cellIs" dxfId="443" priority="437" operator="between">
      <formula>-0.05</formula>
      <formula>0.05</formula>
    </cfRule>
    <cfRule type="containsText" dxfId="442" priority="438" operator="containsText" text="NA">
      <formula>NOT(ISERROR(SEARCH("NA",R1091)))</formula>
    </cfRule>
    <cfRule type="cellIs" dxfId="441" priority="439" operator="lessThan">
      <formula>-0.05</formula>
    </cfRule>
    <cfRule type="cellIs" dxfId="440" priority="440" operator="greaterThan">
      <formula>0.05</formula>
    </cfRule>
  </conditionalFormatting>
  <conditionalFormatting sqref="R1092 T1092 V1092 Y1092">
    <cfRule type="cellIs" dxfId="439" priority="433" operator="between">
      <formula>-0.05</formula>
      <formula>0.05</formula>
    </cfRule>
    <cfRule type="containsText" dxfId="438" priority="434" operator="containsText" text="NA">
      <formula>NOT(ISERROR(SEARCH("NA",R1092)))</formula>
    </cfRule>
    <cfRule type="cellIs" dxfId="437" priority="435" operator="lessThan">
      <formula>-0.05</formula>
    </cfRule>
    <cfRule type="cellIs" dxfId="436" priority="436" operator="greaterThan">
      <formula>0.05</formula>
    </cfRule>
  </conditionalFormatting>
  <conditionalFormatting sqref="R1093 T1093 V1093 Y1093">
    <cfRule type="cellIs" dxfId="435" priority="429" operator="between">
      <formula>-0.05</formula>
      <formula>0.05</formula>
    </cfRule>
    <cfRule type="containsText" dxfId="434" priority="430" operator="containsText" text="NA">
      <formula>NOT(ISERROR(SEARCH("NA",R1093)))</formula>
    </cfRule>
    <cfRule type="cellIs" dxfId="433" priority="431" operator="lessThan">
      <formula>-0.05</formula>
    </cfRule>
    <cfRule type="cellIs" dxfId="432" priority="432" operator="greaterThan">
      <formula>0.05</formula>
    </cfRule>
  </conditionalFormatting>
  <conditionalFormatting sqref="R1094 T1094 V1094 Y1094">
    <cfRule type="cellIs" dxfId="431" priority="425" operator="between">
      <formula>-0.05</formula>
      <formula>0.05</formula>
    </cfRule>
    <cfRule type="containsText" dxfId="430" priority="426" operator="containsText" text="NA">
      <formula>NOT(ISERROR(SEARCH("NA",R1094)))</formula>
    </cfRule>
    <cfRule type="cellIs" dxfId="429" priority="427" operator="lessThan">
      <formula>-0.05</formula>
    </cfRule>
    <cfRule type="cellIs" dxfId="428" priority="428" operator="greaterThan">
      <formula>0.05</formula>
    </cfRule>
  </conditionalFormatting>
  <conditionalFormatting sqref="R1095 T1095 V1095 Y1095">
    <cfRule type="cellIs" dxfId="427" priority="421" operator="between">
      <formula>-0.05</formula>
      <formula>0.05</formula>
    </cfRule>
    <cfRule type="containsText" dxfId="426" priority="422" operator="containsText" text="NA">
      <formula>NOT(ISERROR(SEARCH("NA",R1095)))</formula>
    </cfRule>
    <cfRule type="cellIs" dxfId="425" priority="423" operator="lessThan">
      <formula>-0.05</formula>
    </cfRule>
    <cfRule type="cellIs" dxfId="424" priority="424" operator="greaterThan">
      <formula>0.05</formula>
    </cfRule>
  </conditionalFormatting>
  <conditionalFormatting sqref="R1096 T1096 V1096 Y1096">
    <cfRule type="cellIs" dxfId="423" priority="417" operator="between">
      <formula>-0.05</formula>
      <formula>0.05</formula>
    </cfRule>
    <cfRule type="containsText" dxfId="422" priority="418" operator="containsText" text="NA">
      <formula>NOT(ISERROR(SEARCH("NA",R1096)))</formula>
    </cfRule>
    <cfRule type="cellIs" dxfId="421" priority="419" operator="lessThan">
      <formula>-0.05</formula>
    </cfRule>
    <cfRule type="cellIs" dxfId="420" priority="420" operator="greaterThan">
      <formula>0.05</formula>
    </cfRule>
  </conditionalFormatting>
  <conditionalFormatting sqref="R1097 T1097 V1097 Y1097">
    <cfRule type="cellIs" dxfId="419" priority="413" operator="between">
      <formula>-0.05</formula>
      <formula>0.05</formula>
    </cfRule>
    <cfRule type="containsText" dxfId="418" priority="414" operator="containsText" text="NA">
      <formula>NOT(ISERROR(SEARCH("NA",R1097)))</formula>
    </cfRule>
    <cfRule type="cellIs" dxfId="417" priority="415" operator="lessThan">
      <formula>-0.05</formula>
    </cfRule>
    <cfRule type="cellIs" dxfId="416" priority="416" operator="greaterThan">
      <formula>0.05</formula>
    </cfRule>
  </conditionalFormatting>
  <conditionalFormatting sqref="R1098 T1098 V1098 Y1098">
    <cfRule type="cellIs" dxfId="415" priority="409" operator="between">
      <formula>-0.05</formula>
      <formula>0.05</formula>
    </cfRule>
    <cfRule type="containsText" dxfId="414" priority="410" operator="containsText" text="NA">
      <formula>NOT(ISERROR(SEARCH("NA",R1098)))</formula>
    </cfRule>
    <cfRule type="cellIs" dxfId="413" priority="411" operator="lessThan">
      <formula>-0.05</formula>
    </cfRule>
    <cfRule type="cellIs" dxfId="412" priority="412" operator="greaterThan">
      <formula>0.05</formula>
    </cfRule>
  </conditionalFormatting>
  <conditionalFormatting sqref="R1099 T1099 V1099 Y1099">
    <cfRule type="cellIs" dxfId="411" priority="405" operator="between">
      <formula>-0.05</formula>
      <formula>0.05</formula>
    </cfRule>
    <cfRule type="containsText" dxfId="410" priority="406" operator="containsText" text="NA">
      <formula>NOT(ISERROR(SEARCH("NA",R1099)))</formula>
    </cfRule>
    <cfRule type="cellIs" dxfId="409" priority="407" operator="lessThan">
      <formula>-0.05</formula>
    </cfRule>
    <cfRule type="cellIs" dxfId="408" priority="408" operator="greaterThan">
      <formula>0.05</formula>
    </cfRule>
  </conditionalFormatting>
  <conditionalFormatting sqref="R1100 T1100 V1100 Y1100">
    <cfRule type="cellIs" dxfId="407" priority="401" operator="between">
      <formula>-0.05</formula>
      <formula>0.05</formula>
    </cfRule>
    <cfRule type="containsText" dxfId="406" priority="402" operator="containsText" text="NA">
      <formula>NOT(ISERROR(SEARCH("NA",R1100)))</formula>
    </cfRule>
    <cfRule type="cellIs" dxfId="405" priority="403" operator="lessThan">
      <formula>-0.05</formula>
    </cfRule>
    <cfRule type="cellIs" dxfId="404" priority="404" operator="greaterThan">
      <formula>0.05</formula>
    </cfRule>
  </conditionalFormatting>
  <conditionalFormatting sqref="R1101 T1101 V1101 Y1101">
    <cfRule type="cellIs" dxfId="403" priority="397" operator="between">
      <formula>-0.05</formula>
      <formula>0.05</formula>
    </cfRule>
    <cfRule type="containsText" dxfId="402" priority="398" operator="containsText" text="NA">
      <formula>NOT(ISERROR(SEARCH("NA",R1101)))</formula>
    </cfRule>
    <cfRule type="cellIs" dxfId="401" priority="399" operator="lessThan">
      <formula>-0.05</formula>
    </cfRule>
    <cfRule type="cellIs" dxfId="400" priority="400" operator="greaterThan">
      <formula>0.05</formula>
    </cfRule>
  </conditionalFormatting>
  <conditionalFormatting sqref="R1102 T1102 V1102 Y1102">
    <cfRule type="cellIs" dxfId="399" priority="393" operator="between">
      <formula>-0.05</formula>
      <formula>0.05</formula>
    </cfRule>
    <cfRule type="containsText" dxfId="398" priority="394" operator="containsText" text="NA">
      <formula>NOT(ISERROR(SEARCH("NA",R1102)))</formula>
    </cfRule>
    <cfRule type="cellIs" dxfId="397" priority="395" operator="lessThan">
      <formula>-0.05</formula>
    </cfRule>
    <cfRule type="cellIs" dxfId="396" priority="396" operator="greaterThan">
      <formula>0.05</formula>
    </cfRule>
  </conditionalFormatting>
  <conditionalFormatting sqref="R1103 T1103 V1103 Y1103">
    <cfRule type="cellIs" dxfId="395" priority="389" operator="between">
      <formula>-0.05</formula>
      <formula>0.05</formula>
    </cfRule>
    <cfRule type="containsText" dxfId="394" priority="390" operator="containsText" text="NA">
      <formula>NOT(ISERROR(SEARCH("NA",R1103)))</formula>
    </cfRule>
    <cfRule type="cellIs" dxfId="393" priority="391" operator="lessThan">
      <formula>-0.05</formula>
    </cfRule>
    <cfRule type="cellIs" dxfId="392" priority="392" operator="greaterThan">
      <formula>0.05</formula>
    </cfRule>
  </conditionalFormatting>
  <conditionalFormatting sqref="R1104 T1104 V1104 Y1104">
    <cfRule type="cellIs" dxfId="391" priority="385" operator="between">
      <formula>-0.05</formula>
      <formula>0.05</formula>
    </cfRule>
    <cfRule type="containsText" dxfId="390" priority="386" operator="containsText" text="NA">
      <formula>NOT(ISERROR(SEARCH("NA",R1104)))</formula>
    </cfRule>
    <cfRule type="cellIs" dxfId="389" priority="387" operator="lessThan">
      <formula>-0.05</formula>
    </cfRule>
    <cfRule type="cellIs" dxfId="388" priority="388" operator="greaterThan">
      <formula>0.05</formula>
    </cfRule>
  </conditionalFormatting>
  <conditionalFormatting sqref="R1105 T1105 V1105 Y1105">
    <cfRule type="cellIs" dxfId="387" priority="381" operator="between">
      <formula>-0.05</formula>
      <formula>0.05</formula>
    </cfRule>
    <cfRule type="containsText" dxfId="386" priority="382" operator="containsText" text="NA">
      <formula>NOT(ISERROR(SEARCH("NA",R1105)))</formula>
    </cfRule>
    <cfRule type="cellIs" dxfId="385" priority="383" operator="lessThan">
      <formula>-0.05</formula>
    </cfRule>
    <cfRule type="cellIs" dxfId="384" priority="384" operator="greaterThan">
      <formula>0.05</formula>
    </cfRule>
  </conditionalFormatting>
  <conditionalFormatting sqref="R1106 T1106 V1106 Y1106">
    <cfRule type="cellIs" dxfId="383" priority="377" operator="between">
      <formula>-0.05</formula>
      <formula>0.05</formula>
    </cfRule>
    <cfRule type="containsText" dxfId="382" priority="378" operator="containsText" text="NA">
      <formula>NOT(ISERROR(SEARCH("NA",R1106)))</formula>
    </cfRule>
    <cfRule type="cellIs" dxfId="381" priority="379" operator="lessThan">
      <formula>-0.05</formula>
    </cfRule>
    <cfRule type="cellIs" dxfId="380" priority="380" operator="greaterThan">
      <formula>0.05</formula>
    </cfRule>
  </conditionalFormatting>
  <conditionalFormatting sqref="R1107 T1107 V1107 Y1107">
    <cfRule type="cellIs" dxfId="379" priority="373" operator="between">
      <formula>-0.05</formula>
      <formula>0.05</formula>
    </cfRule>
    <cfRule type="containsText" dxfId="378" priority="374" operator="containsText" text="NA">
      <formula>NOT(ISERROR(SEARCH("NA",R1107)))</formula>
    </cfRule>
    <cfRule type="cellIs" dxfId="377" priority="375" operator="lessThan">
      <formula>-0.05</formula>
    </cfRule>
    <cfRule type="cellIs" dxfId="376" priority="376" operator="greaterThan">
      <formula>0.05</formula>
    </cfRule>
  </conditionalFormatting>
  <conditionalFormatting sqref="R1108 T1108 V1108 Y1108">
    <cfRule type="cellIs" dxfId="375" priority="369" operator="between">
      <formula>-0.05</formula>
      <formula>0.05</formula>
    </cfRule>
    <cfRule type="containsText" dxfId="374" priority="370" operator="containsText" text="NA">
      <formula>NOT(ISERROR(SEARCH("NA",R1108)))</formula>
    </cfRule>
    <cfRule type="cellIs" dxfId="373" priority="371" operator="lessThan">
      <formula>-0.05</formula>
    </cfRule>
    <cfRule type="cellIs" dxfId="372" priority="372" operator="greaterThan">
      <formula>0.05</formula>
    </cfRule>
  </conditionalFormatting>
  <conditionalFormatting sqref="R1109 T1109 V1109 Y1109">
    <cfRule type="cellIs" dxfId="371" priority="365" operator="between">
      <formula>-0.05</formula>
      <formula>0.05</formula>
    </cfRule>
    <cfRule type="containsText" dxfId="370" priority="366" operator="containsText" text="NA">
      <formula>NOT(ISERROR(SEARCH("NA",R1109)))</formula>
    </cfRule>
    <cfRule type="cellIs" dxfId="369" priority="367" operator="lessThan">
      <formula>-0.05</formula>
    </cfRule>
    <cfRule type="cellIs" dxfId="368" priority="368" operator="greaterThan">
      <formula>0.05</formula>
    </cfRule>
  </conditionalFormatting>
  <conditionalFormatting sqref="R1110 T1110 V1110 Y1110">
    <cfRule type="cellIs" dxfId="367" priority="361" operator="between">
      <formula>-0.05</formula>
      <formula>0.05</formula>
    </cfRule>
    <cfRule type="containsText" dxfId="366" priority="362" operator="containsText" text="NA">
      <formula>NOT(ISERROR(SEARCH("NA",R1110)))</formula>
    </cfRule>
    <cfRule type="cellIs" dxfId="365" priority="363" operator="lessThan">
      <formula>-0.05</formula>
    </cfRule>
    <cfRule type="cellIs" dxfId="364" priority="364" operator="greaterThan">
      <formula>0.05</formula>
    </cfRule>
  </conditionalFormatting>
  <conditionalFormatting sqref="R1111 T1111 V1111 Y1111">
    <cfRule type="cellIs" dxfId="363" priority="357" operator="between">
      <formula>-0.05</formula>
      <formula>0.05</formula>
    </cfRule>
    <cfRule type="containsText" dxfId="362" priority="358" operator="containsText" text="NA">
      <formula>NOT(ISERROR(SEARCH("NA",R1111)))</formula>
    </cfRule>
    <cfRule type="cellIs" dxfId="361" priority="359" operator="lessThan">
      <formula>-0.05</formula>
    </cfRule>
    <cfRule type="cellIs" dxfId="360" priority="360" operator="greaterThan">
      <formula>0.05</formula>
    </cfRule>
  </conditionalFormatting>
  <conditionalFormatting sqref="R1112 T1112 V1112 Y1112">
    <cfRule type="cellIs" dxfId="359" priority="353" operator="between">
      <formula>-0.05</formula>
      <formula>0.05</formula>
    </cfRule>
    <cfRule type="containsText" dxfId="358" priority="354" operator="containsText" text="NA">
      <formula>NOT(ISERROR(SEARCH("NA",R1112)))</formula>
    </cfRule>
    <cfRule type="cellIs" dxfId="357" priority="355" operator="lessThan">
      <formula>-0.05</formula>
    </cfRule>
    <cfRule type="cellIs" dxfId="356" priority="356" operator="greaterThan">
      <formula>0.05</formula>
    </cfRule>
  </conditionalFormatting>
  <conditionalFormatting sqref="R1113 T1113 V1113 Y1113">
    <cfRule type="cellIs" dxfId="355" priority="349" operator="between">
      <formula>-0.05</formula>
      <formula>0.05</formula>
    </cfRule>
    <cfRule type="containsText" dxfId="354" priority="350" operator="containsText" text="NA">
      <formula>NOT(ISERROR(SEARCH("NA",R1113)))</formula>
    </cfRule>
    <cfRule type="cellIs" dxfId="353" priority="351" operator="lessThan">
      <formula>-0.05</formula>
    </cfRule>
    <cfRule type="cellIs" dxfId="352" priority="352" operator="greaterThan">
      <formula>0.05</formula>
    </cfRule>
  </conditionalFormatting>
  <conditionalFormatting sqref="R1114 T1114 V1114 Y1114">
    <cfRule type="cellIs" dxfId="351" priority="345" operator="between">
      <formula>-0.05</formula>
      <formula>0.05</formula>
    </cfRule>
    <cfRule type="containsText" dxfId="350" priority="346" operator="containsText" text="NA">
      <formula>NOT(ISERROR(SEARCH("NA",R1114)))</formula>
    </cfRule>
    <cfRule type="cellIs" dxfId="349" priority="347" operator="lessThan">
      <formula>-0.05</formula>
    </cfRule>
    <cfRule type="cellIs" dxfId="348" priority="348" operator="greaterThan">
      <formula>0.05</formula>
    </cfRule>
  </conditionalFormatting>
  <conditionalFormatting sqref="R1115 T1115 V1115 Y1115">
    <cfRule type="cellIs" dxfId="347" priority="341" operator="between">
      <formula>-0.05</formula>
      <formula>0.05</formula>
    </cfRule>
    <cfRule type="containsText" dxfId="346" priority="342" operator="containsText" text="NA">
      <formula>NOT(ISERROR(SEARCH("NA",R1115)))</formula>
    </cfRule>
    <cfRule type="cellIs" dxfId="345" priority="343" operator="lessThan">
      <formula>-0.05</formula>
    </cfRule>
    <cfRule type="cellIs" dxfId="344" priority="344" operator="greaterThan">
      <formula>0.05</formula>
    </cfRule>
  </conditionalFormatting>
  <conditionalFormatting sqref="R1116 T1116 V1116 Y1116">
    <cfRule type="cellIs" dxfId="343" priority="337" operator="between">
      <formula>-0.05</formula>
      <formula>0.05</formula>
    </cfRule>
    <cfRule type="containsText" dxfId="342" priority="338" operator="containsText" text="NA">
      <formula>NOT(ISERROR(SEARCH("NA",R1116)))</formula>
    </cfRule>
    <cfRule type="cellIs" dxfId="341" priority="339" operator="lessThan">
      <formula>-0.05</formula>
    </cfRule>
    <cfRule type="cellIs" dxfId="340" priority="340" operator="greaterThan">
      <formula>0.05</formula>
    </cfRule>
  </conditionalFormatting>
  <conditionalFormatting sqref="R1117 T1117 V1117 Y1117">
    <cfRule type="cellIs" dxfId="339" priority="333" operator="between">
      <formula>-0.05</formula>
      <formula>0.05</formula>
    </cfRule>
    <cfRule type="containsText" dxfId="338" priority="334" operator="containsText" text="NA">
      <formula>NOT(ISERROR(SEARCH("NA",R1117)))</formula>
    </cfRule>
    <cfRule type="cellIs" dxfId="337" priority="335" operator="lessThan">
      <formula>-0.05</formula>
    </cfRule>
    <cfRule type="cellIs" dxfId="336" priority="336" operator="greaterThan">
      <formula>0.05</formula>
    </cfRule>
  </conditionalFormatting>
  <conditionalFormatting sqref="R1118 T1118 V1118 Y1118">
    <cfRule type="cellIs" dxfId="335" priority="329" operator="between">
      <formula>-0.05</formula>
      <formula>0.05</formula>
    </cfRule>
    <cfRule type="containsText" dxfId="334" priority="330" operator="containsText" text="NA">
      <formula>NOT(ISERROR(SEARCH("NA",R1118)))</formula>
    </cfRule>
    <cfRule type="cellIs" dxfId="333" priority="331" operator="lessThan">
      <formula>-0.05</formula>
    </cfRule>
    <cfRule type="cellIs" dxfId="332" priority="332" operator="greaterThan">
      <formula>0.05</formula>
    </cfRule>
  </conditionalFormatting>
  <conditionalFormatting sqref="R1119 T1119 V1119 Y1119">
    <cfRule type="cellIs" dxfId="331" priority="325" operator="between">
      <formula>-0.05</formula>
      <formula>0.05</formula>
    </cfRule>
    <cfRule type="containsText" dxfId="330" priority="326" operator="containsText" text="NA">
      <formula>NOT(ISERROR(SEARCH("NA",R1119)))</formula>
    </cfRule>
    <cfRule type="cellIs" dxfId="329" priority="327" operator="lessThan">
      <formula>-0.05</formula>
    </cfRule>
    <cfRule type="cellIs" dxfId="328" priority="328" operator="greaterThan">
      <formula>0.05</formula>
    </cfRule>
  </conditionalFormatting>
  <conditionalFormatting sqref="R1120 T1120 V1120 Y1120">
    <cfRule type="cellIs" dxfId="327" priority="321" operator="between">
      <formula>-0.05</formula>
      <formula>0.05</formula>
    </cfRule>
    <cfRule type="containsText" dxfId="326" priority="322" operator="containsText" text="NA">
      <formula>NOT(ISERROR(SEARCH("NA",R1120)))</formula>
    </cfRule>
    <cfRule type="cellIs" dxfId="325" priority="323" operator="lessThan">
      <formula>-0.05</formula>
    </cfRule>
    <cfRule type="cellIs" dxfId="324" priority="324" operator="greaterThan">
      <formula>0.05</formula>
    </cfRule>
  </conditionalFormatting>
  <conditionalFormatting sqref="R1121 T1121 V1121 Y1121">
    <cfRule type="cellIs" dxfId="323" priority="317" operator="between">
      <formula>-0.05</formula>
      <formula>0.05</formula>
    </cfRule>
    <cfRule type="containsText" dxfId="322" priority="318" operator="containsText" text="NA">
      <formula>NOT(ISERROR(SEARCH("NA",R1121)))</formula>
    </cfRule>
    <cfRule type="cellIs" dxfId="321" priority="319" operator="lessThan">
      <formula>-0.05</formula>
    </cfRule>
    <cfRule type="cellIs" dxfId="320" priority="320" operator="greaterThan">
      <formula>0.05</formula>
    </cfRule>
  </conditionalFormatting>
  <conditionalFormatting sqref="R1122 T1122 V1122 Y1122">
    <cfRule type="cellIs" dxfId="319" priority="313" operator="between">
      <formula>-0.05</formula>
      <formula>0.05</formula>
    </cfRule>
    <cfRule type="containsText" dxfId="318" priority="314" operator="containsText" text="NA">
      <formula>NOT(ISERROR(SEARCH("NA",R1122)))</formula>
    </cfRule>
    <cfRule type="cellIs" dxfId="317" priority="315" operator="lessThan">
      <formula>-0.05</formula>
    </cfRule>
    <cfRule type="cellIs" dxfId="316" priority="316" operator="greaterThan">
      <formula>0.05</formula>
    </cfRule>
  </conditionalFormatting>
  <conditionalFormatting sqref="R1123 T1123 V1123 Y1123">
    <cfRule type="cellIs" dxfId="315" priority="309" operator="between">
      <formula>-0.05</formula>
      <formula>0.05</formula>
    </cfRule>
    <cfRule type="containsText" dxfId="314" priority="310" operator="containsText" text="NA">
      <formula>NOT(ISERROR(SEARCH("NA",R1123)))</formula>
    </cfRule>
    <cfRule type="cellIs" dxfId="313" priority="311" operator="lessThan">
      <formula>-0.05</formula>
    </cfRule>
    <cfRule type="cellIs" dxfId="312" priority="312" operator="greaterThan">
      <formula>0.05</formula>
    </cfRule>
  </conditionalFormatting>
  <conditionalFormatting sqref="R1124 T1124 V1124 Y1124">
    <cfRule type="cellIs" dxfId="311" priority="305" operator="between">
      <formula>-0.05</formula>
      <formula>0.05</formula>
    </cfRule>
    <cfRule type="containsText" dxfId="310" priority="306" operator="containsText" text="NA">
      <formula>NOT(ISERROR(SEARCH("NA",R1124)))</formula>
    </cfRule>
    <cfRule type="cellIs" dxfId="309" priority="307" operator="lessThan">
      <formula>-0.05</formula>
    </cfRule>
    <cfRule type="cellIs" dxfId="308" priority="308" operator="greaterThan">
      <formula>0.05</formula>
    </cfRule>
  </conditionalFormatting>
  <conditionalFormatting sqref="R1125 T1125 V1125 Y1125">
    <cfRule type="cellIs" dxfId="307" priority="301" operator="between">
      <formula>-0.05</formula>
      <formula>0.05</formula>
    </cfRule>
    <cfRule type="containsText" dxfId="306" priority="302" operator="containsText" text="NA">
      <formula>NOT(ISERROR(SEARCH("NA",R1125)))</formula>
    </cfRule>
    <cfRule type="cellIs" dxfId="305" priority="303" operator="lessThan">
      <formula>-0.05</formula>
    </cfRule>
    <cfRule type="cellIs" dxfId="304" priority="304" operator="greaterThan">
      <formula>0.05</formula>
    </cfRule>
  </conditionalFormatting>
  <conditionalFormatting sqref="R1126 T1126 V1126 Y1126">
    <cfRule type="cellIs" dxfId="303" priority="297" operator="between">
      <formula>-0.05</formula>
      <formula>0.05</formula>
    </cfRule>
    <cfRule type="containsText" dxfId="302" priority="298" operator="containsText" text="NA">
      <formula>NOT(ISERROR(SEARCH("NA",R1126)))</formula>
    </cfRule>
    <cfRule type="cellIs" dxfId="301" priority="299" operator="lessThan">
      <formula>-0.05</formula>
    </cfRule>
    <cfRule type="cellIs" dxfId="300" priority="300" operator="greaterThan">
      <formula>0.05</formula>
    </cfRule>
  </conditionalFormatting>
  <conditionalFormatting sqref="R1127 T1127 V1127 Y1127">
    <cfRule type="cellIs" dxfId="299" priority="293" operator="between">
      <formula>-0.05</formula>
      <formula>0.05</formula>
    </cfRule>
    <cfRule type="containsText" dxfId="298" priority="294" operator="containsText" text="NA">
      <formula>NOT(ISERROR(SEARCH("NA",R1127)))</formula>
    </cfRule>
    <cfRule type="cellIs" dxfId="297" priority="295" operator="lessThan">
      <formula>-0.05</formula>
    </cfRule>
    <cfRule type="cellIs" dxfId="296" priority="296" operator="greaterThan">
      <formula>0.05</formula>
    </cfRule>
  </conditionalFormatting>
  <conditionalFormatting sqref="R1128 T1128 V1128 Y1128">
    <cfRule type="cellIs" dxfId="295" priority="289" operator="between">
      <formula>-0.05</formula>
      <formula>0.05</formula>
    </cfRule>
    <cfRule type="containsText" dxfId="294" priority="290" operator="containsText" text="NA">
      <formula>NOT(ISERROR(SEARCH("NA",R1128)))</formula>
    </cfRule>
    <cfRule type="cellIs" dxfId="293" priority="291" operator="lessThan">
      <formula>-0.05</formula>
    </cfRule>
    <cfRule type="cellIs" dxfId="292" priority="292" operator="greaterThan">
      <formula>0.05</formula>
    </cfRule>
  </conditionalFormatting>
  <conditionalFormatting sqref="R1129 T1129 V1129 Y1129">
    <cfRule type="cellIs" dxfId="291" priority="285" operator="between">
      <formula>-0.05</formula>
      <formula>0.05</formula>
    </cfRule>
    <cfRule type="containsText" dxfId="290" priority="286" operator="containsText" text="NA">
      <formula>NOT(ISERROR(SEARCH("NA",R1129)))</formula>
    </cfRule>
    <cfRule type="cellIs" dxfId="289" priority="287" operator="lessThan">
      <formula>-0.05</formula>
    </cfRule>
    <cfRule type="cellIs" dxfId="288" priority="288" operator="greaterThan">
      <formula>0.05</formula>
    </cfRule>
  </conditionalFormatting>
  <conditionalFormatting sqref="R1130 T1130 V1130 Y1130">
    <cfRule type="cellIs" dxfId="287" priority="281" operator="between">
      <formula>-0.05</formula>
      <formula>0.05</formula>
    </cfRule>
    <cfRule type="containsText" dxfId="286" priority="282" operator="containsText" text="NA">
      <formula>NOT(ISERROR(SEARCH("NA",R1130)))</formula>
    </cfRule>
    <cfRule type="cellIs" dxfId="285" priority="283" operator="lessThan">
      <formula>-0.05</formula>
    </cfRule>
    <cfRule type="cellIs" dxfId="284" priority="284" operator="greaterThan">
      <formula>0.05</formula>
    </cfRule>
  </conditionalFormatting>
  <conditionalFormatting sqref="R1131 T1131 V1131 Y1131">
    <cfRule type="cellIs" dxfId="283" priority="277" operator="between">
      <formula>-0.05</formula>
      <formula>0.05</formula>
    </cfRule>
    <cfRule type="containsText" dxfId="282" priority="278" operator="containsText" text="NA">
      <formula>NOT(ISERROR(SEARCH("NA",R1131)))</formula>
    </cfRule>
    <cfRule type="cellIs" dxfId="281" priority="279" operator="lessThan">
      <formula>-0.05</formula>
    </cfRule>
    <cfRule type="cellIs" dxfId="280" priority="280" operator="greaterThan">
      <formula>0.05</formula>
    </cfRule>
  </conditionalFormatting>
  <conditionalFormatting sqref="R1132 T1132 V1132 Y1132">
    <cfRule type="cellIs" dxfId="279" priority="273" operator="between">
      <formula>-0.05</formula>
      <formula>0.05</formula>
    </cfRule>
    <cfRule type="containsText" dxfId="278" priority="274" operator="containsText" text="NA">
      <formula>NOT(ISERROR(SEARCH("NA",R1132)))</formula>
    </cfRule>
    <cfRule type="cellIs" dxfId="277" priority="275" operator="lessThan">
      <formula>-0.05</formula>
    </cfRule>
    <cfRule type="cellIs" dxfId="276" priority="276" operator="greaterThan">
      <formula>0.05</formula>
    </cfRule>
  </conditionalFormatting>
  <conditionalFormatting sqref="R1133 T1133 V1133 Y1133">
    <cfRule type="cellIs" dxfId="275" priority="269" operator="between">
      <formula>-0.05</formula>
      <formula>0.05</formula>
    </cfRule>
    <cfRule type="containsText" dxfId="274" priority="270" operator="containsText" text="NA">
      <formula>NOT(ISERROR(SEARCH("NA",R1133)))</formula>
    </cfRule>
    <cfRule type="cellIs" dxfId="273" priority="271" operator="lessThan">
      <formula>-0.05</formula>
    </cfRule>
    <cfRule type="cellIs" dxfId="272" priority="272" operator="greaterThan">
      <formula>0.05</formula>
    </cfRule>
  </conditionalFormatting>
  <conditionalFormatting sqref="R1134 T1134 V1134 Y1134">
    <cfRule type="cellIs" dxfId="271" priority="265" operator="between">
      <formula>-0.05</formula>
      <formula>0.05</formula>
    </cfRule>
    <cfRule type="containsText" dxfId="270" priority="266" operator="containsText" text="NA">
      <formula>NOT(ISERROR(SEARCH("NA",R1134)))</formula>
    </cfRule>
    <cfRule type="cellIs" dxfId="269" priority="267" operator="lessThan">
      <formula>-0.05</formula>
    </cfRule>
    <cfRule type="cellIs" dxfId="268" priority="268" operator="greaterThan">
      <formula>0.05</formula>
    </cfRule>
  </conditionalFormatting>
  <conditionalFormatting sqref="R1135 T1135 V1135 Y1135">
    <cfRule type="cellIs" dxfId="267" priority="261" operator="between">
      <formula>-0.05</formula>
      <formula>0.05</formula>
    </cfRule>
    <cfRule type="containsText" dxfId="266" priority="262" operator="containsText" text="NA">
      <formula>NOT(ISERROR(SEARCH("NA",R1135)))</formula>
    </cfRule>
    <cfRule type="cellIs" dxfId="265" priority="263" operator="lessThan">
      <formula>-0.05</formula>
    </cfRule>
    <cfRule type="cellIs" dxfId="264" priority="264" operator="greaterThan">
      <formula>0.05</formula>
    </cfRule>
  </conditionalFormatting>
  <conditionalFormatting sqref="R1136 T1136 V1136 Y1136">
    <cfRule type="cellIs" dxfId="263" priority="257" operator="between">
      <formula>-0.05</formula>
      <formula>0.05</formula>
    </cfRule>
    <cfRule type="containsText" dxfId="262" priority="258" operator="containsText" text="NA">
      <formula>NOT(ISERROR(SEARCH("NA",R1136)))</formula>
    </cfRule>
    <cfRule type="cellIs" dxfId="261" priority="259" operator="lessThan">
      <formula>-0.05</formula>
    </cfRule>
    <cfRule type="cellIs" dxfId="260" priority="260" operator="greaterThan">
      <formula>0.05</formula>
    </cfRule>
  </conditionalFormatting>
  <conditionalFormatting sqref="R1137 T1137 V1137 Y1137">
    <cfRule type="cellIs" dxfId="259" priority="253" operator="between">
      <formula>-0.05</formula>
      <formula>0.05</formula>
    </cfRule>
    <cfRule type="containsText" dxfId="258" priority="254" operator="containsText" text="NA">
      <formula>NOT(ISERROR(SEARCH("NA",R1137)))</formula>
    </cfRule>
    <cfRule type="cellIs" dxfId="257" priority="255" operator="lessThan">
      <formula>-0.05</formula>
    </cfRule>
    <cfRule type="cellIs" dxfId="256" priority="256" operator="greaterThan">
      <formula>0.05</formula>
    </cfRule>
  </conditionalFormatting>
  <conditionalFormatting sqref="R1138 T1138 V1138 Y1138">
    <cfRule type="cellIs" dxfId="255" priority="249" operator="between">
      <formula>-0.05</formula>
      <formula>0.05</formula>
    </cfRule>
    <cfRule type="containsText" dxfId="254" priority="250" operator="containsText" text="NA">
      <formula>NOT(ISERROR(SEARCH("NA",R1138)))</formula>
    </cfRule>
    <cfRule type="cellIs" dxfId="253" priority="251" operator="lessThan">
      <formula>-0.05</formula>
    </cfRule>
    <cfRule type="cellIs" dxfId="252" priority="252" operator="greaterThan">
      <formula>0.05</formula>
    </cfRule>
  </conditionalFormatting>
  <conditionalFormatting sqref="R1139 T1139 V1139 Y1139">
    <cfRule type="cellIs" dxfId="251" priority="245" operator="between">
      <formula>-0.05</formula>
      <formula>0.05</formula>
    </cfRule>
    <cfRule type="containsText" dxfId="250" priority="246" operator="containsText" text="NA">
      <formula>NOT(ISERROR(SEARCH("NA",R1139)))</formula>
    </cfRule>
    <cfRule type="cellIs" dxfId="249" priority="247" operator="lessThan">
      <formula>-0.05</formula>
    </cfRule>
    <cfRule type="cellIs" dxfId="248" priority="248" operator="greaterThan">
      <formula>0.05</formula>
    </cfRule>
  </conditionalFormatting>
  <conditionalFormatting sqref="R1140 T1140 V1140 Y1140">
    <cfRule type="cellIs" dxfId="247" priority="241" operator="between">
      <formula>-0.05</formula>
      <formula>0.05</formula>
    </cfRule>
    <cfRule type="containsText" dxfId="246" priority="242" operator="containsText" text="NA">
      <formula>NOT(ISERROR(SEARCH("NA",R1140)))</formula>
    </cfRule>
    <cfRule type="cellIs" dxfId="245" priority="243" operator="lessThan">
      <formula>-0.05</formula>
    </cfRule>
    <cfRule type="cellIs" dxfId="244" priority="244" operator="greaterThan">
      <formula>0.05</formula>
    </cfRule>
  </conditionalFormatting>
  <conditionalFormatting sqref="R1141 T1141 V1141 Y1141">
    <cfRule type="cellIs" dxfId="243" priority="237" operator="between">
      <formula>-0.05</formula>
      <formula>0.05</formula>
    </cfRule>
    <cfRule type="containsText" dxfId="242" priority="238" operator="containsText" text="NA">
      <formula>NOT(ISERROR(SEARCH("NA",R1141)))</formula>
    </cfRule>
    <cfRule type="cellIs" dxfId="241" priority="239" operator="lessThan">
      <formula>-0.05</formula>
    </cfRule>
    <cfRule type="cellIs" dxfId="240" priority="240" operator="greaterThan">
      <formula>0.05</formula>
    </cfRule>
  </conditionalFormatting>
  <conditionalFormatting sqref="R1142 T1142 V1142 Y1142">
    <cfRule type="cellIs" dxfId="239" priority="233" operator="between">
      <formula>-0.05</formula>
      <formula>0.05</formula>
    </cfRule>
    <cfRule type="containsText" dxfId="238" priority="234" operator="containsText" text="NA">
      <formula>NOT(ISERROR(SEARCH("NA",R1142)))</formula>
    </cfRule>
    <cfRule type="cellIs" dxfId="237" priority="235" operator="lessThan">
      <formula>-0.05</formula>
    </cfRule>
    <cfRule type="cellIs" dxfId="236" priority="236" operator="greaterThan">
      <formula>0.05</formula>
    </cfRule>
  </conditionalFormatting>
  <conditionalFormatting sqref="R1143 T1143 V1143 Y1143">
    <cfRule type="cellIs" dxfId="235" priority="229" operator="between">
      <formula>-0.05</formula>
      <formula>0.05</formula>
    </cfRule>
    <cfRule type="containsText" dxfId="234" priority="230" operator="containsText" text="NA">
      <formula>NOT(ISERROR(SEARCH("NA",R1143)))</formula>
    </cfRule>
    <cfRule type="cellIs" dxfId="233" priority="231" operator="lessThan">
      <formula>-0.05</formula>
    </cfRule>
    <cfRule type="cellIs" dxfId="232" priority="232" operator="greaterThan">
      <formula>0.05</formula>
    </cfRule>
  </conditionalFormatting>
  <conditionalFormatting sqref="R1144 T1144 V1144 Y1144">
    <cfRule type="cellIs" dxfId="231" priority="225" operator="between">
      <formula>-0.05</formula>
      <formula>0.05</formula>
    </cfRule>
    <cfRule type="containsText" dxfId="230" priority="226" operator="containsText" text="NA">
      <formula>NOT(ISERROR(SEARCH("NA",R1144)))</formula>
    </cfRule>
    <cfRule type="cellIs" dxfId="229" priority="227" operator="lessThan">
      <formula>-0.05</formula>
    </cfRule>
    <cfRule type="cellIs" dxfId="228" priority="228" operator="greaterThan">
      <formula>0.05</formula>
    </cfRule>
  </conditionalFormatting>
  <conditionalFormatting sqref="R1145 T1145 V1145 Y1145">
    <cfRule type="cellIs" dxfId="227" priority="221" operator="between">
      <formula>-0.05</formula>
      <formula>0.05</formula>
    </cfRule>
    <cfRule type="containsText" dxfId="226" priority="222" operator="containsText" text="NA">
      <formula>NOT(ISERROR(SEARCH("NA",R1145)))</formula>
    </cfRule>
    <cfRule type="cellIs" dxfId="225" priority="223" operator="lessThan">
      <formula>-0.05</formula>
    </cfRule>
    <cfRule type="cellIs" dxfId="224" priority="224" operator="greaterThan">
      <formula>0.05</formula>
    </cfRule>
  </conditionalFormatting>
  <conditionalFormatting sqref="R1146 T1146 V1146 Y1146">
    <cfRule type="cellIs" dxfId="223" priority="217" operator="between">
      <formula>-0.05</formula>
      <formula>0.05</formula>
    </cfRule>
    <cfRule type="containsText" dxfId="222" priority="218" operator="containsText" text="NA">
      <formula>NOT(ISERROR(SEARCH("NA",R1146)))</formula>
    </cfRule>
    <cfRule type="cellIs" dxfId="221" priority="219" operator="lessThan">
      <formula>-0.05</formula>
    </cfRule>
    <cfRule type="cellIs" dxfId="220" priority="220" operator="greaterThan">
      <formula>0.05</formula>
    </cfRule>
  </conditionalFormatting>
  <conditionalFormatting sqref="R1147 T1147 V1147 Y1147">
    <cfRule type="cellIs" dxfId="219" priority="213" operator="between">
      <formula>-0.05</formula>
      <formula>0.05</formula>
    </cfRule>
    <cfRule type="containsText" dxfId="218" priority="214" operator="containsText" text="NA">
      <formula>NOT(ISERROR(SEARCH("NA",R1147)))</formula>
    </cfRule>
    <cfRule type="cellIs" dxfId="217" priority="215" operator="lessThan">
      <formula>-0.05</formula>
    </cfRule>
    <cfRule type="cellIs" dxfId="216" priority="216" operator="greaterThan">
      <formula>0.05</formula>
    </cfRule>
  </conditionalFormatting>
  <conditionalFormatting sqref="R1148 T1148 V1148 Y1148">
    <cfRule type="cellIs" dxfId="215" priority="209" operator="between">
      <formula>-0.05</formula>
      <formula>0.05</formula>
    </cfRule>
    <cfRule type="containsText" dxfId="214" priority="210" operator="containsText" text="NA">
      <formula>NOT(ISERROR(SEARCH("NA",R1148)))</formula>
    </cfRule>
    <cfRule type="cellIs" dxfId="213" priority="211" operator="lessThan">
      <formula>-0.05</formula>
    </cfRule>
    <cfRule type="cellIs" dxfId="212" priority="212" operator="greaterThan">
      <formula>0.05</formula>
    </cfRule>
  </conditionalFormatting>
  <conditionalFormatting sqref="R1149 T1149 V1149 Y1149">
    <cfRule type="cellIs" dxfId="211" priority="205" operator="between">
      <formula>-0.05</formula>
      <formula>0.05</formula>
    </cfRule>
    <cfRule type="containsText" dxfId="210" priority="206" operator="containsText" text="NA">
      <formula>NOT(ISERROR(SEARCH("NA",R1149)))</formula>
    </cfRule>
    <cfRule type="cellIs" dxfId="209" priority="207" operator="lessThan">
      <formula>-0.05</formula>
    </cfRule>
    <cfRule type="cellIs" dxfId="208" priority="208" operator="greaterThan">
      <formula>0.05</formula>
    </cfRule>
  </conditionalFormatting>
  <conditionalFormatting sqref="R1150 T1150 V1150 Y1150">
    <cfRule type="cellIs" dxfId="207" priority="201" operator="between">
      <formula>-0.05</formula>
      <formula>0.05</formula>
    </cfRule>
    <cfRule type="containsText" dxfId="206" priority="202" operator="containsText" text="NA">
      <formula>NOT(ISERROR(SEARCH("NA",R1150)))</formula>
    </cfRule>
    <cfRule type="cellIs" dxfId="205" priority="203" operator="lessThan">
      <formula>-0.05</formula>
    </cfRule>
    <cfRule type="cellIs" dxfId="204" priority="204" operator="greaterThan">
      <formula>0.05</formula>
    </cfRule>
  </conditionalFormatting>
  <conditionalFormatting sqref="R1151 T1151 V1151 Y1151">
    <cfRule type="cellIs" dxfId="203" priority="197" operator="between">
      <formula>-0.05</formula>
      <formula>0.05</formula>
    </cfRule>
    <cfRule type="containsText" dxfId="202" priority="198" operator="containsText" text="NA">
      <formula>NOT(ISERROR(SEARCH("NA",R1151)))</formula>
    </cfRule>
    <cfRule type="cellIs" dxfId="201" priority="199" operator="lessThan">
      <formula>-0.05</formula>
    </cfRule>
    <cfRule type="cellIs" dxfId="200" priority="200" operator="greaterThan">
      <formula>0.05</formula>
    </cfRule>
  </conditionalFormatting>
  <conditionalFormatting sqref="R1152 T1152 V1152 Y1152">
    <cfRule type="cellIs" dxfId="199" priority="193" operator="between">
      <formula>-0.05</formula>
      <formula>0.05</formula>
    </cfRule>
    <cfRule type="containsText" dxfId="198" priority="194" operator="containsText" text="NA">
      <formula>NOT(ISERROR(SEARCH("NA",R1152)))</formula>
    </cfRule>
    <cfRule type="cellIs" dxfId="197" priority="195" operator="lessThan">
      <formula>-0.05</formula>
    </cfRule>
    <cfRule type="cellIs" dxfId="196" priority="196" operator="greaterThan">
      <formula>0.05</formula>
    </cfRule>
  </conditionalFormatting>
  <conditionalFormatting sqref="R1153 T1153 V1153 Y1153">
    <cfRule type="cellIs" dxfId="195" priority="189" operator="between">
      <formula>-0.05</formula>
      <formula>0.05</formula>
    </cfRule>
    <cfRule type="containsText" dxfId="194" priority="190" operator="containsText" text="NA">
      <formula>NOT(ISERROR(SEARCH("NA",R1153)))</formula>
    </cfRule>
    <cfRule type="cellIs" dxfId="193" priority="191" operator="lessThan">
      <formula>-0.05</formula>
    </cfRule>
    <cfRule type="cellIs" dxfId="192" priority="192" operator="greaterThan">
      <formula>0.05</formula>
    </cfRule>
  </conditionalFormatting>
  <conditionalFormatting sqref="R1154 T1154 V1154 Y1154">
    <cfRule type="cellIs" dxfId="191" priority="185" operator="between">
      <formula>-0.05</formula>
      <formula>0.05</formula>
    </cfRule>
    <cfRule type="containsText" dxfId="190" priority="186" operator="containsText" text="NA">
      <formula>NOT(ISERROR(SEARCH("NA",R1154)))</formula>
    </cfRule>
    <cfRule type="cellIs" dxfId="189" priority="187" operator="lessThan">
      <formula>-0.05</formula>
    </cfRule>
    <cfRule type="cellIs" dxfId="188" priority="188" operator="greaterThan">
      <formula>0.05</formula>
    </cfRule>
  </conditionalFormatting>
  <conditionalFormatting sqref="R1155 T1155 V1155 Y1155">
    <cfRule type="cellIs" dxfId="187" priority="181" operator="between">
      <formula>-0.05</formula>
      <formula>0.05</formula>
    </cfRule>
    <cfRule type="containsText" dxfId="186" priority="182" operator="containsText" text="NA">
      <formula>NOT(ISERROR(SEARCH("NA",R1155)))</formula>
    </cfRule>
    <cfRule type="cellIs" dxfId="185" priority="183" operator="lessThan">
      <formula>-0.05</formula>
    </cfRule>
    <cfRule type="cellIs" dxfId="184" priority="184" operator="greaterThan">
      <formula>0.05</formula>
    </cfRule>
  </conditionalFormatting>
  <conditionalFormatting sqref="R1156 T1156 V1156 Y1156">
    <cfRule type="cellIs" dxfId="183" priority="177" operator="between">
      <formula>-0.05</formula>
      <formula>0.05</formula>
    </cfRule>
    <cfRule type="containsText" dxfId="182" priority="178" operator="containsText" text="NA">
      <formula>NOT(ISERROR(SEARCH("NA",R1156)))</formula>
    </cfRule>
    <cfRule type="cellIs" dxfId="181" priority="179" operator="lessThan">
      <formula>-0.05</formula>
    </cfRule>
    <cfRule type="cellIs" dxfId="180" priority="180" operator="greaterThan">
      <formula>0.05</formula>
    </cfRule>
  </conditionalFormatting>
  <conditionalFormatting sqref="R1157 T1157 V1157 Y1157">
    <cfRule type="cellIs" dxfId="179" priority="173" operator="between">
      <formula>-0.05</formula>
      <formula>0.05</formula>
    </cfRule>
    <cfRule type="containsText" dxfId="178" priority="174" operator="containsText" text="NA">
      <formula>NOT(ISERROR(SEARCH("NA",R1157)))</formula>
    </cfRule>
    <cfRule type="cellIs" dxfId="177" priority="175" operator="lessThan">
      <formula>-0.05</formula>
    </cfRule>
    <cfRule type="cellIs" dxfId="176" priority="176" operator="greaterThan">
      <formula>0.05</formula>
    </cfRule>
  </conditionalFormatting>
  <conditionalFormatting sqref="R1158 T1158 V1158 Y1158">
    <cfRule type="cellIs" dxfId="175" priority="169" operator="between">
      <formula>-0.05</formula>
      <formula>0.05</formula>
    </cfRule>
    <cfRule type="containsText" dxfId="174" priority="170" operator="containsText" text="NA">
      <formula>NOT(ISERROR(SEARCH("NA",R1158)))</formula>
    </cfRule>
    <cfRule type="cellIs" dxfId="173" priority="171" operator="lessThan">
      <formula>-0.05</formula>
    </cfRule>
    <cfRule type="cellIs" dxfId="172" priority="172" operator="greaterThan">
      <formula>0.05</formula>
    </cfRule>
  </conditionalFormatting>
  <conditionalFormatting sqref="R1159 T1159 V1159 Y1159">
    <cfRule type="cellIs" dxfId="171" priority="165" operator="between">
      <formula>-0.05</formula>
      <formula>0.05</formula>
    </cfRule>
    <cfRule type="containsText" dxfId="170" priority="166" operator="containsText" text="NA">
      <formula>NOT(ISERROR(SEARCH("NA",R1159)))</formula>
    </cfRule>
    <cfRule type="cellIs" dxfId="169" priority="167" operator="lessThan">
      <formula>-0.05</formula>
    </cfRule>
    <cfRule type="cellIs" dxfId="168" priority="168" operator="greaterThan">
      <formula>0.05</formula>
    </cfRule>
  </conditionalFormatting>
  <conditionalFormatting sqref="R1160 T1160 V1160 Y1160">
    <cfRule type="cellIs" dxfId="167" priority="161" operator="between">
      <formula>-0.05</formula>
      <formula>0.05</formula>
    </cfRule>
    <cfRule type="containsText" dxfId="166" priority="162" operator="containsText" text="NA">
      <formula>NOT(ISERROR(SEARCH("NA",R1160)))</formula>
    </cfRule>
    <cfRule type="cellIs" dxfId="165" priority="163" operator="lessThan">
      <formula>-0.05</formula>
    </cfRule>
    <cfRule type="cellIs" dxfId="164" priority="164" operator="greaterThan">
      <formula>0.05</formula>
    </cfRule>
  </conditionalFormatting>
  <conditionalFormatting sqref="R1161 T1161 V1161 Y1161">
    <cfRule type="cellIs" dxfId="163" priority="157" operator="between">
      <formula>-0.05</formula>
      <formula>0.05</formula>
    </cfRule>
    <cfRule type="containsText" dxfId="162" priority="158" operator="containsText" text="NA">
      <formula>NOT(ISERROR(SEARCH("NA",R1161)))</formula>
    </cfRule>
    <cfRule type="cellIs" dxfId="161" priority="159" operator="lessThan">
      <formula>-0.05</formula>
    </cfRule>
    <cfRule type="cellIs" dxfId="160" priority="160" operator="greaterThan">
      <formula>0.05</formula>
    </cfRule>
  </conditionalFormatting>
  <conditionalFormatting sqref="R1162 T1162 V1162 Y1162">
    <cfRule type="cellIs" dxfId="159" priority="153" operator="between">
      <formula>-0.05</formula>
      <formula>0.05</formula>
    </cfRule>
    <cfRule type="containsText" dxfId="158" priority="154" operator="containsText" text="NA">
      <formula>NOT(ISERROR(SEARCH("NA",R1162)))</formula>
    </cfRule>
    <cfRule type="cellIs" dxfId="157" priority="155" operator="lessThan">
      <formula>-0.05</formula>
    </cfRule>
    <cfRule type="cellIs" dxfId="156" priority="156" operator="greaterThan">
      <formula>0.05</formula>
    </cfRule>
  </conditionalFormatting>
  <conditionalFormatting sqref="R1163 T1163 V1163 Y1163">
    <cfRule type="cellIs" dxfId="155" priority="149" operator="between">
      <formula>-0.05</formula>
      <formula>0.05</formula>
    </cfRule>
    <cfRule type="containsText" dxfId="154" priority="150" operator="containsText" text="NA">
      <formula>NOT(ISERROR(SEARCH("NA",R1163)))</formula>
    </cfRule>
    <cfRule type="cellIs" dxfId="153" priority="151" operator="lessThan">
      <formula>-0.05</formula>
    </cfRule>
    <cfRule type="cellIs" dxfId="152" priority="152" operator="greaterThan">
      <formula>0.05</formula>
    </cfRule>
  </conditionalFormatting>
  <conditionalFormatting sqref="R1164 T1164 V1164 Y1164">
    <cfRule type="cellIs" dxfId="151" priority="145" operator="between">
      <formula>-0.05</formula>
      <formula>0.05</formula>
    </cfRule>
    <cfRule type="containsText" dxfId="150" priority="146" operator="containsText" text="NA">
      <formula>NOT(ISERROR(SEARCH("NA",R1164)))</formula>
    </cfRule>
    <cfRule type="cellIs" dxfId="149" priority="147" operator="lessThan">
      <formula>-0.05</formula>
    </cfRule>
    <cfRule type="cellIs" dxfId="148" priority="148" operator="greaterThan">
      <formula>0.05</formula>
    </cfRule>
  </conditionalFormatting>
  <conditionalFormatting sqref="R1165 T1165 V1165 Y1165">
    <cfRule type="cellIs" dxfId="147" priority="141" operator="between">
      <formula>-0.05</formula>
      <formula>0.05</formula>
    </cfRule>
    <cfRule type="containsText" dxfId="146" priority="142" operator="containsText" text="NA">
      <formula>NOT(ISERROR(SEARCH("NA",R1165)))</formula>
    </cfRule>
    <cfRule type="cellIs" dxfId="145" priority="143" operator="lessThan">
      <formula>-0.05</formula>
    </cfRule>
    <cfRule type="cellIs" dxfId="144" priority="144" operator="greaterThan">
      <formula>0.05</formula>
    </cfRule>
  </conditionalFormatting>
  <conditionalFormatting sqref="R1166 T1166 V1166 Y1166">
    <cfRule type="cellIs" dxfId="143" priority="137" operator="between">
      <formula>-0.05</formula>
      <formula>0.05</formula>
    </cfRule>
    <cfRule type="containsText" dxfId="142" priority="138" operator="containsText" text="NA">
      <formula>NOT(ISERROR(SEARCH("NA",R1166)))</formula>
    </cfRule>
    <cfRule type="cellIs" dxfId="141" priority="139" operator="lessThan">
      <formula>-0.05</formula>
    </cfRule>
    <cfRule type="cellIs" dxfId="140" priority="140" operator="greaterThan">
      <formula>0.05</formula>
    </cfRule>
  </conditionalFormatting>
  <conditionalFormatting sqref="R1167 T1167 V1167 Y1167">
    <cfRule type="cellIs" dxfId="139" priority="133" operator="between">
      <formula>-0.05</formula>
      <formula>0.05</formula>
    </cfRule>
    <cfRule type="containsText" dxfId="138" priority="134" operator="containsText" text="NA">
      <formula>NOT(ISERROR(SEARCH("NA",R1167)))</formula>
    </cfRule>
    <cfRule type="cellIs" dxfId="137" priority="135" operator="lessThan">
      <formula>-0.05</formula>
    </cfRule>
    <cfRule type="cellIs" dxfId="136" priority="136" operator="greaterThan">
      <formula>0.05</formula>
    </cfRule>
  </conditionalFormatting>
  <conditionalFormatting sqref="R1168 T1168 V1168 Y1168">
    <cfRule type="cellIs" dxfId="135" priority="129" operator="between">
      <formula>-0.05</formula>
      <formula>0.05</formula>
    </cfRule>
    <cfRule type="containsText" dxfId="134" priority="130" operator="containsText" text="NA">
      <formula>NOT(ISERROR(SEARCH("NA",R1168)))</formula>
    </cfRule>
    <cfRule type="cellIs" dxfId="133" priority="131" operator="lessThan">
      <formula>-0.05</formula>
    </cfRule>
    <cfRule type="cellIs" dxfId="132" priority="132" operator="greaterThan">
      <formula>0.05</formula>
    </cfRule>
  </conditionalFormatting>
  <conditionalFormatting sqref="R1169 T1169 V1169 Y1169">
    <cfRule type="cellIs" dxfId="131" priority="125" operator="between">
      <formula>-0.05</formula>
      <formula>0.05</formula>
    </cfRule>
    <cfRule type="containsText" dxfId="130" priority="126" operator="containsText" text="NA">
      <formula>NOT(ISERROR(SEARCH("NA",R1169)))</formula>
    </cfRule>
    <cfRule type="cellIs" dxfId="129" priority="127" operator="lessThan">
      <formula>-0.05</formula>
    </cfRule>
    <cfRule type="cellIs" dxfId="128" priority="128" operator="greaterThan">
      <formula>0.05</formula>
    </cfRule>
  </conditionalFormatting>
  <conditionalFormatting sqref="R1170 T1170 V1170 Y1170">
    <cfRule type="cellIs" dxfId="127" priority="121" operator="between">
      <formula>-0.05</formula>
      <formula>0.05</formula>
    </cfRule>
    <cfRule type="containsText" dxfId="126" priority="122" operator="containsText" text="NA">
      <formula>NOT(ISERROR(SEARCH("NA",R1170)))</formula>
    </cfRule>
    <cfRule type="cellIs" dxfId="125" priority="123" operator="lessThan">
      <formula>-0.05</formula>
    </cfRule>
    <cfRule type="cellIs" dxfId="124" priority="124" operator="greaterThan">
      <formula>0.05</formula>
    </cfRule>
  </conditionalFormatting>
  <conditionalFormatting sqref="R1171 T1171 V1171 Y1171">
    <cfRule type="cellIs" dxfId="123" priority="117" operator="between">
      <formula>-0.05</formula>
      <formula>0.05</formula>
    </cfRule>
    <cfRule type="containsText" dxfId="122" priority="118" operator="containsText" text="NA">
      <formula>NOT(ISERROR(SEARCH("NA",R1171)))</formula>
    </cfRule>
    <cfRule type="cellIs" dxfId="121" priority="119" operator="lessThan">
      <formula>-0.05</formula>
    </cfRule>
    <cfRule type="cellIs" dxfId="120" priority="120" operator="greaterThan">
      <formula>0.05</formula>
    </cfRule>
  </conditionalFormatting>
  <conditionalFormatting sqref="R1172 T1172 V1172 Y1172">
    <cfRule type="cellIs" dxfId="119" priority="113" operator="between">
      <formula>-0.05</formula>
      <formula>0.05</formula>
    </cfRule>
    <cfRule type="containsText" dxfId="118" priority="114" operator="containsText" text="NA">
      <formula>NOT(ISERROR(SEARCH("NA",R1172)))</formula>
    </cfRule>
    <cfRule type="cellIs" dxfId="117" priority="115" operator="lessThan">
      <formula>-0.05</formula>
    </cfRule>
    <cfRule type="cellIs" dxfId="116" priority="116" operator="greaterThan">
      <formula>0.05</formula>
    </cfRule>
  </conditionalFormatting>
  <conditionalFormatting sqref="R1173 T1173 V1173 Y1173">
    <cfRule type="cellIs" dxfId="115" priority="109" operator="between">
      <formula>-0.05</formula>
      <formula>0.05</formula>
    </cfRule>
    <cfRule type="containsText" dxfId="114" priority="110" operator="containsText" text="NA">
      <formula>NOT(ISERROR(SEARCH("NA",R1173)))</formula>
    </cfRule>
    <cfRule type="cellIs" dxfId="113" priority="111" operator="lessThan">
      <formula>-0.05</formula>
    </cfRule>
    <cfRule type="cellIs" dxfId="112" priority="112" operator="greaterThan">
      <formula>0.05</formula>
    </cfRule>
  </conditionalFormatting>
  <conditionalFormatting sqref="R1174 T1174 V1174 Y1174">
    <cfRule type="cellIs" dxfId="111" priority="105" operator="between">
      <formula>-0.05</formula>
      <formula>0.05</formula>
    </cfRule>
    <cfRule type="containsText" dxfId="110" priority="106" operator="containsText" text="NA">
      <formula>NOT(ISERROR(SEARCH("NA",R1174)))</formula>
    </cfRule>
    <cfRule type="cellIs" dxfId="109" priority="107" operator="lessThan">
      <formula>-0.05</formula>
    </cfRule>
    <cfRule type="cellIs" dxfId="108" priority="108" operator="greaterThan">
      <formula>0.05</formula>
    </cfRule>
  </conditionalFormatting>
  <conditionalFormatting sqref="R1175 T1175 V1175 Y1175">
    <cfRule type="cellIs" dxfId="107" priority="101" operator="between">
      <formula>-0.05</formula>
      <formula>0.05</formula>
    </cfRule>
    <cfRule type="containsText" dxfId="106" priority="102" operator="containsText" text="NA">
      <formula>NOT(ISERROR(SEARCH("NA",R1175)))</formula>
    </cfRule>
    <cfRule type="cellIs" dxfId="105" priority="103" operator="lessThan">
      <formula>-0.05</formula>
    </cfRule>
    <cfRule type="cellIs" dxfId="104" priority="104" operator="greaterThan">
      <formula>0.05</formula>
    </cfRule>
  </conditionalFormatting>
  <conditionalFormatting sqref="R1176 T1176 V1176 Y1176">
    <cfRule type="cellIs" dxfId="103" priority="97" operator="between">
      <formula>-0.05</formula>
      <formula>0.05</formula>
    </cfRule>
    <cfRule type="containsText" dxfId="102" priority="98" operator="containsText" text="NA">
      <formula>NOT(ISERROR(SEARCH("NA",R1176)))</formula>
    </cfRule>
    <cfRule type="cellIs" dxfId="101" priority="99" operator="lessThan">
      <formula>-0.05</formula>
    </cfRule>
    <cfRule type="cellIs" dxfId="100" priority="100" operator="greaterThan">
      <formula>0.05</formula>
    </cfRule>
  </conditionalFormatting>
  <conditionalFormatting sqref="R1177 T1177 V1177 Y1177">
    <cfRule type="cellIs" dxfId="99" priority="93" operator="between">
      <formula>-0.05</formula>
      <formula>0.05</formula>
    </cfRule>
    <cfRule type="containsText" dxfId="98" priority="94" operator="containsText" text="NA">
      <formula>NOT(ISERROR(SEARCH("NA",R1177)))</formula>
    </cfRule>
    <cfRule type="cellIs" dxfId="97" priority="95" operator="lessThan">
      <formula>-0.05</formula>
    </cfRule>
    <cfRule type="cellIs" dxfId="96" priority="96" operator="greaterThan">
      <formula>0.05</formula>
    </cfRule>
  </conditionalFormatting>
  <conditionalFormatting sqref="R1178 T1178 V1178 Y1178">
    <cfRule type="cellIs" dxfId="95" priority="89" operator="between">
      <formula>-0.05</formula>
      <formula>0.05</formula>
    </cfRule>
    <cfRule type="containsText" dxfId="94" priority="90" operator="containsText" text="NA">
      <formula>NOT(ISERROR(SEARCH("NA",R1178)))</formula>
    </cfRule>
    <cfRule type="cellIs" dxfId="93" priority="91" operator="lessThan">
      <formula>-0.05</formula>
    </cfRule>
    <cfRule type="cellIs" dxfId="92" priority="92" operator="greaterThan">
      <formula>0.05</formula>
    </cfRule>
  </conditionalFormatting>
  <conditionalFormatting sqref="R1179 T1179 V1179 Y1179">
    <cfRule type="cellIs" dxfId="91" priority="85" operator="between">
      <formula>-0.05</formula>
      <formula>0.05</formula>
    </cfRule>
    <cfRule type="containsText" dxfId="90" priority="86" operator="containsText" text="NA">
      <formula>NOT(ISERROR(SEARCH("NA",R1179)))</formula>
    </cfRule>
    <cfRule type="cellIs" dxfId="89" priority="87" operator="lessThan">
      <formula>-0.05</formula>
    </cfRule>
    <cfRule type="cellIs" dxfId="88" priority="88" operator="greaterThan">
      <formula>0.05</formula>
    </cfRule>
  </conditionalFormatting>
  <conditionalFormatting sqref="R1180 T1180 V1180 Y1180">
    <cfRule type="cellIs" dxfId="87" priority="81" operator="between">
      <formula>-0.05</formula>
      <formula>0.05</formula>
    </cfRule>
    <cfRule type="containsText" dxfId="86" priority="82" operator="containsText" text="NA">
      <formula>NOT(ISERROR(SEARCH("NA",R1180)))</formula>
    </cfRule>
    <cfRule type="cellIs" dxfId="85" priority="83" operator="lessThan">
      <formula>-0.05</formula>
    </cfRule>
    <cfRule type="cellIs" dxfId="84" priority="84" operator="greaterThan">
      <formula>0.05</formula>
    </cfRule>
  </conditionalFormatting>
  <conditionalFormatting sqref="R1181 T1181 V1181 Y1181">
    <cfRule type="cellIs" dxfId="83" priority="77" operator="between">
      <formula>-0.05</formula>
      <formula>0.05</formula>
    </cfRule>
    <cfRule type="containsText" dxfId="82" priority="78" operator="containsText" text="NA">
      <formula>NOT(ISERROR(SEARCH("NA",R1181)))</formula>
    </cfRule>
    <cfRule type="cellIs" dxfId="81" priority="79" operator="lessThan">
      <formula>-0.05</formula>
    </cfRule>
    <cfRule type="cellIs" dxfId="80" priority="80" operator="greaterThan">
      <formula>0.05</formula>
    </cfRule>
  </conditionalFormatting>
  <conditionalFormatting sqref="R1182 T1182 V1182 Y1182">
    <cfRule type="cellIs" dxfId="79" priority="73" operator="between">
      <formula>-0.05</formula>
      <formula>0.05</formula>
    </cfRule>
    <cfRule type="containsText" dxfId="78" priority="74" operator="containsText" text="NA">
      <formula>NOT(ISERROR(SEARCH("NA",R1182)))</formula>
    </cfRule>
    <cfRule type="cellIs" dxfId="77" priority="75" operator="lessThan">
      <formula>-0.05</formula>
    </cfRule>
    <cfRule type="cellIs" dxfId="76" priority="76" operator="greaterThan">
      <formula>0.05</formula>
    </cfRule>
  </conditionalFormatting>
  <conditionalFormatting sqref="R1183 T1183 V1183 Y1183">
    <cfRule type="cellIs" dxfId="75" priority="69" operator="between">
      <formula>-0.05</formula>
      <formula>0.05</formula>
    </cfRule>
    <cfRule type="containsText" dxfId="74" priority="70" operator="containsText" text="NA">
      <formula>NOT(ISERROR(SEARCH("NA",R1183)))</formula>
    </cfRule>
    <cfRule type="cellIs" dxfId="73" priority="71" operator="lessThan">
      <formula>-0.05</formula>
    </cfRule>
    <cfRule type="cellIs" dxfId="72" priority="72" operator="greaterThan">
      <formula>0.05</formula>
    </cfRule>
  </conditionalFormatting>
  <conditionalFormatting sqref="R1184 T1184 V1184 Y1184">
    <cfRule type="cellIs" dxfId="71" priority="65" operator="between">
      <formula>-0.05</formula>
      <formula>0.05</formula>
    </cfRule>
    <cfRule type="containsText" dxfId="70" priority="66" operator="containsText" text="NA">
      <formula>NOT(ISERROR(SEARCH("NA",R1184)))</formula>
    </cfRule>
    <cfRule type="cellIs" dxfId="69" priority="67" operator="lessThan">
      <formula>-0.05</formula>
    </cfRule>
    <cfRule type="cellIs" dxfId="68" priority="68" operator="greaterThan">
      <formula>0.05</formula>
    </cfRule>
  </conditionalFormatting>
  <conditionalFormatting sqref="R1185 T1185 V1185 Y1185">
    <cfRule type="cellIs" dxfId="67" priority="61" operator="between">
      <formula>-0.05</formula>
      <formula>0.05</formula>
    </cfRule>
    <cfRule type="containsText" dxfId="66" priority="62" operator="containsText" text="NA">
      <formula>NOT(ISERROR(SEARCH("NA",R1185)))</formula>
    </cfRule>
    <cfRule type="cellIs" dxfId="65" priority="63" operator="lessThan">
      <formula>-0.05</formula>
    </cfRule>
    <cfRule type="cellIs" dxfId="64" priority="64" operator="greaterThan">
      <formula>0.05</formula>
    </cfRule>
  </conditionalFormatting>
  <conditionalFormatting sqref="R1186 T1186 V1186 Y1186">
    <cfRule type="cellIs" dxfId="63" priority="57" operator="between">
      <formula>-0.05</formula>
      <formula>0.05</formula>
    </cfRule>
    <cfRule type="containsText" dxfId="62" priority="58" operator="containsText" text="NA">
      <formula>NOT(ISERROR(SEARCH("NA",R1186)))</formula>
    </cfRule>
    <cfRule type="cellIs" dxfId="61" priority="59" operator="lessThan">
      <formula>-0.05</formula>
    </cfRule>
    <cfRule type="cellIs" dxfId="60" priority="60" operator="greaterThan">
      <formula>0.05</formula>
    </cfRule>
  </conditionalFormatting>
  <conditionalFormatting sqref="R1187 T1187 V1187 Y1187">
    <cfRule type="cellIs" dxfId="59" priority="53" operator="between">
      <formula>-0.05</formula>
      <formula>0.05</formula>
    </cfRule>
    <cfRule type="containsText" dxfId="58" priority="54" operator="containsText" text="NA">
      <formula>NOT(ISERROR(SEARCH("NA",R1187)))</formula>
    </cfRule>
    <cfRule type="cellIs" dxfId="57" priority="55" operator="lessThan">
      <formula>-0.05</formula>
    </cfRule>
    <cfRule type="cellIs" dxfId="56" priority="56" operator="greaterThan">
      <formula>0.05</formula>
    </cfRule>
  </conditionalFormatting>
  <conditionalFormatting sqref="R1188 T1188 V1188 Y1188">
    <cfRule type="cellIs" dxfId="55" priority="49" operator="between">
      <formula>-0.05</formula>
      <formula>0.05</formula>
    </cfRule>
    <cfRule type="containsText" dxfId="54" priority="50" operator="containsText" text="NA">
      <formula>NOT(ISERROR(SEARCH("NA",R1188)))</formula>
    </cfRule>
    <cfRule type="cellIs" dxfId="53" priority="51" operator="lessThan">
      <formula>-0.05</formula>
    </cfRule>
    <cfRule type="cellIs" dxfId="52" priority="52" operator="greaterThan">
      <formula>0.05</formula>
    </cfRule>
  </conditionalFormatting>
  <conditionalFormatting sqref="R1189 T1189 V1189 Y1189">
    <cfRule type="cellIs" dxfId="51" priority="45" operator="between">
      <formula>-0.05</formula>
      <formula>0.05</formula>
    </cfRule>
    <cfRule type="containsText" dxfId="50" priority="46" operator="containsText" text="NA">
      <formula>NOT(ISERROR(SEARCH("NA",R1189)))</formula>
    </cfRule>
    <cfRule type="cellIs" dxfId="49" priority="47" operator="lessThan">
      <formula>-0.05</formula>
    </cfRule>
    <cfRule type="cellIs" dxfId="48" priority="48" operator="greaterThan">
      <formula>0.05</formula>
    </cfRule>
  </conditionalFormatting>
  <conditionalFormatting sqref="R1190 T1190 V1190 Y1190">
    <cfRule type="cellIs" dxfId="47" priority="41" operator="between">
      <formula>-0.05</formula>
      <formula>0.05</formula>
    </cfRule>
    <cfRule type="containsText" dxfId="46" priority="42" operator="containsText" text="NA">
      <formula>NOT(ISERROR(SEARCH("NA",R1190)))</formula>
    </cfRule>
    <cfRule type="cellIs" dxfId="45" priority="43" operator="lessThan">
      <formula>-0.05</formula>
    </cfRule>
    <cfRule type="cellIs" dxfId="44" priority="44" operator="greaterThan">
      <formula>0.05</formula>
    </cfRule>
  </conditionalFormatting>
  <conditionalFormatting sqref="R1191 T1191 V1191 Y1191">
    <cfRule type="cellIs" dxfId="43" priority="37" operator="between">
      <formula>-0.05</formula>
      <formula>0.05</formula>
    </cfRule>
    <cfRule type="containsText" dxfId="42" priority="38" operator="containsText" text="NA">
      <formula>NOT(ISERROR(SEARCH("NA",R1191)))</formula>
    </cfRule>
    <cfRule type="cellIs" dxfId="41" priority="39" operator="lessThan">
      <formula>-0.05</formula>
    </cfRule>
    <cfRule type="cellIs" dxfId="40" priority="40" operator="greaterThan">
      <formula>0.05</formula>
    </cfRule>
  </conditionalFormatting>
  <conditionalFormatting sqref="R1192 T1192 V1192 Y1192">
    <cfRule type="cellIs" dxfId="39" priority="33" operator="between">
      <formula>-0.05</formula>
      <formula>0.05</formula>
    </cfRule>
    <cfRule type="containsText" dxfId="38" priority="34" operator="containsText" text="NA">
      <formula>NOT(ISERROR(SEARCH("NA",R1192)))</formula>
    </cfRule>
    <cfRule type="cellIs" dxfId="37" priority="35" operator="lessThan">
      <formula>-0.05</formula>
    </cfRule>
    <cfRule type="cellIs" dxfId="36" priority="36" operator="greaterThan">
      <formula>0.05</formula>
    </cfRule>
  </conditionalFormatting>
  <conditionalFormatting sqref="R1193 T1193 V1193 Y1193">
    <cfRule type="cellIs" dxfId="35" priority="29" operator="between">
      <formula>-0.05</formula>
      <formula>0.05</formula>
    </cfRule>
    <cfRule type="containsText" dxfId="34" priority="30" operator="containsText" text="NA">
      <formula>NOT(ISERROR(SEARCH("NA",R1193)))</formula>
    </cfRule>
    <cfRule type="cellIs" dxfId="33" priority="31" operator="lessThan">
      <formula>-0.05</formula>
    </cfRule>
    <cfRule type="cellIs" dxfId="32" priority="32" operator="greaterThan">
      <formula>0.05</formula>
    </cfRule>
  </conditionalFormatting>
  <conditionalFormatting sqref="R1194 T1194 V1194 Y1194">
    <cfRule type="cellIs" dxfId="31" priority="25" operator="between">
      <formula>-0.05</formula>
      <formula>0.05</formula>
    </cfRule>
    <cfRule type="containsText" dxfId="30" priority="26" operator="containsText" text="NA">
      <formula>NOT(ISERROR(SEARCH("NA",R1194)))</formula>
    </cfRule>
    <cfRule type="cellIs" dxfId="29" priority="27" operator="lessThan">
      <formula>-0.05</formula>
    </cfRule>
    <cfRule type="cellIs" dxfId="28" priority="28" operator="greaterThan">
      <formula>0.05</formula>
    </cfRule>
  </conditionalFormatting>
  <conditionalFormatting sqref="R1195 T1195 V1195 Y1195">
    <cfRule type="cellIs" dxfId="27" priority="21" operator="between">
      <formula>-0.05</formula>
      <formula>0.05</formula>
    </cfRule>
    <cfRule type="containsText" dxfId="26" priority="22" operator="containsText" text="NA">
      <formula>NOT(ISERROR(SEARCH("NA",R1195)))</formula>
    </cfRule>
    <cfRule type="cellIs" dxfId="25" priority="23" operator="lessThan">
      <formula>-0.05</formula>
    </cfRule>
    <cfRule type="cellIs" dxfId="24" priority="24" operator="greaterThan">
      <formula>0.05</formula>
    </cfRule>
  </conditionalFormatting>
  <conditionalFormatting sqref="R1196 T1196 V1196 Y1196">
    <cfRule type="cellIs" dxfId="23" priority="17" operator="between">
      <formula>-0.05</formula>
      <formula>0.05</formula>
    </cfRule>
    <cfRule type="containsText" dxfId="22" priority="18" operator="containsText" text="NA">
      <formula>NOT(ISERROR(SEARCH("NA",R1196)))</formula>
    </cfRule>
    <cfRule type="cellIs" dxfId="21" priority="19" operator="lessThan">
      <formula>-0.05</formula>
    </cfRule>
    <cfRule type="cellIs" dxfId="20" priority="20" operator="greaterThan">
      <formula>0.05</formula>
    </cfRule>
  </conditionalFormatting>
  <conditionalFormatting sqref="R1197 T1197 V1197 Y1197">
    <cfRule type="cellIs" dxfId="19" priority="13" operator="between">
      <formula>-0.05</formula>
      <formula>0.05</formula>
    </cfRule>
    <cfRule type="containsText" dxfId="18" priority="14" operator="containsText" text="NA">
      <formula>NOT(ISERROR(SEARCH("NA",R1197)))</formula>
    </cfRule>
    <cfRule type="cellIs" dxfId="17" priority="15" operator="lessThan">
      <formula>-0.05</formula>
    </cfRule>
    <cfRule type="cellIs" dxfId="16" priority="16" operator="greaterThan">
      <formula>0.05</formula>
    </cfRule>
  </conditionalFormatting>
  <conditionalFormatting sqref="R1198 T1198 V1198 Y1198">
    <cfRule type="cellIs" dxfId="15" priority="9" operator="between">
      <formula>-0.05</formula>
      <formula>0.05</formula>
    </cfRule>
    <cfRule type="containsText" dxfId="14" priority="10" operator="containsText" text="NA">
      <formula>NOT(ISERROR(SEARCH("NA",R1198)))</formula>
    </cfRule>
    <cfRule type="cellIs" dxfId="13" priority="11" operator="lessThan">
      <formula>-0.05</formula>
    </cfRule>
    <cfRule type="cellIs" dxfId="12" priority="12" operator="greaterThan">
      <formula>0.05</formula>
    </cfRule>
  </conditionalFormatting>
  <conditionalFormatting sqref="R1199 T1199 V1199 Y1199">
    <cfRule type="cellIs" dxfId="11" priority="5" operator="between">
      <formula>-0.05</formula>
      <formula>0.05</formula>
    </cfRule>
    <cfRule type="containsText" dxfId="10" priority="6" operator="containsText" text="NA">
      <formula>NOT(ISERROR(SEARCH("NA",R1199)))</formula>
    </cfRule>
    <cfRule type="cellIs" dxfId="9" priority="7" operator="lessThan">
      <formula>-0.05</formula>
    </cfRule>
    <cfRule type="cellIs" dxfId="8" priority="8" operator="greaterThan">
      <formula>0.05</formula>
    </cfRule>
  </conditionalFormatting>
  <conditionalFormatting sqref="R1200 T1200 V1200 Y1200">
    <cfRule type="cellIs" dxfId="7" priority="1" operator="between">
      <formula>-0.05</formula>
      <formula>0.05</formula>
    </cfRule>
    <cfRule type="containsText" dxfId="6" priority="2" operator="containsText" text="NA">
      <formula>NOT(ISERROR(SEARCH("NA",R1200)))</formula>
    </cfRule>
    <cfRule type="cellIs" dxfId="5" priority="3" operator="lessThan">
      <formula>-0.05</formula>
    </cfRule>
    <cfRule type="cellIs" dxfId="4" priority="4" operator="greaterThan">
      <formula>0.05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Reset_Button_2">
                <anchor moveWithCells="1">
                  <from>
                    <xdr:col>15</xdr:col>
                    <xdr:colOff>0</xdr:colOff>
                    <xdr:row>6</xdr:row>
                    <xdr:rowOff>38100</xdr:rowOff>
                  </from>
                  <to>
                    <xdr:col>15</xdr:col>
                    <xdr:colOff>428625</xdr:colOff>
                    <xdr:row>6</xdr:row>
                    <xdr:rowOff>257175</xdr:rowOff>
                  </to>
                </anchor>
              </controlPr>
            </control>
          </mc:Choice>
        </mc:AlternateContent>
        <mc:AlternateContent xmlns:mc="http://schemas.openxmlformats.org/markup-compatibility/2006">
          <mc:Choice Requires="x14">
            <control shapeId="2" r:id="rId5" name="Drop Down 2">
              <controlPr defaultSize="0" autoLine="0" autoPict="0" macro="[0]!Filter_Physician_Details">
                <anchor moveWithCells="1" sizeWithCells="1">
                  <from>
                    <xdr:col>1</xdr:col>
                    <xdr:colOff>28575</xdr:colOff>
                    <xdr:row>6</xdr:row>
                    <xdr:rowOff>9525</xdr:rowOff>
                  </from>
                  <to>
                    <xdr:col>4</xdr:col>
                    <xdr:colOff>190500</xdr:colOff>
                    <xdr:row>6</xdr:row>
                    <xdr:rowOff>209550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76"/>
  <sheetViews>
    <sheetView workbookViewId="0">
      <selection activeCell="E1" sqref="E1:E1048576"/>
    </sheetView>
  </sheetViews>
  <sheetFormatPr defaultRowHeight="13.5"/>
  <cols>
    <col min="1" max="1" width="4" bestFit="1" customWidth="1"/>
    <col min="2" max="2" width="25.625" bestFit="1" customWidth="1"/>
    <col min="3" max="3" width="35.875" bestFit="1" customWidth="1"/>
    <col min="4" max="4" width="36.25" bestFit="1" customWidth="1"/>
    <col min="5" max="5" width="18.875" bestFit="1" customWidth="1"/>
  </cols>
  <sheetData>
    <row r="1" spans="1:5">
      <c r="A1" s="156" t="s">
        <v>141</v>
      </c>
      <c r="B1" s="156" t="s">
        <v>140</v>
      </c>
      <c r="C1" s="156" t="s">
        <v>139</v>
      </c>
      <c r="D1" s="156" t="s">
        <v>138</v>
      </c>
      <c r="E1" s="156" t="s">
        <v>137</v>
      </c>
    </row>
    <row r="2" spans="1:5">
      <c r="A2" s="325">
        <v>1</v>
      </c>
      <c r="B2" s="325"/>
    </row>
    <row r="3" spans="1:5">
      <c r="A3" s="325">
        <v>2</v>
      </c>
      <c r="B3" s="325"/>
      <c r="C3" s="325"/>
      <c r="D3" s="325"/>
      <c r="E3" s="326"/>
    </row>
    <row r="4" spans="1:5">
      <c r="A4" s="325">
        <v>3</v>
      </c>
      <c r="B4" s="325"/>
      <c r="C4" s="325"/>
      <c r="D4" s="325"/>
    </row>
    <row r="5" spans="1:5">
      <c r="A5" s="325">
        <v>4</v>
      </c>
      <c r="B5" s="325"/>
      <c r="C5" s="325"/>
      <c r="D5" s="325"/>
      <c r="E5" s="325"/>
    </row>
    <row r="6" spans="1:5">
      <c r="A6" s="325">
        <v>5</v>
      </c>
      <c r="B6" s="325"/>
      <c r="C6" s="325"/>
      <c r="D6" s="325"/>
      <c r="E6" s="325"/>
    </row>
    <row r="7" spans="1:5">
      <c r="A7" s="325">
        <v>6</v>
      </c>
      <c r="B7" s="325"/>
      <c r="C7" s="325"/>
      <c r="D7" s="325"/>
      <c r="E7" s="325"/>
    </row>
    <row r="8" spans="1:5">
      <c r="A8" s="325">
        <v>7</v>
      </c>
      <c r="B8" s="325"/>
      <c r="C8" s="325"/>
      <c r="D8" s="325"/>
      <c r="E8" s="325"/>
    </row>
    <row r="9" spans="1:5">
      <c r="A9" s="325">
        <v>8</v>
      </c>
      <c r="B9" s="325"/>
      <c r="C9" s="325"/>
      <c r="D9" s="325"/>
      <c r="E9" s="325"/>
    </row>
    <row r="10" spans="1:5">
      <c r="A10" s="325">
        <v>9</v>
      </c>
      <c r="B10" s="325"/>
      <c r="C10" s="325"/>
      <c r="D10" s="325"/>
      <c r="E10" s="325"/>
    </row>
    <row r="11" spans="1:5">
      <c r="A11" s="325">
        <v>10</v>
      </c>
      <c r="B11" s="325"/>
      <c r="C11" s="325"/>
      <c r="D11" s="325"/>
      <c r="E11" s="325"/>
    </row>
    <row r="12" spans="1:5">
      <c r="A12" s="325">
        <v>11</v>
      </c>
      <c r="B12" s="325"/>
      <c r="C12" s="325"/>
      <c r="D12" s="325"/>
      <c r="E12" s="325"/>
    </row>
    <row r="13" spans="1:5">
      <c r="A13" s="325">
        <v>12</v>
      </c>
      <c r="B13" s="325"/>
      <c r="C13" s="325"/>
      <c r="D13" s="325"/>
      <c r="E13" s="325"/>
    </row>
    <row r="14" spans="1:5">
      <c r="A14" s="325">
        <v>13</v>
      </c>
      <c r="B14" s="325"/>
      <c r="C14" s="325"/>
      <c r="D14" s="325"/>
      <c r="E14" s="325"/>
    </row>
    <row r="15" spans="1:5">
      <c r="A15" s="325">
        <v>14</v>
      </c>
      <c r="B15" s="325"/>
      <c r="C15" s="325"/>
      <c r="D15" s="325"/>
      <c r="E15" s="325"/>
    </row>
    <row r="16" spans="1:5">
      <c r="A16" s="325">
        <v>15</v>
      </c>
      <c r="B16" s="325"/>
      <c r="C16" s="325"/>
      <c r="D16" s="325"/>
      <c r="E16" s="325"/>
    </row>
    <row r="17" spans="1:5">
      <c r="A17" s="325">
        <v>16</v>
      </c>
      <c r="B17" s="325"/>
      <c r="C17" s="325"/>
      <c r="D17" s="325"/>
      <c r="E17" s="325"/>
    </row>
    <row r="18" spans="1:5">
      <c r="A18" s="325">
        <v>17</v>
      </c>
      <c r="B18" s="325"/>
      <c r="C18" s="325"/>
      <c r="D18" s="325"/>
      <c r="E18" s="325"/>
    </row>
    <row r="19" spans="1:5">
      <c r="A19" s="325">
        <v>18</v>
      </c>
      <c r="B19" s="325"/>
      <c r="C19" s="325"/>
      <c r="D19" s="325"/>
      <c r="E19" s="325"/>
    </row>
    <row r="20" spans="1:5">
      <c r="A20" s="325">
        <v>19</v>
      </c>
      <c r="B20" s="325"/>
      <c r="C20" s="325"/>
      <c r="D20" s="325"/>
      <c r="E20" s="325"/>
    </row>
    <row r="21" spans="1:5">
      <c r="A21" s="325">
        <v>20</v>
      </c>
      <c r="B21" s="325"/>
      <c r="C21" s="325"/>
      <c r="D21" s="325"/>
      <c r="E21" s="325"/>
    </row>
    <row r="22" spans="1:5">
      <c r="A22" s="325">
        <v>21</v>
      </c>
      <c r="B22" s="325"/>
      <c r="C22" s="325"/>
      <c r="D22" s="325"/>
      <c r="E22" s="325"/>
    </row>
    <row r="23" spans="1:5">
      <c r="A23" s="325">
        <v>22</v>
      </c>
      <c r="B23" s="325"/>
      <c r="C23" s="325"/>
      <c r="D23" s="325"/>
      <c r="E23" s="325"/>
    </row>
    <row r="24" spans="1:5">
      <c r="A24" s="325">
        <v>23</v>
      </c>
      <c r="B24" s="325"/>
      <c r="C24" s="325"/>
      <c r="D24" s="325"/>
      <c r="E24" s="325"/>
    </row>
    <row r="25" spans="1:5">
      <c r="A25" s="325">
        <v>24</v>
      </c>
      <c r="B25" s="325"/>
      <c r="C25" s="325"/>
      <c r="D25" s="325"/>
      <c r="E25" s="325"/>
    </row>
    <row r="26" spans="1:5">
      <c r="A26" s="325">
        <v>25</v>
      </c>
      <c r="B26" s="325"/>
      <c r="C26" s="325"/>
      <c r="D26" s="325"/>
      <c r="E26" s="325"/>
    </row>
    <row r="27" spans="1:5">
      <c r="A27" s="325">
        <v>26</v>
      </c>
      <c r="B27" s="325"/>
      <c r="C27" s="325"/>
      <c r="D27" s="325"/>
      <c r="E27" s="325"/>
    </row>
    <row r="28" spans="1:5">
      <c r="A28" s="325">
        <v>27</v>
      </c>
      <c r="B28" s="325"/>
      <c r="C28" s="325"/>
      <c r="D28" s="325"/>
      <c r="E28" s="325"/>
    </row>
    <row r="29" spans="1:5">
      <c r="A29" s="325">
        <v>28</v>
      </c>
      <c r="B29" s="325"/>
      <c r="C29" s="325"/>
      <c r="D29" s="325"/>
      <c r="E29" s="325"/>
    </row>
    <row r="30" spans="1:5">
      <c r="A30" s="325">
        <v>29</v>
      </c>
      <c r="B30" s="325"/>
      <c r="C30" s="325"/>
      <c r="D30" s="325"/>
      <c r="E30" s="325"/>
    </row>
    <row r="31" spans="1:5">
      <c r="A31" s="325">
        <v>30</v>
      </c>
      <c r="B31" s="325"/>
      <c r="C31" s="325"/>
      <c r="D31" s="325"/>
      <c r="E31" s="325"/>
    </row>
    <row r="32" spans="1:5">
      <c r="A32" s="325">
        <v>31</v>
      </c>
      <c r="B32" s="325"/>
      <c r="C32" s="325"/>
      <c r="D32" s="325"/>
      <c r="E32" s="325"/>
    </row>
    <row r="33" spans="1:5">
      <c r="A33" s="325">
        <v>32</v>
      </c>
      <c r="B33" s="325"/>
      <c r="C33" s="325"/>
      <c r="D33" s="325"/>
      <c r="E33" s="325"/>
    </row>
    <row r="34" spans="1:5">
      <c r="A34" s="325">
        <v>33</v>
      </c>
      <c r="B34" s="325"/>
      <c r="C34" s="325"/>
      <c r="D34" s="325"/>
      <c r="E34" s="325"/>
    </row>
    <row r="35" spans="1:5">
      <c r="A35" s="325">
        <v>34</v>
      </c>
      <c r="B35" s="325"/>
      <c r="C35" s="325"/>
      <c r="D35" s="325"/>
      <c r="E35" s="325"/>
    </row>
    <row r="36" spans="1:5">
      <c r="A36" s="325">
        <v>35</v>
      </c>
      <c r="B36" s="325"/>
      <c r="C36" s="325"/>
      <c r="D36" s="325"/>
      <c r="E36" s="325"/>
    </row>
    <row r="37" spans="1:5">
      <c r="A37" s="325">
        <v>36</v>
      </c>
      <c r="B37" s="325"/>
      <c r="C37" s="325"/>
      <c r="D37" s="325"/>
      <c r="E37" s="325"/>
    </row>
    <row r="38" spans="1:5">
      <c r="A38" s="325">
        <v>37</v>
      </c>
      <c r="B38" s="325"/>
      <c r="C38" s="325"/>
      <c r="E38" s="325"/>
    </row>
    <row r="39" spans="1:5">
      <c r="A39" s="325">
        <v>38</v>
      </c>
      <c r="B39" s="325"/>
      <c r="C39" s="325"/>
      <c r="E39" s="325"/>
    </row>
    <row r="40" spans="1:5">
      <c r="A40" s="325">
        <v>39</v>
      </c>
      <c r="B40" s="325"/>
      <c r="C40" s="325"/>
      <c r="E40" s="325"/>
    </row>
    <row r="41" spans="1:5">
      <c r="A41" s="325">
        <v>40</v>
      </c>
      <c r="B41" s="325"/>
      <c r="C41" s="325"/>
      <c r="E41" s="325"/>
    </row>
    <row r="42" spans="1:5">
      <c r="A42" s="325">
        <v>41</v>
      </c>
      <c r="B42" s="325"/>
      <c r="C42" s="325"/>
      <c r="D42" s="325"/>
      <c r="E42" s="325"/>
    </row>
    <row r="43" spans="1:5">
      <c r="A43" s="325">
        <v>42</v>
      </c>
      <c r="B43" s="325"/>
      <c r="C43" s="325"/>
      <c r="D43" s="325"/>
      <c r="E43" s="325"/>
    </row>
    <row r="44" spans="1:5">
      <c r="A44" s="325">
        <v>43</v>
      </c>
      <c r="B44" s="325"/>
      <c r="C44" s="325"/>
      <c r="D44" s="325"/>
      <c r="E44" s="325"/>
    </row>
    <row r="45" spans="1:5">
      <c r="A45" s="325">
        <v>44</v>
      </c>
      <c r="B45" s="325"/>
      <c r="C45" s="325"/>
      <c r="D45" s="325"/>
      <c r="E45" s="325"/>
    </row>
    <row r="46" spans="1:5">
      <c r="A46" s="325">
        <v>45</v>
      </c>
      <c r="B46" s="325"/>
      <c r="C46" s="325"/>
      <c r="D46" s="325"/>
      <c r="E46" s="325"/>
    </row>
    <row r="47" spans="1:5">
      <c r="A47" s="325">
        <v>46</v>
      </c>
      <c r="B47" s="325"/>
      <c r="C47" s="325"/>
      <c r="D47" s="325"/>
      <c r="E47" s="325"/>
    </row>
    <row r="48" spans="1:5">
      <c r="A48" s="325">
        <v>47</v>
      </c>
      <c r="B48" s="325"/>
      <c r="C48" s="325"/>
      <c r="D48" s="325"/>
      <c r="E48" s="325"/>
    </row>
    <row r="49" spans="1:5">
      <c r="A49" s="325">
        <v>48</v>
      </c>
      <c r="B49" s="325"/>
      <c r="C49" s="325"/>
      <c r="D49" s="325"/>
      <c r="E49" s="325"/>
    </row>
    <row r="50" spans="1:5">
      <c r="A50" s="325">
        <v>49</v>
      </c>
      <c r="B50" s="325"/>
      <c r="C50" s="325"/>
      <c r="D50" s="325"/>
      <c r="E50" s="325"/>
    </row>
    <row r="51" spans="1:5">
      <c r="A51" s="325">
        <v>50</v>
      </c>
      <c r="B51" s="325"/>
      <c r="C51" s="325"/>
      <c r="E51" s="325"/>
    </row>
    <row r="52" spans="1:5">
      <c r="A52" s="325">
        <v>51</v>
      </c>
      <c r="B52" s="325"/>
      <c r="C52" s="325"/>
      <c r="E52" s="325"/>
    </row>
    <row r="53" spans="1:5">
      <c r="A53" s="325">
        <v>52</v>
      </c>
      <c r="B53" s="325"/>
      <c r="C53" s="325"/>
      <c r="E53" s="325"/>
    </row>
    <row r="54" spans="1:5">
      <c r="A54" s="325">
        <v>53</v>
      </c>
      <c r="B54" s="325"/>
      <c r="C54" s="325"/>
      <c r="E54" s="325"/>
    </row>
    <row r="55" spans="1:5">
      <c r="A55" s="325">
        <v>54</v>
      </c>
      <c r="B55" s="325"/>
      <c r="C55" s="325"/>
      <c r="D55" s="325"/>
      <c r="E55" s="325"/>
    </row>
    <row r="56" spans="1:5">
      <c r="A56" s="325">
        <v>55</v>
      </c>
      <c r="B56" s="325"/>
      <c r="C56" s="325"/>
      <c r="D56" s="325"/>
      <c r="E56" s="325"/>
    </row>
    <row r="57" spans="1:5">
      <c r="A57" s="325">
        <v>56</v>
      </c>
      <c r="B57" s="325"/>
      <c r="C57" s="325"/>
      <c r="D57" s="325"/>
      <c r="E57" s="325"/>
    </row>
    <row r="58" spans="1:5">
      <c r="A58" s="325">
        <v>57</v>
      </c>
      <c r="B58" s="325"/>
      <c r="C58" s="325"/>
      <c r="D58" s="325"/>
      <c r="E58" s="325"/>
    </row>
    <row r="59" spans="1:5">
      <c r="A59" s="325">
        <v>58</v>
      </c>
      <c r="B59" s="325"/>
      <c r="C59" s="325"/>
      <c r="D59" s="325"/>
      <c r="E59" s="325"/>
    </row>
    <row r="60" spans="1:5">
      <c r="A60" s="325">
        <v>59</v>
      </c>
      <c r="B60" s="325"/>
      <c r="C60" s="325"/>
      <c r="D60" s="325"/>
      <c r="E60" s="325"/>
    </row>
    <row r="61" spans="1:5">
      <c r="A61" s="325">
        <v>60</v>
      </c>
      <c r="B61" s="325"/>
      <c r="C61" s="325"/>
      <c r="D61" s="325"/>
      <c r="E61" s="325"/>
    </row>
    <row r="62" spans="1:5">
      <c r="A62" s="325">
        <v>61</v>
      </c>
      <c r="B62" s="325"/>
      <c r="C62" s="325"/>
      <c r="D62" s="325"/>
      <c r="E62" s="325"/>
    </row>
    <row r="63" spans="1:5">
      <c r="A63" s="325">
        <v>62</v>
      </c>
      <c r="B63" s="325"/>
      <c r="C63" s="325"/>
      <c r="D63" s="325"/>
      <c r="E63" s="325"/>
    </row>
    <row r="64" spans="1:5">
      <c r="A64" s="325">
        <v>63</v>
      </c>
      <c r="B64" s="325"/>
      <c r="C64" s="325"/>
      <c r="E64" s="325"/>
    </row>
    <row r="65" spans="1:5">
      <c r="A65" s="325">
        <v>64</v>
      </c>
      <c r="B65" s="325"/>
      <c r="C65" s="325"/>
      <c r="E65" s="325"/>
    </row>
    <row r="66" spans="1:5">
      <c r="A66" s="325">
        <v>65</v>
      </c>
      <c r="B66" s="325"/>
      <c r="C66" s="325"/>
      <c r="E66" s="325"/>
    </row>
    <row r="67" spans="1:5">
      <c r="A67" s="325">
        <v>66</v>
      </c>
      <c r="B67" s="325"/>
      <c r="C67" s="325"/>
      <c r="E67" s="325"/>
    </row>
    <row r="68" spans="1:5">
      <c r="A68" s="325">
        <v>67</v>
      </c>
      <c r="B68" s="325"/>
      <c r="C68" s="325"/>
      <c r="D68" s="325"/>
      <c r="E68" s="325"/>
    </row>
    <row r="69" spans="1:5">
      <c r="A69" s="325">
        <v>68</v>
      </c>
      <c r="B69" s="325"/>
      <c r="C69" s="325"/>
      <c r="D69" s="325"/>
      <c r="E69" s="325"/>
    </row>
    <row r="70" spans="1:5">
      <c r="A70" s="325">
        <v>69</v>
      </c>
      <c r="B70" s="325"/>
      <c r="C70" s="325"/>
      <c r="D70" s="325"/>
      <c r="E70" s="325"/>
    </row>
    <row r="71" spans="1:5">
      <c r="A71" s="325">
        <v>70</v>
      </c>
      <c r="B71" s="325"/>
      <c r="C71" s="325"/>
      <c r="D71" s="325"/>
      <c r="E71" s="325"/>
    </row>
    <row r="72" spans="1:5">
      <c r="A72" s="325">
        <v>71</v>
      </c>
      <c r="B72" s="325"/>
      <c r="C72" s="325"/>
      <c r="D72" s="325"/>
      <c r="E72" s="325"/>
    </row>
    <row r="73" spans="1:5">
      <c r="A73" s="325">
        <v>72</v>
      </c>
      <c r="B73" s="325"/>
      <c r="C73" s="325"/>
      <c r="D73" s="325"/>
      <c r="E73" s="325"/>
    </row>
    <row r="74" spans="1:5">
      <c r="A74" s="325">
        <v>73</v>
      </c>
      <c r="B74" s="325"/>
      <c r="C74" s="325"/>
      <c r="D74" s="325"/>
      <c r="E74" s="325"/>
    </row>
    <row r="75" spans="1:5">
      <c r="A75" s="325">
        <v>74</v>
      </c>
      <c r="B75" s="325"/>
      <c r="C75" s="325"/>
      <c r="D75" s="325"/>
      <c r="E75" s="325"/>
    </row>
    <row r="76" spans="1:5">
      <c r="A76" s="325">
        <v>75</v>
      </c>
      <c r="B76" s="325"/>
      <c r="C76" s="325"/>
      <c r="D76" s="325"/>
      <c r="E76" s="325"/>
    </row>
    <row r="77" spans="1:5">
      <c r="A77" s="325">
        <v>76</v>
      </c>
      <c r="B77" s="325"/>
      <c r="C77" s="325"/>
      <c r="E77" s="325"/>
    </row>
    <row r="78" spans="1:5">
      <c r="A78" s="325">
        <v>77</v>
      </c>
      <c r="B78" s="325"/>
      <c r="C78" s="325"/>
      <c r="E78" s="325"/>
    </row>
    <row r="79" spans="1:5">
      <c r="A79" s="325">
        <v>78</v>
      </c>
      <c r="B79" s="325"/>
      <c r="C79" s="325"/>
      <c r="E79" s="325"/>
    </row>
    <row r="80" spans="1:5">
      <c r="A80" s="325">
        <v>79</v>
      </c>
      <c r="B80" s="325"/>
      <c r="C80" s="325"/>
      <c r="E80" s="325"/>
    </row>
    <row r="81" spans="1:5">
      <c r="A81" s="325">
        <v>80</v>
      </c>
      <c r="B81" s="325"/>
      <c r="C81" s="325"/>
      <c r="D81" s="325"/>
      <c r="E81" s="325"/>
    </row>
    <row r="82" spans="1:5">
      <c r="A82" s="325">
        <v>81</v>
      </c>
      <c r="B82" s="325"/>
      <c r="C82" s="325"/>
      <c r="D82" s="325"/>
      <c r="E82" s="325"/>
    </row>
    <row r="83" spans="1:5">
      <c r="A83" s="325">
        <v>82</v>
      </c>
      <c r="B83" s="325"/>
      <c r="C83" s="325"/>
      <c r="D83" s="325"/>
      <c r="E83" s="325"/>
    </row>
    <row r="84" spans="1:5">
      <c r="A84" s="325">
        <v>83</v>
      </c>
      <c r="B84" s="325"/>
      <c r="C84" s="325"/>
      <c r="D84" s="325"/>
      <c r="E84" s="325"/>
    </row>
    <row r="85" spans="1:5">
      <c r="A85" s="325">
        <v>84</v>
      </c>
      <c r="B85" s="325"/>
      <c r="C85" s="325"/>
      <c r="D85" s="325"/>
      <c r="E85" s="325"/>
    </row>
    <row r="86" spans="1:5">
      <c r="A86" s="325">
        <v>85</v>
      </c>
      <c r="B86" s="325"/>
      <c r="C86" s="325"/>
      <c r="D86" s="325"/>
      <c r="E86" s="325"/>
    </row>
    <row r="87" spans="1:5">
      <c r="A87" s="325">
        <v>86</v>
      </c>
      <c r="B87" s="325"/>
      <c r="C87" s="325"/>
      <c r="D87" s="325"/>
      <c r="E87" s="325"/>
    </row>
    <row r="88" spans="1:5">
      <c r="A88" s="325">
        <v>87</v>
      </c>
      <c r="B88" s="325"/>
      <c r="C88" s="325"/>
      <c r="D88" s="325"/>
      <c r="E88" s="325"/>
    </row>
    <row r="89" spans="1:5">
      <c r="A89" s="325">
        <v>88</v>
      </c>
      <c r="B89" s="325"/>
      <c r="C89" s="325"/>
      <c r="D89" s="325"/>
      <c r="E89" s="325"/>
    </row>
    <row r="90" spans="1:5">
      <c r="A90" s="325">
        <v>89</v>
      </c>
      <c r="B90" s="325"/>
      <c r="C90" s="325"/>
      <c r="E90" s="325"/>
    </row>
    <row r="91" spans="1:5">
      <c r="A91" s="325">
        <v>90</v>
      </c>
      <c r="B91" s="325"/>
      <c r="C91" s="325"/>
      <c r="E91" s="325"/>
    </row>
    <row r="92" spans="1:5">
      <c r="A92" s="325">
        <v>91</v>
      </c>
      <c r="B92" s="325"/>
      <c r="C92" s="325"/>
      <c r="E92" s="325"/>
    </row>
    <row r="93" spans="1:5">
      <c r="A93" s="325">
        <v>92</v>
      </c>
      <c r="B93" s="325"/>
      <c r="C93" s="325"/>
      <c r="E93" s="325"/>
    </row>
    <row r="94" spans="1:5">
      <c r="A94" s="325">
        <v>93</v>
      </c>
      <c r="B94" s="325"/>
      <c r="C94" s="325"/>
      <c r="D94" s="325"/>
      <c r="E94" s="325"/>
    </row>
    <row r="95" spans="1:5">
      <c r="A95" s="325">
        <v>94</v>
      </c>
      <c r="B95" s="325"/>
      <c r="C95" s="325"/>
      <c r="D95" s="325"/>
      <c r="E95" s="325"/>
    </row>
    <row r="96" spans="1:5">
      <c r="A96" s="325">
        <v>95</v>
      </c>
      <c r="B96" s="325"/>
      <c r="C96" s="325"/>
      <c r="D96" s="325"/>
      <c r="E96" s="325"/>
    </row>
    <row r="97" spans="1:5">
      <c r="A97" s="325">
        <v>96</v>
      </c>
      <c r="B97" s="325"/>
      <c r="C97" s="325"/>
      <c r="D97" s="325"/>
      <c r="E97" s="325"/>
    </row>
    <row r="98" spans="1:5">
      <c r="A98" s="325">
        <v>97</v>
      </c>
      <c r="B98" s="325"/>
      <c r="C98" s="325"/>
      <c r="D98" s="325"/>
      <c r="E98" s="325"/>
    </row>
    <row r="99" spans="1:5">
      <c r="A99" s="325">
        <v>98</v>
      </c>
      <c r="B99" s="325"/>
      <c r="C99" s="325"/>
      <c r="D99" s="325"/>
      <c r="E99" s="325"/>
    </row>
    <row r="100" spans="1:5">
      <c r="A100" s="325">
        <v>99</v>
      </c>
      <c r="B100" s="325"/>
      <c r="C100" s="325"/>
      <c r="D100" s="325"/>
      <c r="E100" s="325"/>
    </row>
    <row r="101" spans="1:5">
      <c r="A101" s="325">
        <v>100</v>
      </c>
      <c r="B101" s="325"/>
      <c r="C101" s="325"/>
      <c r="D101" s="325"/>
      <c r="E101" s="325"/>
    </row>
    <row r="102" spans="1:5">
      <c r="A102" s="325">
        <v>101</v>
      </c>
      <c r="B102" s="325"/>
      <c r="C102" s="325"/>
      <c r="D102" s="325"/>
      <c r="E102" s="325"/>
    </row>
    <row r="103" spans="1:5">
      <c r="A103" s="325">
        <v>102</v>
      </c>
      <c r="B103" s="325"/>
      <c r="C103" s="325"/>
      <c r="E103" s="325"/>
    </row>
    <row r="104" spans="1:5">
      <c r="A104" s="325">
        <v>103</v>
      </c>
      <c r="B104" s="325"/>
      <c r="C104" s="325"/>
      <c r="E104" s="325"/>
    </row>
    <row r="105" spans="1:5">
      <c r="A105" s="325">
        <v>104</v>
      </c>
      <c r="B105" s="325"/>
      <c r="C105" s="325"/>
      <c r="E105" s="325"/>
    </row>
    <row r="106" spans="1:5">
      <c r="A106" s="325">
        <v>105</v>
      </c>
      <c r="B106" s="325"/>
      <c r="C106" s="325"/>
      <c r="E106" s="325"/>
    </row>
    <row r="107" spans="1:5">
      <c r="A107" s="325">
        <v>106</v>
      </c>
      <c r="B107" s="325"/>
      <c r="C107" s="325"/>
      <c r="D107" s="325"/>
      <c r="E107" s="325"/>
    </row>
    <row r="108" spans="1:5">
      <c r="A108" s="325">
        <v>107</v>
      </c>
      <c r="B108" s="325"/>
      <c r="C108" s="325"/>
      <c r="D108" s="325"/>
      <c r="E108" s="325"/>
    </row>
    <row r="109" spans="1:5">
      <c r="A109" s="325">
        <v>108</v>
      </c>
      <c r="B109" s="325"/>
      <c r="C109" s="325"/>
      <c r="D109" s="325"/>
      <c r="E109" s="325"/>
    </row>
    <row r="110" spans="1:5">
      <c r="A110" s="325">
        <v>109</v>
      </c>
      <c r="B110" s="325"/>
      <c r="C110" s="325"/>
      <c r="D110" s="325"/>
      <c r="E110" s="325"/>
    </row>
    <row r="111" spans="1:5">
      <c r="A111" s="325">
        <v>110</v>
      </c>
      <c r="B111" s="325"/>
      <c r="C111" s="325"/>
      <c r="D111" s="325"/>
      <c r="E111" s="325"/>
    </row>
    <row r="112" spans="1:5">
      <c r="A112" s="325">
        <v>111</v>
      </c>
      <c r="B112" s="325"/>
      <c r="C112" s="325"/>
      <c r="D112" s="325"/>
      <c r="E112" s="325"/>
    </row>
    <row r="113" spans="1:5">
      <c r="A113" s="325">
        <v>112</v>
      </c>
      <c r="B113" s="325"/>
      <c r="C113" s="325"/>
      <c r="D113" s="325"/>
      <c r="E113" s="325"/>
    </row>
    <row r="114" spans="1:5">
      <c r="A114" s="325">
        <v>113</v>
      </c>
      <c r="B114" s="325"/>
      <c r="C114" s="325"/>
      <c r="D114" s="325"/>
      <c r="E114" s="325"/>
    </row>
    <row r="115" spans="1:5">
      <c r="A115" s="325">
        <v>114</v>
      </c>
      <c r="B115" s="325"/>
      <c r="C115" s="325"/>
      <c r="D115" s="325"/>
      <c r="E115" s="325"/>
    </row>
    <row r="116" spans="1:5">
      <c r="A116" s="325">
        <v>115</v>
      </c>
      <c r="B116" s="325"/>
      <c r="C116" s="325"/>
      <c r="E116" s="325"/>
    </row>
    <row r="117" spans="1:5">
      <c r="A117" s="325">
        <v>116</v>
      </c>
      <c r="B117" s="325"/>
      <c r="C117" s="325"/>
      <c r="E117" s="325"/>
    </row>
    <row r="118" spans="1:5">
      <c r="A118" s="325">
        <v>117</v>
      </c>
      <c r="B118" s="325"/>
      <c r="C118" s="325"/>
      <c r="E118" s="325"/>
    </row>
    <row r="119" spans="1:5">
      <c r="A119" s="325">
        <v>118</v>
      </c>
      <c r="B119" s="325"/>
      <c r="C119" s="325"/>
      <c r="E119" s="325"/>
    </row>
    <row r="120" spans="1:5">
      <c r="A120" s="325">
        <v>119</v>
      </c>
      <c r="B120" s="325"/>
      <c r="C120" s="325"/>
      <c r="D120" s="325"/>
      <c r="E120" s="325"/>
    </row>
    <row r="121" spans="1:5">
      <c r="A121" s="325">
        <v>120</v>
      </c>
      <c r="B121" s="325"/>
      <c r="C121" s="325"/>
      <c r="D121" s="325"/>
      <c r="E121" s="325"/>
    </row>
    <row r="122" spans="1:5">
      <c r="A122" s="325">
        <v>121</v>
      </c>
      <c r="B122" s="325"/>
      <c r="C122" s="325"/>
      <c r="D122" s="325"/>
      <c r="E122" s="325"/>
    </row>
    <row r="123" spans="1:5">
      <c r="A123" s="325">
        <v>122</v>
      </c>
      <c r="B123" s="325"/>
      <c r="C123" s="325"/>
      <c r="D123" s="325"/>
      <c r="E123" s="325"/>
    </row>
    <row r="124" spans="1:5">
      <c r="A124" s="325">
        <v>123</v>
      </c>
      <c r="B124" s="325"/>
      <c r="C124" s="325"/>
      <c r="D124" s="325"/>
      <c r="E124" s="325"/>
    </row>
    <row r="125" spans="1:5">
      <c r="A125" s="325">
        <v>124</v>
      </c>
      <c r="B125" s="325"/>
      <c r="C125" s="325"/>
      <c r="D125" s="325"/>
      <c r="E125" s="325"/>
    </row>
    <row r="126" spans="1:5">
      <c r="A126" s="325">
        <v>125</v>
      </c>
      <c r="B126" s="325"/>
      <c r="C126" s="325"/>
      <c r="D126" s="325"/>
      <c r="E126" s="325"/>
    </row>
    <row r="127" spans="1:5">
      <c r="A127" s="325">
        <v>126</v>
      </c>
      <c r="B127" s="325"/>
      <c r="C127" s="325"/>
      <c r="D127" s="325"/>
      <c r="E127" s="325"/>
    </row>
    <row r="128" spans="1:5">
      <c r="A128" s="325">
        <v>127</v>
      </c>
      <c r="B128" s="325"/>
      <c r="C128" s="325"/>
      <c r="D128" s="325"/>
      <c r="E128" s="325"/>
    </row>
    <row r="129" spans="1:5">
      <c r="A129" s="325">
        <v>128</v>
      </c>
      <c r="B129" s="325"/>
      <c r="C129" s="325"/>
      <c r="E129" s="325"/>
    </row>
    <row r="130" spans="1:5">
      <c r="A130" s="325">
        <v>129</v>
      </c>
      <c r="B130" s="325"/>
      <c r="C130" s="325"/>
      <c r="E130" s="325"/>
    </row>
    <row r="131" spans="1:5">
      <c r="A131" s="325">
        <v>130</v>
      </c>
      <c r="B131" s="325"/>
      <c r="C131" s="325"/>
      <c r="E131" s="325"/>
    </row>
    <row r="132" spans="1:5">
      <c r="A132" s="325">
        <v>131</v>
      </c>
      <c r="B132" s="325"/>
      <c r="C132" s="325"/>
      <c r="E132" s="325"/>
    </row>
    <row r="133" spans="1:5">
      <c r="A133" s="325">
        <v>133</v>
      </c>
      <c r="B133" s="325"/>
      <c r="C133" s="325"/>
      <c r="D133" s="325"/>
      <c r="E133" s="325"/>
    </row>
    <row r="134" spans="1:5">
      <c r="A134" s="325">
        <v>134</v>
      </c>
      <c r="B134" s="325"/>
      <c r="C134" s="325"/>
      <c r="D134" s="325"/>
      <c r="E134" s="325"/>
    </row>
    <row r="135" spans="1:5">
      <c r="A135" s="325">
        <v>135</v>
      </c>
      <c r="B135" s="325"/>
      <c r="C135" s="325"/>
      <c r="D135" s="325"/>
      <c r="E135" s="325"/>
    </row>
    <row r="136" spans="1:5">
      <c r="A136" s="325">
        <v>136</v>
      </c>
      <c r="B136" s="325"/>
      <c r="C136" s="325"/>
      <c r="D136" s="325"/>
      <c r="E136" s="325"/>
    </row>
    <row r="137" spans="1:5">
      <c r="A137" s="325">
        <v>137</v>
      </c>
      <c r="B137" s="325"/>
      <c r="C137" s="325"/>
      <c r="D137" s="325"/>
      <c r="E137" s="325"/>
    </row>
    <row r="138" spans="1:5">
      <c r="A138" s="325">
        <v>138</v>
      </c>
      <c r="B138" s="325"/>
      <c r="C138" s="325"/>
      <c r="D138" s="325"/>
      <c r="E138" s="325"/>
    </row>
    <row r="139" spans="1:5">
      <c r="A139" s="325">
        <v>139</v>
      </c>
      <c r="B139" s="325"/>
      <c r="C139" s="325"/>
      <c r="D139" s="325"/>
      <c r="E139" s="325"/>
    </row>
    <row r="140" spans="1:5">
      <c r="A140" s="325">
        <v>140</v>
      </c>
      <c r="B140" s="325"/>
      <c r="C140" s="325"/>
      <c r="D140" s="325"/>
      <c r="E140" s="325"/>
    </row>
    <row r="141" spans="1:5">
      <c r="A141" s="325">
        <v>141</v>
      </c>
      <c r="B141" s="325"/>
      <c r="C141" s="325"/>
      <c r="D141" s="325"/>
      <c r="E141" s="325"/>
    </row>
    <row r="142" spans="1:5">
      <c r="A142" s="325">
        <v>142</v>
      </c>
      <c r="B142" s="325"/>
      <c r="C142" s="325"/>
      <c r="D142" s="325"/>
      <c r="E142" s="325"/>
    </row>
    <row r="143" spans="1:5">
      <c r="A143" s="325">
        <v>143</v>
      </c>
      <c r="B143" s="325"/>
      <c r="C143" s="325"/>
      <c r="D143" s="325"/>
      <c r="E143" s="325"/>
    </row>
    <row r="144" spans="1:5">
      <c r="A144" s="325">
        <v>144</v>
      </c>
      <c r="B144" s="325"/>
      <c r="C144" s="325"/>
      <c r="D144" s="325"/>
      <c r="E144" s="325"/>
    </row>
    <row r="145" spans="1:5">
      <c r="A145" s="325">
        <v>145</v>
      </c>
      <c r="B145" s="325"/>
      <c r="C145" s="325"/>
      <c r="D145" s="325"/>
      <c r="E145" s="325"/>
    </row>
    <row r="146" spans="1:5">
      <c r="A146" s="325">
        <v>146</v>
      </c>
      <c r="B146" s="325"/>
      <c r="C146" s="325"/>
      <c r="D146" s="325"/>
      <c r="E146" s="325"/>
    </row>
    <row r="147" spans="1:5">
      <c r="A147" s="325">
        <v>147</v>
      </c>
      <c r="B147" s="325"/>
      <c r="C147" s="325"/>
      <c r="D147" s="325"/>
      <c r="E147" s="325"/>
    </row>
    <row r="148" spans="1:5">
      <c r="A148" s="325">
        <v>148</v>
      </c>
      <c r="B148" s="325"/>
      <c r="C148" s="325"/>
      <c r="D148" s="325"/>
      <c r="E148" s="325"/>
    </row>
    <row r="149" spans="1:5">
      <c r="A149" s="325">
        <v>149</v>
      </c>
      <c r="B149" s="325"/>
      <c r="C149" s="325"/>
      <c r="D149" s="325"/>
      <c r="E149" s="325"/>
    </row>
    <row r="150" spans="1:5">
      <c r="A150" s="325">
        <v>150</v>
      </c>
      <c r="B150" s="325"/>
      <c r="C150" s="325"/>
      <c r="D150" s="325"/>
      <c r="E150" s="325"/>
    </row>
    <row r="151" spans="1:5">
      <c r="A151" s="325">
        <v>151</v>
      </c>
      <c r="B151" s="325"/>
      <c r="C151" s="325"/>
      <c r="D151" s="325"/>
      <c r="E151" s="325"/>
    </row>
    <row r="152" spans="1:5">
      <c r="A152" s="325">
        <v>152</v>
      </c>
      <c r="B152" s="325"/>
      <c r="C152" s="325"/>
      <c r="D152" s="325"/>
      <c r="E152" s="325"/>
    </row>
    <row r="153" spans="1:5">
      <c r="A153" s="325">
        <v>153</v>
      </c>
      <c r="B153" s="325"/>
      <c r="C153" s="325"/>
      <c r="D153" s="325"/>
      <c r="E153" s="325"/>
    </row>
    <row r="154" spans="1:5">
      <c r="A154" s="325">
        <v>154</v>
      </c>
      <c r="B154" s="325"/>
      <c r="C154" s="325"/>
      <c r="D154" s="325"/>
      <c r="E154" s="325"/>
    </row>
    <row r="155" spans="1:5">
      <c r="A155" s="325">
        <v>155</v>
      </c>
      <c r="B155" s="325"/>
      <c r="C155" s="325"/>
      <c r="D155" s="325"/>
      <c r="E155" s="325"/>
    </row>
    <row r="156" spans="1:5">
      <c r="A156" s="325">
        <v>156</v>
      </c>
      <c r="B156" s="327"/>
      <c r="C156" s="327"/>
      <c r="D156" s="327"/>
      <c r="E156" s="325"/>
    </row>
    <row r="157" spans="1:5">
      <c r="A157" s="325">
        <v>157</v>
      </c>
      <c r="B157" s="327"/>
      <c r="C157" s="327"/>
      <c r="D157" s="327"/>
      <c r="E157" s="327"/>
    </row>
    <row r="158" spans="1:5">
      <c r="A158" s="325">
        <v>158</v>
      </c>
      <c r="B158" s="327"/>
      <c r="C158" s="327"/>
      <c r="D158" s="327"/>
      <c r="E158" s="327"/>
    </row>
    <row r="159" spans="1:5">
      <c r="A159" s="327">
        <v>159</v>
      </c>
      <c r="B159" s="327"/>
      <c r="C159" s="327"/>
      <c r="D159" s="327"/>
      <c r="E159" s="327"/>
    </row>
    <row r="160" spans="1:5">
      <c r="A160" s="327">
        <v>160</v>
      </c>
      <c r="B160" s="327"/>
      <c r="C160" s="327"/>
      <c r="D160" s="327"/>
      <c r="E160" s="327"/>
    </row>
    <row r="161" spans="1:5">
      <c r="A161" s="327">
        <v>161</v>
      </c>
      <c r="B161" s="327"/>
      <c r="C161" s="327"/>
      <c r="D161" s="327"/>
      <c r="E161" s="327"/>
    </row>
    <row r="162" spans="1:5">
      <c r="A162" s="327">
        <v>162</v>
      </c>
      <c r="B162" s="327"/>
      <c r="C162" s="327"/>
      <c r="D162" s="327"/>
      <c r="E162" s="327"/>
    </row>
    <row r="163" spans="1:5">
      <c r="A163" s="327">
        <v>163</v>
      </c>
      <c r="B163" s="327"/>
      <c r="C163" s="327"/>
      <c r="D163" s="327"/>
      <c r="E163" s="327"/>
    </row>
    <row r="164" spans="1:5">
      <c r="A164" s="327">
        <v>164</v>
      </c>
      <c r="B164" s="327"/>
      <c r="C164" s="327"/>
      <c r="D164" s="327"/>
      <c r="E164" s="327"/>
    </row>
    <row r="165" spans="1:5">
      <c r="A165" s="327">
        <v>165</v>
      </c>
      <c r="B165" s="327"/>
      <c r="C165" s="327"/>
      <c r="D165" s="327"/>
      <c r="E165" s="327"/>
    </row>
    <row r="166" spans="1:5">
      <c r="A166" s="327">
        <v>166</v>
      </c>
      <c r="B166" s="327"/>
      <c r="C166" s="327"/>
      <c r="D166" s="327"/>
      <c r="E166" s="327"/>
    </row>
    <row r="167" spans="1:5">
      <c r="A167" s="327">
        <v>167</v>
      </c>
      <c r="B167" s="327"/>
      <c r="C167" s="327"/>
      <c r="D167" s="327"/>
      <c r="E167" s="327"/>
    </row>
    <row r="168" spans="1:5">
      <c r="A168" s="327">
        <v>168</v>
      </c>
      <c r="B168" s="327"/>
      <c r="C168" s="327"/>
      <c r="D168" s="327"/>
      <c r="E168" s="327"/>
    </row>
    <row r="169" spans="1:5">
      <c r="A169" s="327">
        <v>169</v>
      </c>
      <c r="B169" s="327"/>
      <c r="C169" s="327"/>
      <c r="D169" s="327"/>
      <c r="E169" s="327"/>
    </row>
    <row r="170" spans="1:5">
      <c r="A170" s="327">
        <v>170</v>
      </c>
      <c r="B170" s="327"/>
      <c r="C170" s="327"/>
      <c r="D170" s="327"/>
      <c r="E170" s="327"/>
    </row>
    <row r="171" spans="1:5">
      <c r="A171" s="327">
        <v>171</v>
      </c>
      <c r="B171" s="327"/>
      <c r="C171" s="327"/>
      <c r="D171" s="327"/>
      <c r="E171" s="327"/>
    </row>
    <row r="172" spans="1:5">
      <c r="A172" s="327">
        <v>172</v>
      </c>
      <c r="B172" s="327"/>
      <c r="C172" s="327"/>
      <c r="D172" s="327"/>
      <c r="E172" s="327"/>
    </row>
    <row r="173" spans="1:5">
      <c r="A173" s="327">
        <v>173</v>
      </c>
      <c r="B173" s="327"/>
      <c r="C173" s="327"/>
      <c r="D173" s="327"/>
      <c r="E173" s="327"/>
    </row>
    <row r="174" spans="1:5">
      <c r="A174" s="327">
        <v>174</v>
      </c>
      <c r="B174" s="327"/>
      <c r="C174" s="327"/>
      <c r="D174" s="327"/>
      <c r="E174" s="327"/>
    </row>
    <row r="175" spans="1:5">
      <c r="A175" s="327">
        <v>175</v>
      </c>
      <c r="B175" s="327"/>
      <c r="C175" s="327"/>
      <c r="D175" s="327"/>
      <c r="E175" s="327"/>
    </row>
    <row r="176" spans="1:5">
      <c r="A176" s="327">
        <v>176</v>
      </c>
      <c r="B176" s="327"/>
      <c r="C176" s="327"/>
      <c r="D176" s="327"/>
      <c r="E176" s="327"/>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42"/>
  <sheetViews>
    <sheetView topLeftCell="J1" workbookViewId="0">
      <selection activeCell="N1" sqref="N1:N50000"/>
    </sheetView>
  </sheetViews>
  <sheetFormatPr defaultRowHeight="13.5"/>
  <cols>
    <col min="1" max="1" width="3" customWidth="1"/>
    <col min="2" max="2" width="13.875" customWidth="1"/>
    <col min="3" max="3" width="11.75" bestFit="1" customWidth="1"/>
    <col min="4" max="4" width="14.625" bestFit="1" customWidth="1"/>
    <col min="5" max="5" width="24.25" bestFit="1" customWidth="1"/>
    <col min="6" max="6" width="24.875" bestFit="1" customWidth="1"/>
    <col min="7" max="7" width="22.875" bestFit="1" customWidth="1"/>
    <col min="8" max="8" width="25.625" bestFit="1" customWidth="1"/>
    <col min="9" max="9" width="26.125" bestFit="1" customWidth="1"/>
    <col min="10" max="10" width="24" bestFit="1" customWidth="1"/>
    <col min="11" max="11" width="31" bestFit="1" customWidth="1"/>
    <col min="12" max="12" width="31.25" bestFit="1" customWidth="1"/>
    <col min="13" max="13" width="22" bestFit="1" customWidth="1"/>
    <col min="14" max="14" width="23.125" bestFit="1" customWidth="1"/>
    <col min="15" max="16" width="2.25" bestFit="1" customWidth="1"/>
  </cols>
  <sheetData>
    <row r="1" spans="1:14">
      <c r="A1" s="155" t="s">
        <v>141</v>
      </c>
      <c r="B1" s="155" t="s">
        <v>140</v>
      </c>
      <c r="C1" s="155" t="s">
        <v>139</v>
      </c>
      <c r="D1" s="155" t="s">
        <v>138</v>
      </c>
      <c r="E1" s="155" t="s">
        <v>137</v>
      </c>
      <c r="F1" s="155" t="s">
        <v>142</v>
      </c>
      <c r="G1" s="155" t="s">
        <v>143</v>
      </c>
      <c r="H1" s="155" t="s">
        <v>144</v>
      </c>
      <c r="I1" s="155" t="s">
        <v>145</v>
      </c>
      <c r="J1" s="155" t="s">
        <v>146</v>
      </c>
      <c r="K1" s="155" t="s">
        <v>147</v>
      </c>
      <c r="L1" s="155" t="s">
        <v>148</v>
      </c>
      <c r="M1" s="155" t="s">
        <v>149</v>
      </c>
      <c r="N1" s="155" t="s">
        <v>150</v>
      </c>
    </row>
    <row r="2" spans="1:14" s="23" customFormat="1" ht="27">
      <c r="A2" s="325">
        <v>1</v>
      </c>
      <c r="B2" s="325" t="s">
        <v>152</v>
      </c>
      <c r="C2" s="325" t="s">
        <v>93</v>
      </c>
      <c r="D2" s="325" t="s">
        <v>153</v>
      </c>
      <c r="E2" s="325" t="s">
        <v>154</v>
      </c>
      <c r="F2" s="325" t="s">
        <v>155</v>
      </c>
      <c r="G2" s="325" t="s">
        <v>156</v>
      </c>
      <c r="H2" s="325" t="s">
        <v>157</v>
      </c>
      <c r="I2" s="325" t="s">
        <v>158</v>
      </c>
      <c r="J2" s="325" t="s">
        <v>159</v>
      </c>
      <c r="K2" s="325" t="s">
        <v>160</v>
      </c>
      <c r="L2" s="325" t="s">
        <v>161</v>
      </c>
      <c r="M2" s="325" t="s">
        <v>162</v>
      </c>
      <c r="N2" s="325" t="s">
        <v>163</v>
      </c>
    </row>
    <row r="3" spans="1:14" s="23" customFormat="1">
      <c r="A3" s="325"/>
      <c r="B3" s="325"/>
      <c r="C3" s="325"/>
      <c r="D3" s="325"/>
      <c r="E3" s="325"/>
      <c r="F3" s="325"/>
      <c r="G3" s="325"/>
      <c r="H3" s="325"/>
      <c r="I3" s="325"/>
      <c r="J3" s="325"/>
      <c r="K3" s="325"/>
      <c r="L3" s="325"/>
      <c r="M3" s="325"/>
      <c r="N3" s="325"/>
    </row>
    <row r="4" spans="1:14" s="23" customFormat="1">
      <c r="A4" s="325"/>
      <c r="B4" s="325"/>
      <c r="C4" s="325"/>
      <c r="D4" s="325"/>
      <c r="E4" s="325"/>
      <c r="F4" s="325"/>
      <c r="G4" s="325"/>
      <c r="H4" s="325"/>
      <c r="I4" s="325"/>
      <c r="J4" s="325"/>
      <c r="K4" s="325"/>
      <c r="L4" s="325"/>
      <c r="M4" s="325"/>
      <c r="N4" s="325"/>
    </row>
    <row r="5" spans="1:14" s="23" customFormat="1">
      <c r="A5" s="325"/>
      <c r="B5" s="325"/>
      <c r="C5" s="325"/>
      <c r="D5" s="325"/>
      <c r="E5" s="325"/>
      <c r="F5" s="325"/>
      <c r="G5" s="325"/>
      <c r="H5" s="325"/>
      <c r="I5" s="325"/>
      <c r="J5" s="325"/>
      <c r="K5" s="325"/>
      <c r="L5" s="325"/>
      <c r="M5" s="325"/>
      <c r="N5" s="325"/>
    </row>
    <row r="6" spans="1:14" s="23" customFormat="1">
      <c r="A6" s="325"/>
      <c r="B6" s="325"/>
      <c r="C6" s="325"/>
      <c r="D6" s="325"/>
      <c r="E6" s="325"/>
      <c r="F6" s="325"/>
      <c r="G6" s="325"/>
      <c r="H6" s="325"/>
      <c r="I6" s="325"/>
      <c r="J6" s="325"/>
      <c r="K6" s="325"/>
      <c r="L6" s="325"/>
      <c r="M6" s="325"/>
      <c r="N6" s="325"/>
    </row>
    <row r="7" spans="1:14" s="23" customFormat="1">
      <c r="A7" s="325"/>
      <c r="B7" s="325"/>
      <c r="C7" s="325"/>
      <c r="D7" s="325"/>
      <c r="E7" s="325"/>
      <c r="F7" s="325"/>
      <c r="G7" s="325"/>
      <c r="H7" s="325"/>
      <c r="I7" s="325"/>
      <c r="J7" s="325"/>
      <c r="K7" s="325"/>
      <c r="L7" s="325"/>
      <c r="M7" s="325"/>
      <c r="N7" s="325"/>
    </row>
    <row r="8" spans="1:14" s="23" customFormat="1">
      <c r="A8" s="325"/>
      <c r="B8" s="325"/>
      <c r="C8" s="325"/>
      <c r="D8" s="325"/>
      <c r="E8" s="325"/>
      <c r="F8" s="325"/>
      <c r="G8" s="325"/>
      <c r="H8" s="325"/>
      <c r="I8" s="325"/>
      <c r="J8" s="325"/>
      <c r="K8" s="325"/>
      <c r="L8" s="325"/>
      <c r="M8" s="325"/>
      <c r="N8" s="325"/>
    </row>
    <row r="9" spans="1:14" s="23" customFormat="1">
      <c r="A9" s="325"/>
      <c r="B9" s="325"/>
      <c r="C9" s="325"/>
      <c r="D9" s="325"/>
      <c r="E9" s="325"/>
      <c r="F9" s="325"/>
      <c r="G9" s="325"/>
      <c r="H9" s="325"/>
      <c r="I9" s="325"/>
      <c r="J9" s="325"/>
      <c r="K9" s="325"/>
      <c r="L9" s="325"/>
      <c r="M9" s="325"/>
      <c r="N9" s="325"/>
    </row>
    <row r="10" spans="1:14" s="23" customFormat="1">
      <c r="A10" s="325"/>
      <c r="B10" s="325"/>
      <c r="C10" s="325"/>
      <c r="D10" s="325"/>
      <c r="E10" s="325"/>
      <c r="F10" s="325"/>
      <c r="G10" s="325"/>
      <c r="H10" s="325"/>
      <c r="I10" s="325"/>
      <c r="J10" s="325"/>
      <c r="K10" s="325"/>
      <c r="L10" s="325"/>
      <c r="M10" s="325"/>
      <c r="N10" s="325"/>
    </row>
    <row r="11" spans="1:14" s="23" customFormat="1">
      <c r="A11" s="325"/>
      <c r="B11" s="325"/>
      <c r="C11" s="325"/>
      <c r="D11" s="325"/>
      <c r="E11" s="325"/>
      <c r="F11" s="325"/>
      <c r="G11" s="325"/>
      <c r="H11" s="325"/>
      <c r="I11" s="325"/>
      <c r="J11" s="325"/>
      <c r="K11" s="325"/>
      <c r="L11" s="325"/>
      <c r="M11" s="325"/>
      <c r="N11" s="325"/>
    </row>
    <row r="12" spans="1:14" s="23" customFormat="1">
      <c r="A12" s="325"/>
      <c r="B12" s="325"/>
      <c r="C12" s="325"/>
      <c r="D12" s="325"/>
      <c r="E12" s="325"/>
      <c r="F12" s="325"/>
      <c r="G12" s="325"/>
      <c r="H12" s="325"/>
      <c r="I12" s="325"/>
      <c r="J12" s="325"/>
      <c r="K12" s="325"/>
      <c r="L12" s="325"/>
      <c r="M12" s="325"/>
      <c r="N12" s="325"/>
    </row>
    <row r="13" spans="1:14" s="23" customFormat="1">
      <c r="A13" s="325"/>
      <c r="B13" s="325"/>
      <c r="C13" s="325"/>
      <c r="D13" s="325"/>
      <c r="E13" s="325"/>
      <c r="F13" s="325"/>
      <c r="G13" s="325"/>
      <c r="H13" s="325"/>
      <c r="I13" s="325"/>
      <c r="J13" s="325"/>
      <c r="K13" s="325"/>
      <c r="L13" s="325"/>
      <c r="M13" s="325"/>
      <c r="N13" s="325"/>
    </row>
    <row r="14" spans="1:14" s="23" customFormat="1">
      <c r="A14" s="325"/>
      <c r="B14" s="325"/>
      <c r="C14" s="325"/>
      <c r="D14" s="325"/>
      <c r="E14" s="325"/>
      <c r="F14" s="325"/>
      <c r="G14" s="325"/>
      <c r="H14" s="325"/>
      <c r="I14" s="325"/>
      <c r="J14" s="325"/>
      <c r="K14" s="325"/>
      <c r="L14" s="325"/>
      <c r="M14" s="325"/>
      <c r="N14" s="325"/>
    </row>
    <row r="15" spans="1:14" s="23" customFormat="1">
      <c r="A15" s="325"/>
      <c r="B15" s="325"/>
      <c r="C15" s="325"/>
      <c r="D15" s="325"/>
      <c r="E15" s="325"/>
      <c r="F15" s="325"/>
      <c r="G15" s="325"/>
      <c r="H15" s="325"/>
      <c r="I15" s="325"/>
      <c r="J15" s="325"/>
      <c r="K15" s="325"/>
      <c r="L15" s="325"/>
      <c r="M15" s="325"/>
      <c r="N15" s="325"/>
    </row>
    <row r="16" spans="1:14" s="23" customFormat="1">
      <c r="A16" s="325"/>
      <c r="B16" s="325"/>
      <c r="C16" s="325"/>
      <c r="D16" s="325"/>
      <c r="E16" s="325"/>
      <c r="F16" s="325"/>
      <c r="G16" s="325"/>
      <c r="H16" s="325"/>
      <c r="I16" s="325"/>
      <c r="J16" s="325"/>
      <c r="K16" s="325"/>
      <c r="L16" s="325"/>
      <c r="M16" s="325"/>
      <c r="N16" s="325"/>
    </row>
    <row r="17" spans="1:14" s="23" customFormat="1">
      <c r="A17" s="325"/>
      <c r="B17" s="325"/>
      <c r="C17" s="325"/>
      <c r="D17" s="325"/>
      <c r="E17" s="325"/>
      <c r="F17" s="325"/>
      <c r="G17" s="325"/>
      <c r="H17" s="325"/>
      <c r="I17" s="325"/>
      <c r="J17" s="325"/>
      <c r="K17" s="325"/>
      <c r="L17" s="325"/>
      <c r="M17" s="325"/>
      <c r="N17" s="325"/>
    </row>
    <row r="18" spans="1:14" s="23" customFormat="1">
      <c r="A18" s="325"/>
      <c r="B18" s="325"/>
      <c r="C18" s="325"/>
      <c r="D18" s="325"/>
      <c r="E18" s="325"/>
      <c r="F18" s="325"/>
      <c r="G18" s="325"/>
      <c r="H18" s="325"/>
      <c r="I18" s="325"/>
      <c r="J18" s="325"/>
      <c r="K18" s="325"/>
      <c r="L18" s="325"/>
      <c r="M18" s="325"/>
      <c r="N18" s="325"/>
    </row>
    <row r="19" spans="1:14" s="23" customFormat="1">
      <c r="A19" s="325"/>
      <c r="B19" s="325"/>
      <c r="C19" s="325"/>
      <c r="D19" s="325"/>
      <c r="E19" s="325"/>
      <c r="F19" s="325"/>
      <c r="G19" s="325"/>
      <c r="H19" s="325"/>
      <c r="I19" s="325"/>
      <c r="J19" s="325"/>
      <c r="K19" s="325"/>
      <c r="L19" s="325"/>
      <c r="M19" s="325"/>
      <c r="N19" s="325"/>
    </row>
    <row r="20" spans="1:14" s="23" customFormat="1">
      <c r="A20" s="325"/>
      <c r="B20" s="325"/>
      <c r="C20" s="325"/>
      <c r="D20" s="325"/>
      <c r="E20" s="325"/>
      <c r="F20" s="325"/>
      <c r="G20" s="325"/>
      <c r="H20" s="325"/>
      <c r="I20" s="325"/>
      <c r="J20" s="325"/>
      <c r="K20" s="325"/>
      <c r="L20" s="325"/>
      <c r="M20" s="325"/>
      <c r="N20" s="325"/>
    </row>
    <row r="21" spans="1:14" s="23" customFormat="1">
      <c r="A21" s="325"/>
      <c r="B21" s="325"/>
      <c r="C21" s="325"/>
      <c r="D21" s="325"/>
      <c r="E21" s="325"/>
      <c r="F21" s="325"/>
      <c r="G21" s="325"/>
      <c r="H21" s="325"/>
      <c r="I21" s="325"/>
      <c r="J21" s="325"/>
      <c r="K21" s="325"/>
      <c r="L21" s="325"/>
      <c r="M21" s="325"/>
      <c r="N21" s="325"/>
    </row>
    <row r="22" spans="1:14">
      <c r="A22" s="325"/>
      <c r="B22" s="325"/>
      <c r="C22" s="325"/>
      <c r="D22" s="325"/>
      <c r="E22" s="325"/>
      <c r="F22" s="325"/>
      <c r="G22" s="325"/>
      <c r="H22" s="325"/>
      <c r="I22" s="325"/>
      <c r="J22" s="325"/>
      <c r="K22" s="325"/>
      <c r="L22" s="325"/>
      <c r="M22" s="325"/>
      <c r="N22" s="325"/>
    </row>
    <row r="23" spans="1:14">
      <c r="A23" s="325"/>
      <c r="B23" s="325"/>
      <c r="C23" s="325"/>
      <c r="D23" s="325"/>
      <c r="E23" s="325"/>
      <c r="H23" s="325"/>
      <c r="I23" s="325"/>
      <c r="K23" s="325"/>
      <c r="L23" s="325"/>
      <c r="M23" s="325"/>
      <c r="N23" s="325"/>
    </row>
    <row r="24" spans="1:14">
      <c r="A24" s="325"/>
      <c r="B24" s="325"/>
      <c r="C24" s="325"/>
      <c r="D24" s="325"/>
      <c r="E24" s="325"/>
      <c r="F24" s="325"/>
      <c r="H24" s="325"/>
      <c r="I24" s="325"/>
      <c r="J24" s="325"/>
      <c r="K24" s="325"/>
      <c r="L24" s="325"/>
      <c r="M24" s="325"/>
      <c r="N24" s="325"/>
    </row>
    <row r="25" spans="1:14">
      <c r="A25" s="325"/>
      <c r="B25" s="325"/>
      <c r="C25" s="325"/>
      <c r="D25" s="325"/>
      <c r="E25" s="325"/>
      <c r="F25" s="325"/>
      <c r="H25" s="325"/>
      <c r="I25" s="325"/>
      <c r="J25" s="325"/>
      <c r="K25" s="325"/>
      <c r="L25" s="325"/>
      <c r="M25" s="325"/>
      <c r="N25" s="325"/>
    </row>
    <row r="26" spans="1:14">
      <c r="A26" s="325"/>
      <c r="B26" s="325"/>
      <c r="C26" s="325"/>
      <c r="D26" s="325"/>
      <c r="H26" s="325"/>
      <c r="I26" s="325"/>
      <c r="K26" s="325"/>
      <c r="M26" s="325"/>
      <c r="N26" s="325"/>
    </row>
    <row r="27" spans="1:14">
      <c r="A27" s="325"/>
      <c r="B27" s="325"/>
      <c r="C27" s="325"/>
      <c r="D27" s="325"/>
      <c r="E27" s="325"/>
      <c r="H27" s="325"/>
      <c r="I27" s="325"/>
      <c r="K27" s="325"/>
      <c r="L27" s="325"/>
      <c r="M27" s="325"/>
      <c r="N27" s="325"/>
    </row>
    <row r="28" spans="1:14">
      <c r="A28" s="325"/>
      <c r="B28" s="325"/>
      <c r="C28" s="325"/>
      <c r="D28" s="325"/>
      <c r="E28" s="325"/>
      <c r="H28" s="325"/>
      <c r="I28" s="325"/>
      <c r="K28" s="325"/>
      <c r="L28" s="325"/>
      <c r="M28" s="325"/>
      <c r="N28" s="325"/>
    </row>
    <row r="29" spans="1:14">
      <c r="A29" s="325"/>
      <c r="B29" s="325"/>
      <c r="C29" s="325"/>
      <c r="D29" s="325"/>
      <c r="E29" s="325"/>
      <c r="H29" s="325"/>
      <c r="I29" s="325"/>
      <c r="K29" s="325"/>
      <c r="L29" s="325"/>
      <c r="M29" s="325"/>
      <c r="N29" s="325"/>
    </row>
    <row r="30" spans="1:14">
      <c r="A30" s="325"/>
      <c r="B30" s="325"/>
      <c r="C30" s="325"/>
      <c r="D30" s="325"/>
      <c r="H30" s="325"/>
      <c r="I30" s="325"/>
      <c r="K30" s="325"/>
      <c r="M30" s="325"/>
      <c r="N30" s="325"/>
    </row>
    <row r="31" spans="1:14">
      <c r="A31" s="325"/>
      <c r="B31" s="325"/>
      <c r="C31" s="325"/>
      <c r="D31" s="325"/>
      <c r="E31" s="325"/>
      <c r="H31" s="325"/>
      <c r="I31" s="325"/>
      <c r="K31" s="325"/>
      <c r="L31" s="325"/>
      <c r="M31" s="325"/>
      <c r="N31" s="325"/>
    </row>
    <row r="32" spans="1:14">
      <c r="A32" s="325"/>
      <c r="B32" s="325"/>
      <c r="C32" s="325"/>
      <c r="D32" s="325"/>
      <c r="E32" s="325"/>
      <c r="H32" s="325"/>
      <c r="I32" s="325"/>
      <c r="K32" s="325"/>
      <c r="L32" s="325"/>
      <c r="M32" s="325"/>
      <c r="N32" s="325"/>
    </row>
    <row r="33" spans="1:14">
      <c r="A33" s="325"/>
      <c r="B33" s="325"/>
      <c r="C33" s="325"/>
      <c r="D33" s="325"/>
      <c r="E33" s="325"/>
      <c r="H33" s="325"/>
      <c r="I33" s="325"/>
      <c r="J33" s="325"/>
      <c r="K33" s="325"/>
      <c r="L33" s="325"/>
      <c r="M33" s="325"/>
      <c r="N33" s="325"/>
    </row>
    <row r="34" spans="1:14">
      <c r="A34" s="325"/>
      <c r="B34" s="325"/>
      <c r="C34" s="325"/>
      <c r="D34" s="325"/>
      <c r="E34" s="325"/>
      <c r="F34" s="325"/>
      <c r="H34" s="325"/>
      <c r="I34" s="325"/>
      <c r="J34" s="325"/>
      <c r="K34" s="325"/>
      <c r="L34" s="325"/>
      <c r="M34" s="325"/>
      <c r="N34" s="325"/>
    </row>
    <row r="35" spans="1:14">
      <c r="A35" s="325"/>
      <c r="B35" s="325"/>
      <c r="C35" s="325"/>
      <c r="D35" s="325"/>
      <c r="E35" s="325"/>
      <c r="F35" s="325"/>
      <c r="G35" s="325"/>
      <c r="H35" s="325"/>
      <c r="I35" s="325"/>
      <c r="J35" s="325"/>
      <c r="K35" s="325"/>
      <c r="L35" s="325"/>
      <c r="M35" s="325"/>
      <c r="N35" s="325"/>
    </row>
    <row r="36" spans="1:14">
      <c r="A36" s="325"/>
      <c r="B36" s="325"/>
      <c r="C36" s="325"/>
      <c r="D36" s="325"/>
      <c r="E36" s="325"/>
      <c r="H36" s="325"/>
      <c r="I36" s="325"/>
      <c r="J36" s="325"/>
      <c r="K36" s="325"/>
      <c r="M36" s="325"/>
      <c r="N36" s="325"/>
    </row>
    <row r="37" spans="1:14">
      <c r="A37" s="325"/>
      <c r="B37" s="325"/>
      <c r="C37" s="325"/>
      <c r="D37" s="325"/>
      <c r="E37" s="325"/>
      <c r="H37" s="325"/>
      <c r="I37" s="325"/>
      <c r="K37" s="325"/>
      <c r="L37" s="325"/>
      <c r="M37" s="325"/>
      <c r="N37" s="325"/>
    </row>
    <row r="38" spans="1:14">
      <c r="A38" s="325"/>
      <c r="B38" s="325"/>
      <c r="C38" s="325"/>
      <c r="D38" s="325"/>
      <c r="E38" s="325"/>
      <c r="H38" s="325"/>
      <c r="I38" s="325"/>
      <c r="J38" s="325"/>
      <c r="K38" s="325"/>
      <c r="L38" s="325"/>
      <c r="M38" s="325"/>
      <c r="N38" s="325"/>
    </row>
    <row r="39" spans="1:14">
      <c r="A39" s="325"/>
      <c r="B39" s="325"/>
      <c r="C39" s="325"/>
      <c r="D39" s="325"/>
      <c r="E39" s="325"/>
      <c r="H39" s="325"/>
      <c r="I39" s="325"/>
      <c r="J39" s="325"/>
      <c r="K39" s="325"/>
      <c r="L39" s="325"/>
      <c r="M39" s="325"/>
      <c r="N39" s="325"/>
    </row>
    <row r="40" spans="1:14">
      <c r="A40" s="325"/>
      <c r="B40" s="325"/>
      <c r="C40" s="325"/>
      <c r="D40" s="325"/>
      <c r="E40" s="325"/>
      <c r="H40" s="325"/>
      <c r="I40" s="325"/>
      <c r="J40" s="325"/>
      <c r="K40" s="325"/>
      <c r="M40" s="325"/>
      <c r="N40" s="325"/>
    </row>
    <row r="41" spans="1:14">
      <c r="A41" s="325"/>
      <c r="B41" s="325"/>
      <c r="C41" s="325"/>
      <c r="D41" s="325"/>
      <c r="E41" s="325"/>
      <c r="H41" s="325"/>
      <c r="I41" s="325"/>
      <c r="K41" s="325"/>
      <c r="L41" s="325"/>
      <c r="M41" s="325"/>
      <c r="N41" s="325"/>
    </row>
    <row r="42" spans="1:14">
      <c r="A42" s="325"/>
      <c r="B42" s="325"/>
      <c r="C42" s="325"/>
      <c r="D42" s="325"/>
      <c r="E42" s="325"/>
      <c r="H42" s="325"/>
      <c r="I42" s="325"/>
      <c r="J42" s="325"/>
      <c r="K42" s="325"/>
      <c r="L42" s="325"/>
      <c r="M42" s="325"/>
      <c r="N42" s="325"/>
    </row>
  </sheetData>
  <phoneticPr fontId="4" type="noConversion"/>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E34"/>
  <sheetViews>
    <sheetView workbookViewId="0"/>
  </sheetViews>
  <sheetFormatPr defaultRowHeight="13.5"/>
  <cols>
    <col min="1" max="1" width="17.75" customWidth="1"/>
    <col min="2" max="2" width="24.25" customWidth="1"/>
    <col min="3" max="3" width="31.875" customWidth="1"/>
    <col min="4" max="4" width="11.75" customWidth="1"/>
    <col min="5" max="5" width="10.75" customWidth="1"/>
    <col min="7" max="7" width="4.875" customWidth="1"/>
    <col min="8" max="8" width="0.875" customWidth="1"/>
    <col min="9" max="9" width="7.375" customWidth="1"/>
    <col min="10" max="10" width="17.875" customWidth="1"/>
    <col min="11" max="11" width="28.375" customWidth="1"/>
  </cols>
  <sheetData>
    <row r="1" spans="1:12">
      <c r="A1" s="58"/>
      <c r="J1">
        <v>2</v>
      </c>
    </row>
    <row r="2" spans="1:12">
      <c r="C2" t="s">
        <v>536</v>
      </c>
      <c r="E2">
        <v>1</v>
      </c>
      <c r="F2" t="str">
        <f>INDEX($A$19:$A$22,$E$2)</f>
        <v>All</v>
      </c>
    </row>
    <row r="3" spans="1:12">
      <c r="A3" s="57"/>
    </row>
    <row r="4" spans="1:12">
      <c r="C4" t="s">
        <v>537</v>
      </c>
    </row>
    <row r="5" spans="1:12">
      <c r="A5" s="59"/>
      <c r="C5" t="s">
        <v>3</v>
      </c>
      <c r="D5" t="s">
        <v>538</v>
      </c>
      <c r="E5" t="s">
        <v>539</v>
      </c>
    </row>
    <row r="6" spans="1:12">
      <c r="C6" t="str">
        <f>A19</f>
        <v>All</v>
      </c>
      <c r="D6">
        <v>134</v>
      </c>
      <c r="E6">
        <v>144</v>
      </c>
    </row>
    <row r="7" spans="1:12">
      <c r="C7" t="str">
        <f>A20</f>
        <v>Retail</v>
      </c>
      <c r="D7">
        <v>145</v>
      </c>
      <c r="E7">
        <v>155</v>
      </c>
    </row>
    <row r="8" spans="1:12">
      <c r="C8" t="str">
        <f>A21</f>
        <v>Debit</v>
      </c>
      <c r="D8">
        <v>156</v>
      </c>
      <c r="E8">
        <v>157</v>
      </c>
    </row>
    <row r="9" spans="1:12">
      <c r="C9" t="str">
        <f>A22</f>
        <v>DMR</v>
      </c>
      <c r="D9">
        <v>158</v>
      </c>
      <c r="E9">
        <v>159</v>
      </c>
    </row>
    <row r="13" spans="1:12">
      <c r="C13" t="s">
        <v>540</v>
      </c>
      <c r="E13">
        <v>1</v>
      </c>
      <c r="F13" t="str">
        <f>INDEX($B$19:$B$27,$E$13)</f>
        <v>All</v>
      </c>
    </row>
    <row r="15" spans="1:12">
      <c r="J15">
        <v>2</v>
      </c>
    </row>
    <row r="16" spans="1:12">
      <c r="K16" t="s">
        <v>541</v>
      </c>
      <c r="L16">
        <v>110</v>
      </c>
    </row>
    <row r="18" spans="1:57" ht="14.25">
      <c r="A18" s="115" t="s">
        <v>3</v>
      </c>
      <c r="B18" s="115" t="s">
        <v>542</v>
      </c>
    </row>
    <row r="19" spans="1:57">
      <c r="A19" t="s">
        <v>6</v>
      </c>
      <c r="B19" s="329" t="s">
        <v>936</v>
      </c>
    </row>
    <row r="20" spans="1:57">
      <c r="A20" t="s">
        <v>7</v>
      </c>
      <c r="B20" s="116" t="s">
        <v>930</v>
      </c>
    </row>
    <row r="21" spans="1:57">
      <c r="A21" t="s">
        <v>8</v>
      </c>
      <c r="B21" s="116" t="s">
        <v>891</v>
      </c>
    </row>
    <row r="22" spans="1:57">
      <c r="A22" t="s">
        <v>9</v>
      </c>
      <c r="B22" s="117" t="s">
        <v>892</v>
      </c>
    </row>
    <row r="23" spans="1:57">
      <c r="B23" s="117" t="s">
        <v>893</v>
      </c>
    </row>
    <row r="24" spans="1:57">
      <c r="B24" s="117" t="s">
        <v>894</v>
      </c>
    </row>
    <row r="25" spans="1:57">
      <c r="B25" s="117" t="s">
        <v>895</v>
      </c>
    </row>
    <row r="26" spans="1:57">
      <c r="B26" s="117" t="s">
        <v>896</v>
      </c>
    </row>
    <row r="27" spans="1:57">
      <c r="B27" s="117" t="s">
        <v>897</v>
      </c>
    </row>
    <row r="28" spans="1:57" ht="14.25" thickBot="1">
      <c r="A28" t="s">
        <v>543</v>
      </c>
      <c r="B28" s="117"/>
    </row>
    <row r="29" spans="1:57" s="118" customFormat="1" ht="54">
      <c r="B29" s="215" t="s">
        <v>19</v>
      </c>
      <c r="C29" s="219" t="s">
        <v>45</v>
      </c>
      <c r="D29" s="219" t="s">
        <v>90</v>
      </c>
      <c r="E29" s="219" t="s">
        <v>90</v>
      </c>
      <c r="F29" s="219" t="s">
        <v>90</v>
      </c>
      <c r="G29" s="222">
        <v>0.5</v>
      </c>
      <c r="H29" s="225">
        <v>1902893936</v>
      </c>
      <c r="I29" s="225"/>
      <c r="J29" s="215" t="s">
        <v>20</v>
      </c>
      <c r="K29" s="215" t="s">
        <v>21</v>
      </c>
      <c r="L29" s="215" t="s">
        <v>22</v>
      </c>
      <c r="M29" s="229">
        <v>10461</v>
      </c>
      <c r="N29" s="233" t="s">
        <v>23</v>
      </c>
      <c r="O29" s="237">
        <v>194</v>
      </c>
      <c r="P29" s="241">
        <v>222.30769230769232</v>
      </c>
      <c r="Q29" s="242">
        <v>170</v>
      </c>
      <c r="R29" s="300">
        <v>0.30769230769230771</v>
      </c>
      <c r="S29" s="249">
        <v>102</v>
      </c>
      <c r="T29" s="300">
        <v>0.12195121951219512</v>
      </c>
      <c r="U29" s="249">
        <f>S29/2</f>
        <v>51</v>
      </c>
      <c r="V29" s="300">
        <v>3.3333333333333333E-2</v>
      </c>
      <c r="W29" s="249">
        <v>17</v>
      </c>
      <c r="X29" s="253">
        <v>13</v>
      </c>
      <c r="Y29" s="300">
        <v>0.30769230769230771</v>
      </c>
      <c r="Z29" s="257">
        <v>10</v>
      </c>
      <c r="AA29" s="249">
        <f>Z29*(1+AB29)</f>
        <v>10.333333333333334</v>
      </c>
      <c r="AB29" s="300">
        <v>3.3333333333333333E-2</v>
      </c>
      <c r="AC29" s="304">
        <v>3.3333333333333333E-2</v>
      </c>
      <c r="AD29" s="261" t="s">
        <v>24</v>
      </c>
      <c r="AE29" s="261" t="s">
        <v>24</v>
      </c>
      <c r="AF29" s="261" t="s">
        <v>25</v>
      </c>
      <c r="AH29" s="119"/>
      <c r="AI29" s="120"/>
      <c r="AJ29" s="120"/>
      <c r="AK29" s="120"/>
      <c r="AL29" s="121"/>
      <c r="AM29" s="122"/>
      <c r="AN29" s="122"/>
      <c r="AO29" s="122"/>
      <c r="AP29" s="122"/>
      <c r="AQ29" s="122"/>
      <c r="AR29" s="122"/>
      <c r="AS29" s="122"/>
      <c r="AT29" s="121" t="s">
        <v>33</v>
      </c>
      <c r="AU29" s="121" t="s">
        <v>33</v>
      </c>
      <c r="AV29" s="122"/>
      <c r="AW29" s="122"/>
      <c r="AX29" s="122"/>
      <c r="AY29" s="122"/>
      <c r="AZ29" s="122"/>
      <c r="BA29" s="119"/>
      <c r="BB29" s="119"/>
      <c r="BC29" s="119"/>
      <c r="BD29" s="119"/>
      <c r="BE29" s="119"/>
    </row>
    <row r="30" spans="1:57" s="118" customFormat="1" ht="40.5">
      <c r="B30" s="216" t="s">
        <v>26</v>
      </c>
      <c r="C30" s="220" t="s">
        <v>46</v>
      </c>
      <c r="D30" s="220" t="s">
        <v>90</v>
      </c>
      <c r="E30" s="220" t="s">
        <v>90</v>
      </c>
      <c r="F30" s="220" t="s">
        <v>90</v>
      </c>
      <c r="G30" s="223">
        <v>0.5</v>
      </c>
      <c r="H30" s="226">
        <v>1497828479</v>
      </c>
      <c r="I30" s="226"/>
      <c r="J30" s="216" t="s">
        <v>27</v>
      </c>
      <c r="K30" s="216" t="s">
        <v>28</v>
      </c>
      <c r="L30" s="216" t="s">
        <v>22</v>
      </c>
      <c r="M30" s="230">
        <v>10032</v>
      </c>
      <c r="N30" s="234" t="s">
        <v>29</v>
      </c>
      <c r="O30" s="238">
        <v>197</v>
      </c>
      <c r="P30" s="243">
        <v>187.5</v>
      </c>
      <c r="Q30" s="244">
        <v>150</v>
      </c>
      <c r="R30" s="301">
        <v>0.25</v>
      </c>
      <c r="S30" s="250">
        <v>90</v>
      </c>
      <c r="T30" s="301">
        <v>-0.21951219512195122</v>
      </c>
      <c r="U30" s="250">
        <f>S30/2</f>
        <v>45</v>
      </c>
      <c r="V30" s="301">
        <v>-2.2727272727272728E-2</v>
      </c>
      <c r="W30" s="250">
        <v>15</v>
      </c>
      <c r="X30" s="254">
        <v>12</v>
      </c>
      <c r="Y30" s="301">
        <v>0.25</v>
      </c>
      <c r="Z30" s="258">
        <v>18</v>
      </c>
      <c r="AA30" s="250">
        <f>Z30*(1+AB30)</f>
        <v>17.59090909090909</v>
      </c>
      <c r="AB30" s="301">
        <v>-2.2727272727272728E-2</v>
      </c>
      <c r="AC30" s="305">
        <v>-2.2727272727272728E-2</v>
      </c>
      <c r="AD30" s="262" t="s">
        <v>30</v>
      </c>
      <c r="AE30" s="262" t="s">
        <v>31</v>
      </c>
      <c r="AF30" s="262" t="s">
        <v>32</v>
      </c>
      <c r="AH30" s="119"/>
      <c r="AI30" s="122"/>
      <c r="AJ30" s="122"/>
      <c r="AK30" s="122"/>
      <c r="AL30" s="121"/>
      <c r="AM30" s="122"/>
      <c r="AN30" s="122"/>
      <c r="AO30" s="122"/>
      <c r="AP30" s="122"/>
      <c r="AQ30" s="122"/>
      <c r="AR30" s="122"/>
      <c r="AS30" s="122"/>
      <c r="AT30" s="121" t="s">
        <v>38</v>
      </c>
      <c r="AU30" s="121" t="s">
        <v>38</v>
      </c>
      <c r="AV30" s="122"/>
      <c r="AW30" s="122"/>
      <c r="AX30" s="122"/>
      <c r="AY30" s="122"/>
      <c r="AZ30" s="122"/>
      <c r="BA30" s="119"/>
      <c r="BB30" s="119"/>
      <c r="BC30" s="119"/>
      <c r="BD30" s="119"/>
      <c r="BE30" s="119"/>
    </row>
    <row r="31" spans="1:57" s="118" customFormat="1" ht="108">
      <c r="B31" s="217" t="s">
        <v>34</v>
      </c>
      <c r="C31" s="219" t="s">
        <v>47</v>
      </c>
      <c r="D31" s="219" t="s">
        <v>90</v>
      </c>
      <c r="E31" s="219" t="s">
        <v>90</v>
      </c>
      <c r="F31" s="219" t="s">
        <v>90</v>
      </c>
      <c r="G31" s="222">
        <v>0.5</v>
      </c>
      <c r="H31" s="227">
        <v>1013902444</v>
      </c>
      <c r="I31" s="227"/>
      <c r="J31" s="217" t="s">
        <v>35</v>
      </c>
      <c r="K31" s="217" t="s">
        <v>28</v>
      </c>
      <c r="L31" s="217" t="s">
        <v>22</v>
      </c>
      <c r="M31" s="231">
        <v>10029</v>
      </c>
      <c r="N31" s="235" t="s">
        <v>36</v>
      </c>
      <c r="O31" s="239">
        <v>203</v>
      </c>
      <c r="P31" s="245">
        <v>71.428571428571431</v>
      </c>
      <c r="Q31" s="246">
        <v>100</v>
      </c>
      <c r="R31" s="302">
        <v>-0.2857142857142857</v>
      </c>
      <c r="S31" s="251">
        <v>40</v>
      </c>
      <c r="T31" s="302">
        <v>-0.35416666666666669</v>
      </c>
      <c r="U31" s="251">
        <f>S31/2</f>
        <v>20</v>
      </c>
      <c r="V31" s="302">
        <v>-0.22727272727272727</v>
      </c>
      <c r="W31" s="251">
        <v>10</v>
      </c>
      <c r="X31" s="255">
        <v>14</v>
      </c>
      <c r="Y31" s="302">
        <v>-0.2857142857142857</v>
      </c>
      <c r="Z31" s="259">
        <v>15</v>
      </c>
      <c r="AA31" s="251">
        <f>Z31*(1+AB31)</f>
        <v>11.59090909090909</v>
      </c>
      <c r="AB31" s="302">
        <v>-0.22727272727272727</v>
      </c>
      <c r="AC31" s="306">
        <v>-0.22727272727272727</v>
      </c>
      <c r="AD31" s="261" t="s">
        <v>30</v>
      </c>
      <c r="AE31" s="261" t="s">
        <v>31</v>
      </c>
      <c r="AF31" s="261" t="s">
        <v>37</v>
      </c>
      <c r="AH31" s="119"/>
      <c r="AI31" s="122"/>
      <c r="AJ31" s="122"/>
      <c r="AK31" s="122"/>
      <c r="AL31" s="122"/>
      <c r="AM31" s="122"/>
      <c r="AN31" s="122"/>
      <c r="AO31" s="122"/>
      <c r="AP31" s="122"/>
      <c r="AQ31" s="122"/>
      <c r="AR31" s="122"/>
      <c r="AS31" s="122"/>
      <c r="AT31" s="122" t="s">
        <v>66</v>
      </c>
      <c r="AU31" s="122" t="s">
        <v>66</v>
      </c>
      <c r="AV31" s="122"/>
      <c r="AW31" s="122"/>
      <c r="AX31" s="122"/>
      <c r="AY31" s="122"/>
      <c r="AZ31" s="122"/>
      <c r="BA31" s="119"/>
      <c r="BB31" s="119"/>
      <c r="BC31" s="119"/>
      <c r="BD31" s="119"/>
      <c r="BE31" s="119"/>
    </row>
    <row r="32" spans="1:57" s="118" customFormat="1" ht="68.25" thickBot="1">
      <c r="B32" s="218" t="s">
        <v>40</v>
      </c>
      <c r="C32" s="221" t="s">
        <v>48</v>
      </c>
      <c r="D32" s="221" t="s">
        <v>90</v>
      </c>
      <c r="E32" s="221" t="s">
        <v>90</v>
      </c>
      <c r="F32" s="221" t="s">
        <v>90</v>
      </c>
      <c r="G32" s="224">
        <v>0.5</v>
      </c>
      <c r="H32" s="228">
        <v>1437410354</v>
      </c>
      <c r="I32" s="228"/>
      <c r="J32" s="218" t="s">
        <v>41</v>
      </c>
      <c r="K32" s="218" t="s">
        <v>42</v>
      </c>
      <c r="L32" s="218" t="s">
        <v>43</v>
      </c>
      <c r="M32" s="232">
        <v>98195</v>
      </c>
      <c r="N32" s="236" t="s">
        <v>44</v>
      </c>
      <c r="O32" s="240">
        <v>233</v>
      </c>
      <c r="P32" s="247">
        <v>178.18181818181819</v>
      </c>
      <c r="Q32" s="248">
        <v>140</v>
      </c>
      <c r="R32" s="303">
        <v>0.27272727272727271</v>
      </c>
      <c r="S32" s="252">
        <v>84</v>
      </c>
      <c r="T32" s="303">
        <v>-0.25</v>
      </c>
      <c r="U32" s="252">
        <f>S32/2</f>
        <v>42</v>
      </c>
      <c r="V32" s="303">
        <v>0.48484848484848486</v>
      </c>
      <c r="W32" s="252">
        <v>14</v>
      </c>
      <c r="X32" s="256">
        <v>11</v>
      </c>
      <c r="Y32" s="303">
        <v>0.27272727272727271</v>
      </c>
      <c r="Z32" s="260">
        <v>17</v>
      </c>
      <c r="AA32" s="252">
        <f>Z32*(1+AB32)</f>
        <v>25.242424242424242</v>
      </c>
      <c r="AB32" s="303">
        <v>0.48484848484848486</v>
      </c>
      <c r="AC32" s="307">
        <v>0.48484848484848486</v>
      </c>
      <c r="AD32" s="263" t="s">
        <v>30</v>
      </c>
      <c r="AE32" s="263" t="s">
        <v>39</v>
      </c>
      <c r="AF32" s="263" t="s">
        <v>32</v>
      </c>
      <c r="AH32" s="119"/>
      <c r="AI32" s="122"/>
      <c r="AJ32" s="122"/>
      <c r="AK32" s="122"/>
      <c r="AL32" s="122"/>
      <c r="AM32" s="122"/>
      <c r="AN32" s="122"/>
      <c r="AO32" s="122"/>
      <c r="AP32" s="122"/>
      <c r="AQ32" s="122"/>
      <c r="AR32" s="122"/>
      <c r="AS32" s="122"/>
      <c r="AT32" s="122"/>
      <c r="AU32" s="122"/>
      <c r="AV32" s="122"/>
      <c r="AW32" s="122"/>
      <c r="AX32" s="122"/>
      <c r="AY32" s="122"/>
      <c r="AZ32" s="122"/>
      <c r="BA32" s="119"/>
      <c r="BB32" s="119"/>
      <c r="BC32" s="119"/>
      <c r="BD32" s="119"/>
      <c r="BE32" s="119"/>
    </row>
    <row r="33" spans="2:32" ht="14.25" thickBot="1"/>
    <row r="34" spans="2:32" ht="210.75" thickBot="1">
      <c r="B34" s="264" t="s">
        <v>10</v>
      </c>
      <c r="C34" s="264" t="s">
        <v>10</v>
      </c>
      <c r="D34" s="264" t="s">
        <v>10</v>
      </c>
      <c r="E34" s="264" t="s">
        <v>10</v>
      </c>
      <c r="F34" s="264" t="s">
        <v>10</v>
      </c>
      <c r="G34" s="264" t="s">
        <v>10</v>
      </c>
      <c r="H34" s="264" t="s">
        <v>10</v>
      </c>
      <c r="I34" s="264" t="s">
        <v>10</v>
      </c>
      <c r="J34" s="264" t="s">
        <v>10</v>
      </c>
      <c r="K34" s="264" t="s">
        <v>10</v>
      </c>
      <c r="L34" s="264" t="s">
        <v>10</v>
      </c>
      <c r="M34" s="264" t="s">
        <v>10</v>
      </c>
      <c r="N34" s="264" t="s">
        <v>10</v>
      </c>
      <c r="O34" s="264" t="s">
        <v>10</v>
      </c>
      <c r="P34" s="264" t="s">
        <v>10</v>
      </c>
      <c r="Q34" s="264" t="s">
        <v>10</v>
      </c>
      <c r="R34" s="264" t="s">
        <v>10</v>
      </c>
      <c r="S34" s="264" t="s">
        <v>10</v>
      </c>
      <c r="T34" s="264" t="s">
        <v>10</v>
      </c>
      <c r="U34" s="264" t="s">
        <v>10</v>
      </c>
      <c r="V34" s="264" t="s">
        <v>10</v>
      </c>
      <c r="W34" s="264" t="s">
        <v>10</v>
      </c>
      <c r="X34" s="264" t="s">
        <v>10</v>
      </c>
      <c r="Y34" s="264" t="s">
        <v>10</v>
      </c>
      <c r="Z34" s="264" t="s">
        <v>10</v>
      </c>
      <c r="AA34" s="264" t="s">
        <v>10</v>
      </c>
      <c r="AB34" s="264" t="s">
        <v>10</v>
      </c>
      <c r="AC34" s="264" t="s">
        <v>10</v>
      </c>
      <c r="AD34" s="264" t="s">
        <v>10</v>
      </c>
      <c r="AE34" s="264" t="s">
        <v>10</v>
      </c>
      <c r="AF34" s="264" t="s">
        <v>10</v>
      </c>
    </row>
  </sheetData>
  <phoneticPr fontId="4" type="noConversion"/>
  <conditionalFormatting sqref="R29:R32 T29:T32 V29:V32 Y29:Y32">
    <cfRule type="cellIs" dxfId="3" priority="1" operator="between">
      <formula>-0.05</formula>
      <formula>0.05</formula>
    </cfRule>
    <cfRule type="containsText" dxfId="2" priority="2" operator="containsText" text="NA">
      <formula>NOT(ISERROR(SEARCH("NA",R29)))</formula>
    </cfRule>
    <cfRule type="cellIs" dxfId="1" priority="3" operator="lessThan">
      <formula>-0.05</formula>
    </cfRule>
    <cfRule type="cellIs" dxfId="0" priority="4" operator="greaterThan">
      <formula>0.05</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filterMode="1"/>
  <dimension ref="A1:AO490"/>
  <sheetViews>
    <sheetView topLeftCell="AC1" workbookViewId="0">
      <selection activeCell="AO1" sqref="AO1:AO50000"/>
    </sheetView>
  </sheetViews>
  <sheetFormatPr defaultRowHeight="13.5"/>
  <cols>
    <col min="1" max="1" width="3" bestFit="1" customWidth="1"/>
    <col min="2" max="2" width="19.125" bestFit="1" customWidth="1"/>
    <col min="3" max="3" width="10.375" bestFit="1" customWidth="1"/>
    <col min="4" max="4" width="16" customWidth="1"/>
    <col min="5" max="5" width="19.125" customWidth="1"/>
    <col min="6" max="6" width="18.375" customWidth="1"/>
    <col min="7" max="7" width="50.875" bestFit="1" customWidth="1"/>
    <col min="8" max="8" width="8" bestFit="1" customWidth="1"/>
    <col min="9" max="9" width="27.375" bestFit="1" customWidth="1"/>
    <col min="10" max="10" width="6.375" bestFit="1" customWidth="1"/>
    <col min="11" max="11" width="5.625" customWidth="1"/>
    <col min="12" max="12" width="6.625" bestFit="1" customWidth="1"/>
    <col min="13" max="13" width="5.875" bestFit="1" customWidth="1"/>
    <col min="14" max="14" width="29.75" bestFit="1" customWidth="1"/>
    <col min="15" max="15" width="28.375" bestFit="1" customWidth="1"/>
    <col min="16" max="17" width="20.625" bestFit="1" customWidth="1"/>
    <col min="18" max="18" width="40.25" bestFit="1" customWidth="1"/>
    <col min="19" max="19" width="21.125" bestFit="1" customWidth="1"/>
    <col min="20" max="20" width="41.375" bestFit="1" customWidth="1"/>
    <col min="21" max="21" width="21.125" bestFit="1" customWidth="1"/>
    <col min="22" max="22" width="41.375" bestFit="1" customWidth="1"/>
    <col min="23" max="24" width="19.625" bestFit="1" customWidth="1"/>
    <col min="25" max="25" width="37.25" bestFit="1" customWidth="1"/>
    <col min="26" max="26" width="21.875" bestFit="1" customWidth="1"/>
    <col min="27" max="27" width="22.25" bestFit="1" customWidth="1"/>
    <col min="28" max="28" width="40.25" bestFit="1" customWidth="1"/>
    <col min="29" max="29" width="39.125" bestFit="1" customWidth="1"/>
    <col min="30" max="32" width="17" bestFit="1" customWidth="1"/>
    <col min="33" max="41" width="4.875" bestFit="1" customWidth="1"/>
  </cols>
  <sheetData>
    <row r="1" spans="1:41">
      <c r="A1" s="156" t="s">
        <v>141</v>
      </c>
      <c r="B1" s="156" t="s">
        <v>140</v>
      </c>
      <c r="C1" s="156" t="s">
        <v>139</v>
      </c>
      <c r="D1" s="156" t="s">
        <v>138</v>
      </c>
      <c r="E1" s="156" t="s">
        <v>137</v>
      </c>
      <c r="F1" s="156" t="s">
        <v>142</v>
      </c>
      <c r="G1" s="156" t="s">
        <v>143</v>
      </c>
      <c r="H1" s="156" t="s">
        <v>144</v>
      </c>
      <c r="I1" s="156" t="s">
        <v>145</v>
      </c>
      <c r="J1" s="156" t="s">
        <v>146</v>
      </c>
      <c r="K1" s="156" t="s">
        <v>147</v>
      </c>
      <c r="L1" s="156" t="s">
        <v>148</v>
      </c>
      <c r="M1" s="156" t="s">
        <v>149</v>
      </c>
      <c r="N1" s="156" t="s">
        <v>150</v>
      </c>
      <c r="O1" s="156" t="s">
        <v>151</v>
      </c>
      <c r="P1" s="156" t="s">
        <v>544</v>
      </c>
      <c r="Q1" s="156" t="s">
        <v>545</v>
      </c>
      <c r="R1" s="156" t="s">
        <v>546</v>
      </c>
      <c r="S1" s="156" t="s">
        <v>547</v>
      </c>
      <c r="T1" s="156" t="s">
        <v>548</v>
      </c>
      <c r="U1" s="156" t="s">
        <v>549</v>
      </c>
      <c r="V1" s="156" t="s">
        <v>550</v>
      </c>
      <c r="W1" s="156" t="s">
        <v>551</v>
      </c>
      <c r="X1" s="156" t="s">
        <v>552</v>
      </c>
      <c r="Y1" s="156" t="s">
        <v>553</v>
      </c>
      <c r="Z1" s="156" t="s">
        <v>554</v>
      </c>
      <c r="AA1" s="156" t="s">
        <v>555</v>
      </c>
      <c r="AB1" s="156" t="s">
        <v>556</v>
      </c>
      <c r="AC1" s="156" t="s">
        <v>557</v>
      </c>
      <c r="AD1" s="156" t="s">
        <v>558</v>
      </c>
      <c r="AE1" s="156" t="s">
        <v>559</v>
      </c>
      <c r="AF1" s="156" t="s">
        <v>560</v>
      </c>
      <c r="AG1" s="156" t="s">
        <v>561</v>
      </c>
      <c r="AH1" s="156" t="s">
        <v>562</v>
      </c>
      <c r="AI1" s="156" t="s">
        <v>563</v>
      </c>
      <c r="AJ1" s="156" t="s">
        <v>564</v>
      </c>
      <c r="AK1" s="156" t="s">
        <v>565</v>
      </c>
      <c r="AL1" s="156" t="s">
        <v>566</v>
      </c>
      <c r="AM1" s="156" t="s">
        <v>567</v>
      </c>
      <c r="AN1" s="156" t="s">
        <v>568</v>
      </c>
      <c r="AO1" s="156" t="s">
        <v>569</v>
      </c>
    </row>
    <row r="2" spans="1:41" ht="27">
      <c r="A2" s="332">
        <v>1</v>
      </c>
      <c r="B2" s="332" t="s">
        <v>570</v>
      </c>
      <c r="C2" s="332" t="s">
        <v>49</v>
      </c>
      <c r="D2" s="332" t="s">
        <v>571</v>
      </c>
      <c r="E2" s="332" t="s">
        <v>572</v>
      </c>
      <c r="F2" s="332" t="s">
        <v>573</v>
      </c>
      <c r="G2" s="332" t="s">
        <v>574</v>
      </c>
      <c r="H2" s="332" t="s">
        <v>575</v>
      </c>
      <c r="I2" s="332" t="s">
        <v>576</v>
      </c>
      <c r="J2" s="332" t="s">
        <v>12</v>
      </c>
      <c r="K2" s="332" t="s">
        <v>13</v>
      </c>
      <c r="L2" s="332" t="s">
        <v>14</v>
      </c>
      <c r="M2" s="332" t="s">
        <v>15</v>
      </c>
      <c r="N2" s="332" t="s">
        <v>577</v>
      </c>
      <c r="O2" s="332" t="s">
        <v>160</v>
      </c>
      <c r="P2" s="332" t="s">
        <v>578</v>
      </c>
      <c r="Q2" s="332" t="s">
        <v>579</v>
      </c>
      <c r="R2" s="332" t="s">
        <v>157</v>
      </c>
      <c r="S2" s="332" t="s">
        <v>580</v>
      </c>
      <c r="T2" s="332" t="s">
        <v>581</v>
      </c>
      <c r="U2" s="332" t="s">
        <v>582</v>
      </c>
      <c r="V2" s="332" t="s">
        <v>158</v>
      </c>
      <c r="W2" s="332" t="s">
        <v>583</v>
      </c>
      <c r="X2" s="332" t="s">
        <v>584</v>
      </c>
      <c r="Y2" s="332" t="s">
        <v>159</v>
      </c>
      <c r="Z2" s="332" t="s">
        <v>585</v>
      </c>
      <c r="AA2" s="332" t="s">
        <v>586</v>
      </c>
      <c r="AB2" s="332" t="s">
        <v>587</v>
      </c>
      <c r="AC2" s="332" t="s">
        <v>588</v>
      </c>
      <c r="AD2" s="332" t="s">
        <v>589</v>
      </c>
      <c r="AE2" s="332" t="s">
        <v>590</v>
      </c>
      <c r="AF2" s="332" t="s">
        <v>591</v>
      </c>
      <c r="AG2" s="332" t="s">
        <v>592</v>
      </c>
      <c r="AH2" s="332" t="s">
        <v>593</v>
      </c>
      <c r="AI2" s="332" t="s">
        <v>594</v>
      </c>
      <c r="AJ2" s="332" t="s">
        <v>595</v>
      </c>
      <c r="AK2" s="332" t="s">
        <v>596</v>
      </c>
      <c r="AL2" s="332" t="s">
        <v>597</v>
      </c>
      <c r="AM2" s="332" t="s">
        <v>598</v>
      </c>
      <c r="AN2" s="332" t="s">
        <v>599</v>
      </c>
      <c r="AO2" s="332" t="s">
        <v>600</v>
      </c>
    </row>
    <row r="3" spans="1:41">
      <c r="A3" s="332"/>
      <c r="B3" s="332"/>
      <c r="C3" s="332"/>
      <c r="D3" s="332"/>
      <c r="E3" s="332"/>
      <c r="F3" s="332"/>
      <c r="G3" s="332"/>
      <c r="H3" s="332"/>
      <c r="I3" s="332"/>
      <c r="J3" s="332"/>
      <c r="K3" s="332"/>
      <c r="L3" s="332"/>
      <c r="M3" s="332"/>
      <c r="N3" s="332"/>
      <c r="O3" s="332"/>
      <c r="P3" s="332"/>
      <c r="Q3" s="332"/>
      <c r="R3" s="332"/>
      <c r="S3" s="332"/>
      <c r="T3" s="332"/>
      <c r="U3" s="332"/>
      <c r="V3" s="332"/>
      <c r="W3" s="332"/>
      <c r="X3" s="332"/>
      <c r="Y3" s="332"/>
      <c r="Z3" s="332"/>
      <c r="AA3" s="332"/>
      <c r="AB3" s="332"/>
      <c r="AC3" s="332"/>
      <c r="AD3" s="332"/>
      <c r="AE3" s="332"/>
      <c r="AF3" s="332"/>
      <c r="AG3" s="332"/>
      <c r="AH3" s="332"/>
      <c r="AI3" s="332"/>
      <c r="AJ3" s="332"/>
      <c r="AK3" s="332"/>
      <c r="AL3" s="332"/>
      <c r="AM3" s="332"/>
      <c r="AN3" s="332"/>
      <c r="AO3" s="332"/>
    </row>
    <row r="4" spans="1:41">
      <c r="A4" s="332"/>
      <c r="B4" s="332"/>
      <c r="C4" s="332"/>
      <c r="D4" s="332"/>
      <c r="E4" s="332"/>
      <c r="F4" s="332"/>
      <c r="G4" s="332"/>
      <c r="H4" s="332"/>
      <c r="I4" s="332"/>
      <c r="J4" s="332"/>
      <c r="K4" s="332"/>
      <c r="L4" s="332"/>
      <c r="M4" s="332"/>
      <c r="N4" s="332"/>
      <c r="O4" s="332"/>
      <c r="P4" s="332"/>
      <c r="Q4" s="332"/>
      <c r="R4" s="332"/>
      <c r="S4" s="332"/>
      <c r="T4" s="332"/>
      <c r="U4" s="332"/>
      <c r="V4" s="332"/>
      <c r="W4" s="332"/>
      <c r="X4" s="332"/>
      <c r="Y4" s="332"/>
      <c r="Z4" s="332"/>
      <c r="AA4" s="332"/>
      <c r="AB4" s="332"/>
      <c r="AC4" s="332"/>
      <c r="AD4" s="332"/>
      <c r="AE4" s="332"/>
      <c r="AF4" s="332"/>
      <c r="AG4" s="332"/>
      <c r="AH4" s="332"/>
      <c r="AI4" s="332"/>
      <c r="AJ4" s="332"/>
      <c r="AK4" s="332"/>
      <c r="AL4" s="332"/>
      <c r="AM4" s="332"/>
      <c r="AN4" s="332"/>
      <c r="AO4" s="332"/>
    </row>
    <row r="5" spans="1:41">
      <c r="A5" s="332"/>
      <c r="B5" s="332"/>
      <c r="C5" s="332"/>
      <c r="D5" s="332"/>
      <c r="E5" s="332"/>
      <c r="F5" s="332"/>
      <c r="G5" s="332"/>
      <c r="H5" s="332"/>
      <c r="I5" s="332"/>
      <c r="J5" s="332"/>
      <c r="K5" s="332"/>
      <c r="L5" s="332"/>
      <c r="M5" s="332"/>
      <c r="N5" s="332"/>
      <c r="O5" s="332"/>
      <c r="P5" s="332"/>
      <c r="Q5" s="332"/>
      <c r="R5" s="332"/>
      <c r="S5" s="332"/>
      <c r="T5" s="332"/>
      <c r="U5" s="332"/>
      <c r="V5" s="332"/>
      <c r="W5" s="332"/>
      <c r="X5" s="332"/>
      <c r="Y5" s="332"/>
      <c r="Z5" s="332"/>
      <c r="AA5" s="332"/>
      <c r="AB5" s="332"/>
      <c r="AC5" s="332"/>
      <c r="AD5" s="332"/>
      <c r="AE5" s="332"/>
      <c r="AF5" s="332"/>
      <c r="AG5" s="332"/>
      <c r="AH5" s="332"/>
      <c r="AI5" s="332"/>
      <c r="AJ5" s="332"/>
      <c r="AK5" s="332"/>
      <c r="AL5" s="332"/>
      <c r="AM5" s="332"/>
      <c r="AN5" s="332"/>
      <c r="AO5" s="332"/>
    </row>
    <row r="6" spans="1:41">
      <c r="A6" s="332"/>
      <c r="B6" s="332"/>
      <c r="C6" s="332"/>
      <c r="D6" s="332"/>
      <c r="E6" s="332"/>
      <c r="F6" s="332"/>
      <c r="G6" s="332"/>
      <c r="H6" s="332"/>
      <c r="I6" s="332"/>
      <c r="J6" s="332"/>
      <c r="K6" s="332"/>
      <c r="L6" s="332"/>
      <c r="M6" s="332"/>
      <c r="N6" s="332"/>
      <c r="O6" s="332"/>
      <c r="P6" s="332"/>
      <c r="Q6" s="332"/>
      <c r="R6" s="332"/>
      <c r="S6" s="332"/>
      <c r="T6" s="332"/>
      <c r="U6" s="332"/>
      <c r="V6" s="332"/>
      <c r="W6" s="332"/>
      <c r="X6" s="332"/>
      <c r="Y6" s="332"/>
      <c r="Z6" s="332"/>
      <c r="AA6" s="332"/>
      <c r="AB6" s="332"/>
      <c r="AC6" s="332"/>
      <c r="AD6" s="332"/>
      <c r="AE6" s="332"/>
      <c r="AF6" s="332"/>
      <c r="AG6" s="332"/>
      <c r="AH6" s="332"/>
      <c r="AI6" s="332"/>
      <c r="AJ6" s="332"/>
      <c r="AK6" s="332"/>
      <c r="AL6" s="332"/>
      <c r="AM6" s="332"/>
      <c r="AN6" s="332"/>
      <c r="AO6" s="332"/>
    </row>
    <row r="7" spans="1:41">
      <c r="A7" s="332"/>
      <c r="B7" s="332"/>
      <c r="C7" s="332"/>
      <c r="D7" s="332"/>
      <c r="E7" s="332"/>
      <c r="F7" s="332"/>
      <c r="G7" s="332"/>
      <c r="H7" s="332"/>
      <c r="I7" s="332"/>
      <c r="J7" s="332"/>
      <c r="K7" s="332"/>
      <c r="L7" s="332"/>
      <c r="M7" s="332"/>
      <c r="N7" s="332"/>
      <c r="O7" s="332"/>
      <c r="P7" s="332"/>
      <c r="Q7" s="332"/>
      <c r="R7" s="332"/>
      <c r="S7" s="332"/>
      <c r="T7" s="332"/>
      <c r="U7" s="332"/>
      <c r="V7" s="332"/>
      <c r="W7" s="332"/>
      <c r="X7" s="332"/>
      <c r="Y7" s="332"/>
      <c r="Z7" s="332"/>
      <c r="AA7" s="332"/>
      <c r="AB7" s="332"/>
      <c r="AC7" s="332"/>
      <c r="AD7" s="332"/>
      <c r="AE7" s="332"/>
      <c r="AF7" s="332"/>
      <c r="AG7" s="332"/>
      <c r="AH7" s="332"/>
      <c r="AI7" s="332"/>
      <c r="AJ7" s="332"/>
      <c r="AK7" s="332"/>
      <c r="AL7" s="332"/>
      <c r="AM7" s="332"/>
      <c r="AN7" s="332"/>
      <c r="AO7" s="332"/>
    </row>
    <row r="8" spans="1:41">
      <c r="A8" s="332"/>
      <c r="B8" s="332"/>
      <c r="C8" s="332"/>
      <c r="D8" s="332"/>
      <c r="E8" s="332"/>
      <c r="F8" s="332"/>
      <c r="G8" s="332"/>
      <c r="H8" s="332"/>
      <c r="I8" s="332"/>
      <c r="J8" s="332"/>
      <c r="K8" s="332"/>
      <c r="L8" s="332"/>
      <c r="M8" s="332"/>
      <c r="N8" s="332"/>
      <c r="O8" s="332"/>
      <c r="P8" s="332"/>
      <c r="Q8" s="332"/>
      <c r="R8" s="332"/>
      <c r="S8" s="332"/>
      <c r="T8" s="332"/>
      <c r="U8" s="332"/>
      <c r="V8" s="332"/>
      <c r="W8" s="332"/>
      <c r="X8" s="332"/>
      <c r="Y8" s="332"/>
      <c r="Z8" s="332"/>
      <c r="AA8" s="332"/>
      <c r="AB8" s="332"/>
      <c r="AC8" s="332"/>
      <c r="AD8" s="332"/>
      <c r="AE8" s="332"/>
      <c r="AF8" s="332"/>
      <c r="AG8" s="332"/>
      <c r="AH8" s="332"/>
      <c r="AI8" s="332"/>
      <c r="AJ8" s="332"/>
      <c r="AK8" s="332"/>
      <c r="AL8" s="332"/>
      <c r="AM8" s="332"/>
      <c r="AN8" s="332"/>
      <c r="AO8" s="332"/>
    </row>
    <row r="9" spans="1:41">
      <c r="A9" s="332"/>
      <c r="B9" s="332"/>
      <c r="C9" s="332"/>
      <c r="D9" s="332"/>
      <c r="E9" s="332"/>
      <c r="F9" s="332"/>
      <c r="G9" s="332"/>
      <c r="H9" s="332"/>
      <c r="I9" s="332"/>
      <c r="J9" s="332"/>
      <c r="K9" s="332"/>
      <c r="L9" s="332"/>
      <c r="M9" s="332"/>
      <c r="N9" s="332"/>
      <c r="O9" s="332"/>
      <c r="P9" s="332"/>
      <c r="Q9" s="332"/>
      <c r="R9" s="332"/>
      <c r="S9" s="332"/>
      <c r="T9" s="332"/>
      <c r="U9" s="332"/>
      <c r="V9" s="332"/>
      <c r="W9" s="332"/>
      <c r="X9" s="332"/>
      <c r="Y9" s="332"/>
      <c r="Z9" s="332"/>
      <c r="AA9" s="332"/>
      <c r="AB9" s="332"/>
      <c r="AC9" s="332"/>
      <c r="AD9" s="332"/>
      <c r="AE9" s="332"/>
      <c r="AF9" s="332"/>
      <c r="AG9" s="332"/>
      <c r="AH9" s="332"/>
      <c r="AI9" s="332"/>
      <c r="AJ9" s="332"/>
      <c r="AK9" s="332"/>
      <c r="AL9" s="332"/>
      <c r="AM9" s="332"/>
      <c r="AN9" s="332"/>
      <c r="AO9" s="332"/>
    </row>
    <row r="10" spans="1:41">
      <c r="A10" s="332"/>
      <c r="B10" s="332"/>
      <c r="C10" s="332"/>
      <c r="D10" s="332"/>
      <c r="E10" s="332"/>
      <c r="F10" s="332"/>
      <c r="G10" s="332"/>
      <c r="H10" s="332"/>
      <c r="I10" s="332"/>
      <c r="J10" s="332"/>
      <c r="K10" s="332"/>
      <c r="L10" s="332"/>
      <c r="M10" s="332"/>
      <c r="N10" s="332"/>
      <c r="O10" s="332"/>
      <c r="P10" s="332"/>
      <c r="Q10" s="332"/>
      <c r="R10" s="332"/>
      <c r="S10" s="332"/>
      <c r="T10" s="332"/>
      <c r="U10" s="332"/>
      <c r="V10" s="332"/>
      <c r="W10" s="332"/>
      <c r="X10" s="332"/>
      <c r="Y10" s="332"/>
      <c r="Z10" s="332"/>
      <c r="AA10" s="332"/>
      <c r="AB10" s="332"/>
      <c r="AC10" s="332"/>
      <c r="AD10" s="332"/>
      <c r="AE10" s="332"/>
      <c r="AF10" s="332"/>
      <c r="AG10" s="332"/>
      <c r="AH10" s="332"/>
      <c r="AI10" s="332"/>
      <c r="AJ10" s="332"/>
      <c r="AK10" s="332"/>
      <c r="AL10" s="332"/>
      <c r="AM10" s="332"/>
      <c r="AN10" s="332"/>
      <c r="AO10" s="332"/>
    </row>
    <row r="11" spans="1:41">
      <c r="A11" s="332"/>
      <c r="B11" s="332"/>
      <c r="C11" s="332"/>
      <c r="D11" s="332"/>
      <c r="E11" s="332"/>
      <c r="F11" s="332"/>
      <c r="G11" s="332"/>
      <c r="H11" s="332"/>
      <c r="I11" s="332"/>
      <c r="J11" s="332"/>
      <c r="K11" s="332"/>
      <c r="L11" s="332"/>
      <c r="M11" s="332"/>
      <c r="N11" s="332"/>
      <c r="O11" s="332"/>
      <c r="P11" s="332"/>
      <c r="Q11" s="332"/>
      <c r="R11" s="332"/>
      <c r="S11" s="332"/>
      <c r="T11" s="332"/>
      <c r="U11" s="332"/>
      <c r="V11" s="332"/>
      <c r="W11" s="332"/>
      <c r="X11" s="332"/>
      <c r="Y11" s="332"/>
      <c r="Z11" s="332"/>
      <c r="AA11" s="332"/>
      <c r="AB11" s="332"/>
      <c r="AC11" s="332"/>
      <c r="AD11" s="332"/>
      <c r="AE11" s="332"/>
      <c r="AF11" s="332"/>
      <c r="AG11" s="332"/>
      <c r="AH11" s="332"/>
      <c r="AI11" s="332"/>
      <c r="AJ11" s="332"/>
      <c r="AK11" s="332"/>
      <c r="AL11" s="332"/>
      <c r="AM11" s="332"/>
      <c r="AN11" s="332"/>
      <c r="AO11" s="332"/>
    </row>
    <row r="12" spans="1:41">
      <c r="A12" s="332"/>
      <c r="B12" s="332"/>
      <c r="C12" s="332"/>
      <c r="D12" s="332"/>
      <c r="E12" s="332"/>
      <c r="F12" s="332"/>
      <c r="G12" s="332"/>
      <c r="H12" s="332"/>
      <c r="I12" s="332"/>
      <c r="J12" s="332"/>
      <c r="K12" s="332"/>
      <c r="L12" s="332"/>
      <c r="M12" s="332"/>
      <c r="N12" s="332"/>
      <c r="O12" s="332"/>
      <c r="P12" s="332"/>
      <c r="Q12" s="332"/>
      <c r="R12" s="332"/>
      <c r="S12" s="332"/>
      <c r="T12" s="332"/>
      <c r="U12" s="332"/>
      <c r="V12" s="332"/>
      <c r="W12" s="332"/>
      <c r="X12" s="332"/>
      <c r="Y12" s="332"/>
      <c r="Z12" s="332"/>
      <c r="AA12" s="332"/>
      <c r="AB12" s="332"/>
      <c r="AC12" s="332"/>
      <c r="AD12" s="332"/>
      <c r="AE12" s="332"/>
      <c r="AF12" s="332"/>
      <c r="AG12" s="332"/>
      <c r="AH12" s="332"/>
      <c r="AI12" s="332"/>
      <c r="AJ12" s="332"/>
      <c r="AK12" s="332"/>
      <c r="AL12" s="332"/>
      <c r="AM12" s="332"/>
      <c r="AN12" s="332"/>
      <c r="AO12" s="332"/>
    </row>
    <row r="13" spans="1:41">
      <c r="A13" s="332"/>
      <c r="B13" s="332"/>
      <c r="C13" s="332"/>
      <c r="D13" s="332"/>
      <c r="E13" s="332"/>
      <c r="F13" s="332"/>
      <c r="G13" s="332"/>
      <c r="H13" s="332"/>
      <c r="I13" s="332"/>
      <c r="J13" s="332"/>
      <c r="K13" s="332"/>
      <c r="L13" s="332"/>
      <c r="M13" s="332"/>
      <c r="N13" s="332"/>
      <c r="O13" s="332"/>
      <c r="P13" s="332"/>
      <c r="Q13" s="332"/>
      <c r="R13" s="332"/>
      <c r="S13" s="332"/>
      <c r="T13" s="332"/>
      <c r="U13" s="332"/>
      <c r="V13" s="332"/>
      <c r="W13" s="332"/>
      <c r="X13" s="332"/>
      <c r="Y13" s="332"/>
      <c r="Z13" s="332"/>
      <c r="AA13" s="332"/>
      <c r="AB13" s="332"/>
      <c r="AC13" s="332"/>
      <c r="AD13" s="332"/>
      <c r="AE13" s="332"/>
      <c r="AF13" s="332"/>
      <c r="AG13" s="332"/>
      <c r="AH13" s="332"/>
      <c r="AI13" s="332"/>
      <c r="AJ13" s="332"/>
      <c r="AK13" s="332"/>
      <c r="AL13" s="332"/>
      <c r="AM13" s="332"/>
      <c r="AN13" s="332"/>
      <c r="AO13" s="332"/>
    </row>
    <row r="14" spans="1:41">
      <c r="A14" s="332"/>
      <c r="B14" s="332"/>
      <c r="C14" s="332"/>
      <c r="D14" s="332"/>
      <c r="E14" s="332"/>
      <c r="F14" s="332"/>
      <c r="G14" s="332"/>
      <c r="H14" s="332"/>
      <c r="I14" s="332"/>
      <c r="J14" s="332"/>
      <c r="K14" s="332"/>
      <c r="L14" s="332"/>
      <c r="M14" s="332"/>
      <c r="N14" s="332"/>
      <c r="O14" s="332"/>
      <c r="P14" s="332"/>
      <c r="Q14" s="332"/>
      <c r="R14" s="332"/>
      <c r="S14" s="332"/>
      <c r="T14" s="332"/>
      <c r="U14" s="332"/>
      <c r="V14" s="332"/>
      <c r="W14" s="332"/>
      <c r="X14" s="332"/>
      <c r="Y14" s="332"/>
      <c r="Z14" s="332"/>
      <c r="AA14" s="332"/>
      <c r="AB14" s="332"/>
      <c r="AC14" s="332"/>
      <c r="AD14" s="332"/>
      <c r="AE14" s="332"/>
      <c r="AF14" s="332"/>
      <c r="AG14" s="332"/>
      <c r="AH14" s="332"/>
      <c r="AI14" s="332"/>
      <c r="AJ14" s="332"/>
      <c r="AK14" s="332"/>
      <c r="AL14" s="332"/>
      <c r="AM14" s="332"/>
      <c r="AN14" s="332"/>
      <c r="AO14" s="332"/>
    </row>
    <row r="15" spans="1:41">
      <c r="A15" s="332"/>
      <c r="B15" s="332"/>
      <c r="C15" s="332"/>
      <c r="D15" s="332"/>
      <c r="E15" s="332"/>
      <c r="F15" s="332"/>
      <c r="G15" s="332"/>
      <c r="H15" s="332"/>
      <c r="I15" s="332"/>
      <c r="J15" s="332"/>
      <c r="K15" s="332"/>
      <c r="L15" s="332"/>
      <c r="M15" s="332"/>
      <c r="N15" s="332"/>
      <c r="O15" s="332"/>
      <c r="P15" s="332"/>
      <c r="Q15" s="332"/>
      <c r="R15" s="332"/>
      <c r="S15" s="332"/>
      <c r="T15" s="332"/>
      <c r="U15" s="332"/>
      <c r="V15" s="332"/>
      <c r="W15" s="332"/>
      <c r="X15" s="332"/>
      <c r="Y15" s="332"/>
      <c r="Z15" s="332"/>
      <c r="AA15" s="332"/>
      <c r="AB15" s="332"/>
      <c r="AC15" s="332"/>
      <c r="AD15" s="332"/>
      <c r="AE15" s="332"/>
      <c r="AF15" s="332"/>
      <c r="AG15" s="332"/>
      <c r="AH15" s="332"/>
      <c r="AI15" s="332"/>
      <c r="AJ15" s="332"/>
      <c r="AK15" s="332"/>
      <c r="AL15" s="332"/>
      <c r="AM15" s="332"/>
      <c r="AN15" s="332"/>
      <c r="AO15" s="332"/>
    </row>
    <row r="16" spans="1:41">
      <c r="A16" s="332"/>
      <c r="B16" s="332"/>
      <c r="C16" s="332"/>
      <c r="D16" s="332"/>
      <c r="E16" s="332"/>
      <c r="F16" s="332"/>
      <c r="G16" s="332"/>
      <c r="H16" s="332"/>
      <c r="I16" s="332"/>
      <c r="J16" s="332"/>
      <c r="K16" s="332"/>
      <c r="L16" s="332"/>
      <c r="M16" s="332"/>
      <c r="N16" s="332"/>
      <c r="O16" s="332"/>
      <c r="P16" s="332"/>
      <c r="Q16" s="332"/>
      <c r="R16" s="332"/>
      <c r="S16" s="332"/>
      <c r="T16" s="332"/>
      <c r="U16" s="332"/>
      <c r="V16" s="332"/>
      <c r="W16" s="332"/>
      <c r="X16" s="332"/>
      <c r="Y16" s="332"/>
      <c r="Z16" s="332"/>
      <c r="AA16" s="332"/>
      <c r="AB16" s="332"/>
      <c r="AC16" s="332"/>
      <c r="AD16" s="332"/>
      <c r="AE16" s="332"/>
      <c r="AF16" s="332"/>
      <c r="AG16" s="332"/>
      <c r="AH16" s="332"/>
      <c r="AI16" s="332"/>
      <c r="AJ16" s="332"/>
      <c r="AK16" s="332"/>
      <c r="AL16" s="332"/>
      <c r="AM16" s="332"/>
      <c r="AN16" s="332"/>
      <c r="AO16" s="332"/>
    </row>
    <row r="17" spans="1:41">
      <c r="A17" s="332"/>
      <c r="B17" s="332"/>
      <c r="C17" s="332"/>
      <c r="D17" s="332"/>
      <c r="E17" s="332"/>
      <c r="F17" s="332"/>
      <c r="G17" s="332"/>
      <c r="H17" s="332"/>
      <c r="I17" s="332"/>
      <c r="J17" s="332"/>
      <c r="K17" s="332"/>
      <c r="L17" s="332"/>
      <c r="M17" s="332"/>
      <c r="N17" s="332"/>
      <c r="O17" s="332"/>
      <c r="P17" s="332"/>
      <c r="Q17" s="332"/>
      <c r="R17" s="332"/>
      <c r="S17" s="332"/>
      <c r="T17" s="332"/>
      <c r="U17" s="332"/>
      <c r="V17" s="332"/>
      <c r="W17" s="332"/>
      <c r="X17" s="332"/>
      <c r="Y17" s="332"/>
      <c r="Z17" s="332"/>
      <c r="AA17" s="332"/>
      <c r="AB17" s="332"/>
      <c r="AC17" s="332"/>
      <c r="AD17" s="332"/>
      <c r="AE17" s="332"/>
      <c r="AF17" s="332"/>
      <c r="AG17" s="332"/>
      <c r="AH17" s="332"/>
      <c r="AI17" s="332"/>
      <c r="AJ17" s="332"/>
      <c r="AK17" s="332"/>
      <c r="AL17" s="332"/>
      <c r="AM17" s="332"/>
      <c r="AN17" s="332"/>
      <c r="AO17" s="332"/>
    </row>
    <row r="18" spans="1:41">
      <c r="A18" s="332"/>
      <c r="B18" s="332"/>
      <c r="C18" s="332"/>
      <c r="D18" s="332"/>
      <c r="E18" s="332"/>
      <c r="F18" s="332"/>
      <c r="G18" s="332"/>
      <c r="H18" s="332"/>
      <c r="I18" s="332"/>
      <c r="J18" s="332"/>
      <c r="K18" s="332"/>
      <c r="L18" s="332"/>
      <c r="M18" s="332"/>
      <c r="N18" s="332"/>
      <c r="O18" s="332"/>
      <c r="P18" s="332"/>
      <c r="Q18" s="332"/>
      <c r="R18" s="332"/>
      <c r="S18" s="332"/>
      <c r="T18" s="332"/>
      <c r="U18" s="332"/>
      <c r="V18" s="332"/>
      <c r="W18" s="332"/>
      <c r="X18" s="332"/>
      <c r="Y18" s="332"/>
      <c r="Z18" s="332"/>
      <c r="AA18" s="332"/>
      <c r="AB18" s="156"/>
      <c r="AC18" s="332"/>
      <c r="AD18" s="332"/>
      <c r="AE18" s="332"/>
      <c r="AF18" s="332"/>
      <c r="AG18" s="332"/>
      <c r="AH18" s="332"/>
      <c r="AI18" s="332"/>
      <c r="AJ18" s="332"/>
      <c r="AK18" s="332"/>
      <c r="AL18" s="332"/>
      <c r="AM18" s="332"/>
      <c r="AN18" s="332"/>
      <c r="AO18" s="332"/>
    </row>
    <row r="19" spans="1:41">
      <c r="A19" s="332"/>
      <c r="B19" s="332"/>
      <c r="C19" s="156"/>
      <c r="D19" s="332"/>
      <c r="E19" s="332"/>
      <c r="F19" s="332"/>
      <c r="G19" s="332"/>
      <c r="H19" s="332"/>
      <c r="I19" s="332"/>
      <c r="J19" s="332"/>
      <c r="K19" s="332"/>
      <c r="L19" s="332"/>
      <c r="M19" s="332"/>
      <c r="N19" s="332"/>
      <c r="O19" s="332"/>
      <c r="P19" s="332"/>
      <c r="Q19" s="332"/>
      <c r="R19" s="156"/>
      <c r="S19" s="332"/>
      <c r="T19" s="332"/>
      <c r="U19" s="332"/>
      <c r="V19" s="332"/>
      <c r="W19" s="332"/>
      <c r="X19" s="332"/>
      <c r="Y19" s="332"/>
      <c r="Z19" s="332"/>
      <c r="AA19" s="332"/>
      <c r="AB19" s="156"/>
      <c r="AC19" s="156"/>
      <c r="AD19" s="332"/>
      <c r="AE19" s="332"/>
      <c r="AF19" s="332"/>
      <c r="AG19" s="332"/>
      <c r="AH19" s="332"/>
      <c r="AI19" s="332"/>
      <c r="AJ19" s="332"/>
      <c r="AK19" s="332"/>
      <c r="AL19" s="332"/>
      <c r="AM19" s="332"/>
      <c r="AN19" s="332"/>
      <c r="AO19" s="332"/>
    </row>
    <row r="20" spans="1:41">
      <c r="A20" s="332"/>
      <c r="B20" s="332"/>
      <c r="C20" s="332"/>
      <c r="D20" s="332"/>
      <c r="E20" s="332"/>
      <c r="F20" s="332"/>
      <c r="G20" s="332"/>
      <c r="H20" s="332"/>
      <c r="I20" s="332"/>
      <c r="J20" s="332"/>
      <c r="K20" s="332"/>
      <c r="L20" s="332"/>
      <c r="M20" s="332"/>
      <c r="N20" s="332"/>
      <c r="O20" s="332"/>
      <c r="P20" s="332"/>
      <c r="Q20" s="332"/>
      <c r="R20" s="332"/>
      <c r="S20" s="332"/>
      <c r="T20" s="332"/>
      <c r="U20" s="332"/>
      <c r="V20" s="332"/>
      <c r="W20" s="332"/>
      <c r="X20" s="332"/>
      <c r="Y20" s="332"/>
      <c r="Z20" s="332"/>
      <c r="AA20" s="332"/>
      <c r="AB20" s="156"/>
      <c r="AC20" s="332"/>
      <c r="AD20" s="332"/>
      <c r="AE20" s="332"/>
      <c r="AF20" s="332"/>
      <c r="AG20" s="332"/>
      <c r="AH20" s="332"/>
      <c r="AI20" s="332"/>
      <c r="AJ20" s="332"/>
      <c r="AK20" s="332"/>
      <c r="AL20" s="332"/>
      <c r="AM20" s="332"/>
      <c r="AN20" s="332"/>
      <c r="AO20" s="332"/>
    </row>
    <row r="21" spans="1:41">
      <c r="A21" s="332"/>
      <c r="B21" s="332"/>
      <c r="C21" s="332"/>
      <c r="D21" s="332"/>
      <c r="E21" s="332"/>
      <c r="F21" s="332"/>
      <c r="G21" s="332"/>
      <c r="H21" s="332"/>
      <c r="I21" s="332"/>
      <c r="J21" s="332"/>
      <c r="K21" s="332"/>
      <c r="L21" s="332"/>
      <c r="M21" s="332"/>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2"/>
      <c r="AK21" s="332"/>
      <c r="AL21" s="332"/>
      <c r="AM21" s="332"/>
      <c r="AN21" s="332"/>
      <c r="AO21" s="332"/>
    </row>
    <row r="22" spans="1:41">
      <c r="A22" s="332"/>
      <c r="B22" s="332"/>
      <c r="C22" s="332"/>
      <c r="D22" s="332"/>
      <c r="E22" s="332"/>
      <c r="F22" s="332"/>
      <c r="G22" s="332"/>
      <c r="H22" s="332"/>
      <c r="I22" s="332"/>
      <c r="J22" s="332"/>
      <c r="K22" s="332"/>
      <c r="L22" s="332"/>
      <c r="M22" s="332"/>
      <c r="N22" s="332"/>
      <c r="O22" s="332"/>
      <c r="P22" s="332"/>
      <c r="Q22" s="332"/>
      <c r="R22" s="332"/>
      <c r="S22" s="332"/>
      <c r="T22" s="332"/>
      <c r="U22" s="332"/>
      <c r="V22" s="332"/>
      <c r="W22" s="332"/>
      <c r="X22" s="332"/>
      <c r="Y22" s="332"/>
      <c r="Z22" s="332"/>
      <c r="AA22" s="332"/>
      <c r="AB22" s="332"/>
      <c r="AC22" s="332"/>
      <c r="AD22" s="332"/>
      <c r="AE22" s="332"/>
      <c r="AF22" s="332"/>
      <c r="AG22" s="332"/>
      <c r="AH22" s="332"/>
      <c r="AI22" s="332"/>
      <c r="AJ22" s="332"/>
      <c r="AK22" s="332"/>
      <c r="AL22" s="332"/>
      <c r="AM22" s="332"/>
      <c r="AN22" s="332"/>
      <c r="AO22" s="332"/>
    </row>
    <row r="23" spans="1:41">
      <c r="A23" s="332"/>
      <c r="B23" s="332"/>
      <c r="C23" s="332"/>
      <c r="D23" s="332"/>
      <c r="E23" s="332"/>
      <c r="F23" s="332"/>
      <c r="G23" s="332"/>
      <c r="H23" s="332"/>
      <c r="I23" s="332"/>
      <c r="J23" s="332"/>
      <c r="K23" s="332"/>
      <c r="L23" s="332"/>
      <c r="M23" s="332"/>
      <c r="N23" s="332"/>
      <c r="O23" s="332"/>
      <c r="P23" s="332"/>
      <c r="Q23" s="332"/>
      <c r="R23" s="332"/>
      <c r="S23" s="332"/>
      <c r="T23" s="332"/>
      <c r="U23" s="332"/>
      <c r="V23" s="332"/>
      <c r="W23" s="332"/>
      <c r="X23" s="332"/>
      <c r="Y23" s="332"/>
      <c r="Z23" s="332"/>
      <c r="AA23" s="332"/>
      <c r="AB23" s="332"/>
      <c r="AC23" s="332"/>
      <c r="AD23" s="332"/>
      <c r="AE23" s="332"/>
      <c r="AF23" s="332"/>
      <c r="AG23" s="332"/>
      <c r="AH23" s="332"/>
      <c r="AI23" s="332"/>
      <c r="AJ23" s="332"/>
      <c r="AK23" s="332"/>
      <c r="AL23" s="332"/>
      <c r="AM23" s="332"/>
      <c r="AN23" s="332"/>
      <c r="AO23" s="332"/>
    </row>
    <row r="24" spans="1:41">
      <c r="A24" s="332"/>
      <c r="B24" s="332"/>
      <c r="C24" s="332"/>
      <c r="D24" s="332"/>
      <c r="E24" s="332"/>
      <c r="F24" s="332"/>
      <c r="G24" s="332"/>
      <c r="H24" s="332"/>
      <c r="I24" s="332"/>
      <c r="J24" s="332"/>
      <c r="K24" s="332"/>
      <c r="L24" s="332"/>
      <c r="M24" s="332"/>
      <c r="N24" s="332"/>
      <c r="O24" s="332"/>
      <c r="P24" s="332"/>
      <c r="Q24" s="332"/>
      <c r="R24" s="332"/>
      <c r="S24" s="332"/>
      <c r="T24" s="332"/>
      <c r="U24" s="332"/>
      <c r="V24" s="332"/>
      <c r="W24" s="332"/>
      <c r="X24" s="332"/>
      <c r="Y24" s="156"/>
      <c r="Z24" s="332"/>
      <c r="AA24" s="332"/>
      <c r="AB24" s="156"/>
      <c r="AC24" s="332"/>
      <c r="AD24" s="332"/>
      <c r="AE24" s="332"/>
      <c r="AF24" s="332"/>
      <c r="AG24" s="332"/>
      <c r="AH24" s="332"/>
      <c r="AI24" s="332"/>
      <c r="AJ24" s="332"/>
      <c r="AK24" s="332"/>
      <c r="AL24" s="332"/>
      <c r="AM24" s="332"/>
      <c r="AN24" s="332"/>
      <c r="AO24" s="332"/>
    </row>
    <row r="25" spans="1:41">
      <c r="A25" s="332"/>
      <c r="B25" s="332"/>
      <c r="C25" s="332"/>
      <c r="D25" s="332"/>
      <c r="E25" s="332"/>
      <c r="F25" s="332"/>
      <c r="G25" s="332"/>
      <c r="H25" s="332"/>
      <c r="I25" s="332"/>
      <c r="J25" s="332"/>
      <c r="K25" s="332"/>
      <c r="L25" s="332"/>
      <c r="M25" s="332"/>
      <c r="N25" s="332"/>
      <c r="O25" s="332"/>
      <c r="P25" s="332"/>
      <c r="Q25" s="332"/>
      <c r="R25" s="332"/>
      <c r="S25" s="332"/>
      <c r="T25" s="332"/>
      <c r="U25" s="332"/>
      <c r="V25" s="332"/>
      <c r="W25" s="332"/>
      <c r="X25" s="332"/>
      <c r="Y25" s="156"/>
      <c r="Z25" s="332"/>
      <c r="AA25" s="332"/>
      <c r="AB25" s="332"/>
      <c r="AC25" s="332"/>
      <c r="AD25" s="332"/>
      <c r="AE25" s="332"/>
      <c r="AF25" s="332"/>
      <c r="AG25" s="332"/>
      <c r="AH25" s="332"/>
      <c r="AI25" s="332"/>
      <c r="AJ25" s="332"/>
      <c r="AK25" s="332"/>
      <c r="AL25" s="332"/>
      <c r="AM25" s="332"/>
      <c r="AN25" s="332"/>
      <c r="AO25" s="332"/>
    </row>
    <row r="26" spans="1:41">
      <c r="A26" s="332"/>
      <c r="B26" s="332"/>
      <c r="C26" s="332"/>
      <c r="D26" s="332"/>
      <c r="E26" s="332"/>
      <c r="F26" s="332"/>
      <c r="G26" s="332"/>
      <c r="H26" s="332"/>
      <c r="I26" s="332"/>
      <c r="J26" s="332"/>
      <c r="K26" s="332"/>
      <c r="L26" s="332"/>
      <c r="M26" s="332"/>
      <c r="N26" s="156"/>
      <c r="O26" s="332"/>
      <c r="P26" s="332"/>
      <c r="Q26" s="332"/>
      <c r="R26" s="332"/>
      <c r="S26" s="332"/>
      <c r="T26" s="332"/>
      <c r="U26" s="332"/>
      <c r="V26" s="332"/>
      <c r="W26" s="332"/>
      <c r="X26" s="332"/>
      <c r="Y26" s="332"/>
      <c r="Z26" s="332"/>
      <c r="AA26" s="332"/>
      <c r="AB26" s="332"/>
      <c r="AC26" s="332"/>
      <c r="AD26" s="332"/>
      <c r="AE26" s="332"/>
      <c r="AF26" s="332"/>
      <c r="AG26" s="332"/>
      <c r="AH26" s="332"/>
      <c r="AI26" s="332"/>
      <c r="AJ26" s="332"/>
      <c r="AK26" s="332"/>
      <c r="AL26" s="332"/>
      <c r="AM26" s="332"/>
      <c r="AN26" s="332"/>
      <c r="AO26" s="332"/>
    </row>
    <row r="27" spans="1:41">
      <c r="A27" s="332"/>
      <c r="B27" s="332"/>
      <c r="C27" s="332"/>
      <c r="D27" s="332"/>
      <c r="E27" s="332"/>
      <c r="F27" s="332"/>
      <c r="G27" s="332"/>
      <c r="H27" s="332"/>
      <c r="I27" s="332"/>
      <c r="J27" s="332"/>
      <c r="K27" s="332"/>
      <c r="L27" s="332"/>
      <c r="M27" s="332"/>
      <c r="N27" s="332"/>
      <c r="O27" s="332"/>
      <c r="P27" s="332"/>
      <c r="Q27" s="332"/>
      <c r="R27" s="332"/>
      <c r="S27" s="332"/>
      <c r="T27" s="332"/>
      <c r="U27" s="332"/>
      <c r="V27" s="332"/>
      <c r="W27" s="332"/>
      <c r="X27" s="332"/>
      <c r="Y27" s="332"/>
      <c r="Z27" s="332"/>
      <c r="AA27" s="332"/>
      <c r="AB27" s="332"/>
      <c r="AC27" s="332"/>
      <c r="AD27" s="332"/>
      <c r="AE27" s="332"/>
      <c r="AF27" s="332"/>
      <c r="AG27" s="332"/>
      <c r="AH27" s="332"/>
      <c r="AI27" s="332"/>
      <c r="AJ27" s="332"/>
      <c r="AK27" s="332"/>
      <c r="AL27" s="332"/>
      <c r="AM27" s="332"/>
      <c r="AN27" s="332"/>
      <c r="AO27" s="332"/>
    </row>
    <row r="28" spans="1:41">
      <c r="A28" s="332"/>
      <c r="B28" s="332"/>
      <c r="C28" s="332"/>
      <c r="D28" s="332"/>
      <c r="E28" s="332"/>
      <c r="F28" s="332"/>
      <c r="G28" s="332"/>
      <c r="H28" s="332"/>
      <c r="I28" s="332"/>
      <c r="J28" s="332"/>
      <c r="K28" s="332"/>
      <c r="L28" s="332"/>
      <c r="M28" s="332"/>
      <c r="N28" s="332"/>
      <c r="O28" s="332"/>
      <c r="P28" s="332"/>
      <c r="Q28" s="332"/>
      <c r="R28" s="332"/>
      <c r="S28" s="332"/>
      <c r="T28" s="332"/>
      <c r="U28" s="332"/>
      <c r="V28" s="332"/>
      <c r="W28" s="332"/>
      <c r="X28" s="332"/>
      <c r="Y28" s="332"/>
      <c r="Z28" s="332"/>
      <c r="AA28" s="332"/>
      <c r="AB28" s="332"/>
      <c r="AC28" s="332"/>
      <c r="AD28" s="332"/>
      <c r="AE28" s="332"/>
      <c r="AF28" s="332"/>
      <c r="AG28" s="332"/>
      <c r="AH28" s="332"/>
      <c r="AI28" s="332"/>
      <c r="AJ28" s="332"/>
      <c r="AK28" s="332"/>
      <c r="AL28" s="332"/>
      <c r="AM28" s="332"/>
      <c r="AN28" s="332"/>
      <c r="AO28" s="332"/>
    </row>
    <row r="29" spans="1:41">
      <c r="A29" s="332"/>
      <c r="B29" s="332"/>
      <c r="C29" s="332"/>
      <c r="D29" s="332"/>
      <c r="E29" s="332"/>
      <c r="F29" s="332"/>
      <c r="G29" s="332"/>
      <c r="H29" s="332"/>
      <c r="I29" s="332"/>
      <c r="J29" s="332"/>
      <c r="K29" s="332"/>
      <c r="L29" s="332"/>
      <c r="M29" s="332"/>
      <c r="N29" s="332"/>
      <c r="O29" s="332"/>
      <c r="P29" s="332"/>
      <c r="Q29" s="332"/>
      <c r="R29" s="332"/>
      <c r="S29" s="332"/>
      <c r="T29" s="332"/>
      <c r="U29" s="332"/>
      <c r="V29" s="332"/>
      <c r="W29" s="332"/>
      <c r="X29" s="332"/>
      <c r="Y29" s="156"/>
      <c r="Z29" s="332"/>
      <c r="AA29" s="332"/>
      <c r="AB29" s="332"/>
      <c r="AC29" s="332"/>
      <c r="AD29" s="332"/>
      <c r="AE29" s="332"/>
      <c r="AF29" s="332"/>
      <c r="AG29" s="332"/>
      <c r="AH29" s="332"/>
      <c r="AI29" s="332"/>
      <c r="AJ29" s="332"/>
      <c r="AK29" s="332"/>
      <c r="AL29" s="332"/>
      <c r="AM29" s="332"/>
      <c r="AN29" s="332"/>
      <c r="AO29" s="332"/>
    </row>
    <row r="30" spans="1:41">
      <c r="A30" s="332"/>
      <c r="B30" s="332"/>
      <c r="C30" s="332"/>
      <c r="D30" s="332"/>
      <c r="E30" s="332"/>
      <c r="F30" s="332"/>
      <c r="G30" s="332"/>
      <c r="H30" s="332"/>
      <c r="I30" s="332"/>
      <c r="J30" s="332"/>
      <c r="K30" s="332"/>
      <c r="L30" s="332"/>
      <c r="M30" s="332"/>
      <c r="N30" s="332"/>
      <c r="O30" s="332"/>
      <c r="P30" s="332"/>
      <c r="Q30" s="332"/>
      <c r="R30" s="332"/>
      <c r="S30" s="332"/>
      <c r="T30" s="332"/>
      <c r="U30" s="332"/>
      <c r="V30" s="332"/>
      <c r="W30" s="332"/>
      <c r="X30" s="332"/>
      <c r="Y30" s="332"/>
      <c r="Z30" s="332"/>
      <c r="AA30" s="332"/>
      <c r="AB30" s="332"/>
      <c r="AC30" s="332"/>
      <c r="AD30" s="332"/>
      <c r="AE30" s="332"/>
      <c r="AF30" s="332"/>
      <c r="AG30" s="332"/>
      <c r="AH30" s="332"/>
      <c r="AI30" s="332"/>
      <c r="AJ30" s="332"/>
      <c r="AK30" s="332"/>
      <c r="AL30" s="332"/>
      <c r="AM30" s="332"/>
      <c r="AN30" s="332"/>
      <c r="AO30" s="332"/>
    </row>
    <row r="31" spans="1:41">
      <c r="A31" s="332"/>
      <c r="B31" s="332"/>
      <c r="C31" s="332"/>
      <c r="D31" s="332"/>
      <c r="E31" s="332"/>
      <c r="F31" s="332"/>
      <c r="G31" s="332"/>
      <c r="H31" s="332"/>
      <c r="I31" s="332"/>
      <c r="J31" s="332"/>
      <c r="K31" s="332"/>
      <c r="L31" s="332"/>
      <c r="M31" s="332"/>
      <c r="N31" s="156"/>
      <c r="O31" s="332"/>
      <c r="P31" s="332"/>
      <c r="Q31" s="332"/>
      <c r="R31" s="332"/>
      <c r="S31" s="332"/>
      <c r="T31" s="332"/>
      <c r="U31" s="332"/>
      <c r="V31" s="332"/>
      <c r="W31" s="332"/>
      <c r="X31" s="332"/>
      <c r="Y31" s="332"/>
      <c r="Z31" s="332"/>
      <c r="AA31" s="332"/>
      <c r="AB31" s="332"/>
      <c r="AC31" s="332"/>
      <c r="AD31" s="332"/>
      <c r="AE31" s="332"/>
      <c r="AF31" s="156"/>
      <c r="AG31" s="332"/>
      <c r="AH31" s="332"/>
      <c r="AI31" s="332"/>
      <c r="AJ31" s="332"/>
      <c r="AK31" s="332"/>
      <c r="AL31" s="332"/>
      <c r="AM31" s="332"/>
      <c r="AN31" s="332"/>
      <c r="AO31" s="332"/>
    </row>
    <row r="32" spans="1:41">
      <c r="A32" s="332"/>
      <c r="B32" s="332"/>
      <c r="C32" s="332"/>
      <c r="D32" s="332"/>
      <c r="E32" s="332"/>
      <c r="F32" s="332"/>
      <c r="G32" s="332"/>
      <c r="H32" s="332"/>
      <c r="I32" s="332"/>
      <c r="J32" s="332"/>
      <c r="K32" s="332"/>
      <c r="L32" s="332"/>
      <c r="M32" s="332"/>
      <c r="N32" s="332"/>
      <c r="O32" s="332"/>
      <c r="P32" s="332"/>
      <c r="Q32" s="332"/>
      <c r="R32" s="332"/>
      <c r="S32" s="332"/>
      <c r="T32" s="332"/>
      <c r="U32" s="332"/>
      <c r="V32" s="332"/>
      <c r="W32" s="332"/>
      <c r="X32" s="332"/>
      <c r="Y32" s="156"/>
      <c r="Z32" s="332"/>
      <c r="AA32" s="332"/>
      <c r="AB32" s="332"/>
      <c r="AC32" s="332"/>
      <c r="AD32" s="332"/>
      <c r="AE32" s="332"/>
      <c r="AF32" s="332"/>
      <c r="AG32" s="332"/>
      <c r="AH32" s="332"/>
      <c r="AI32" s="332"/>
      <c r="AJ32" s="332"/>
      <c r="AK32" s="332"/>
      <c r="AL32" s="332"/>
      <c r="AM32" s="332"/>
      <c r="AN32" s="332"/>
      <c r="AO32" s="332"/>
    </row>
    <row r="33" spans="1:41">
      <c r="A33" s="332"/>
      <c r="B33" s="332"/>
      <c r="C33" s="332"/>
      <c r="D33" s="332"/>
      <c r="E33" s="332"/>
      <c r="F33" s="332"/>
      <c r="G33" s="332"/>
      <c r="H33" s="332"/>
      <c r="I33" s="332"/>
      <c r="J33" s="332"/>
      <c r="K33" s="332"/>
      <c r="L33" s="332"/>
      <c r="M33" s="332"/>
      <c r="N33" s="332"/>
      <c r="O33" s="332"/>
      <c r="P33" s="332"/>
      <c r="Q33" s="332"/>
      <c r="R33" s="332"/>
      <c r="S33" s="332"/>
      <c r="T33" s="332"/>
      <c r="U33" s="332"/>
      <c r="V33" s="332"/>
      <c r="W33" s="332"/>
      <c r="X33" s="332"/>
      <c r="Y33" s="332"/>
      <c r="Z33" s="332"/>
      <c r="AA33" s="332"/>
      <c r="AB33" s="332"/>
      <c r="AC33" s="332"/>
      <c r="AD33" s="332"/>
      <c r="AE33" s="332"/>
      <c r="AF33" s="332"/>
      <c r="AG33" s="332"/>
      <c r="AH33" s="332"/>
      <c r="AI33" s="332"/>
      <c r="AJ33" s="332"/>
      <c r="AK33" s="332"/>
      <c r="AL33" s="332"/>
      <c r="AM33" s="332"/>
      <c r="AN33" s="332"/>
      <c r="AO33" s="332"/>
    </row>
    <row r="34" spans="1:41">
      <c r="A34" s="332"/>
      <c r="B34" s="332"/>
      <c r="C34" s="332"/>
      <c r="D34" s="332"/>
      <c r="E34" s="332"/>
      <c r="F34" s="332"/>
      <c r="G34" s="332"/>
      <c r="H34" s="332"/>
      <c r="I34" s="332"/>
      <c r="J34" s="332"/>
      <c r="K34" s="332"/>
      <c r="L34" s="332"/>
      <c r="M34" s="332"/>
      <c r="N34" s="332"/>
      <c r="O34" s="332"/>
      <c r="P34" s="332"/>
      <c r="Q34" s="332"/>
      <c r="R34" s="332"/>
      <c r="S34" s="332"/>
      <c r="T34" s="332"/>
      <c r="U34" s="332"/>
      <c r="V34" s="332"/>
      <c r="W34" s="332"/>
      <c r="X34" s="332"/>
      <c r="Y34" s="332"/>
      <c r="Z34" s="332"/>
      <c r="AA34" s="332"/>
      <c r="AB34" s="156"/>
      <c r="AC34" s="332"/>
      <c r="AD34" s="332"/>
      <c r="AE34" s="332"/>
      <c r="AF34" s="332"/>
      <c r="AG34" s="332"/>
      <c r="AH34" s="332"/>
      <c r="AI34" s="332"/>
      <c r="AJ34" s="332"/>
      <c r="AK34" s="332"/>
      <c r="AL34" s="332"/>
      <c r="AM34" s="332"/>
      <c r="AN34" s="332"/>
      <c r="AO34" s="332"/>
    </row>
    <row r="35" spans="1:41">
      <c r="A35" s="332"/>
      <c r="B35" s="332"/>
      <c r="C35" s="332"/>
      <c r="D35" s="332"/>
      <c r="E35" s="332"/>
      <c r="F35" s="332"/>
      <c r="G35" s="332"/>
      <c r="H35" s="332"/>
      <c r="I35" s="332"/>
      <c r="J35" s="332"/>
      <c r="K35" s="332"/>
      <c r="L35" s="332"/>
      <c r="M35" s="332"/>
      <c r="N35" s="156"/>
      <c r="O35" s="332"/>
      <c r="P35" s="332"/>
      <c r="Q35" s="332"/>
      <c r="R35" s="332"/>
      <c r="S35" s="332"/>
      <c r="T35" s="332"/>
      <c r="U35" s="332"/>
      <c r="V35" s="332"/>
      <c r="W35" s="332"/>
      <c r="X35" s="332"/>
      <c r="Y35" s="332"/>
      <c r="Z35" s="332"/>
      <c r="AA35" s="332"/>
      <c r="AB35" s="156"/>
      <c r="AC35" s="332"/>
      <c r="AD35" s="332"/>
      <c r="AE35" s="332"/>
      <c r="AF35" s="332"/>
      <c r="AG35" s="332"/>
      <c r="AH35" s="332"/>
      <c r="AI35" s="332"/>
      <c r="AJ35" s="332"/>
      <c r="AK35" s="332"/>
      <c r="AL35" s="332"/>
      <c r="AM35" s="332"/>
      <c r="AN35" s="332"/>
      <c r="AO35" s="332"/>
    </row>
    <row r="36" spans="1:41">
      <c r="A36" s="332"/>
      <c r="B36" s="332"/>
      <c r="C36" s="332"/>
      <c r="D36" s="332"/>
      <c r="E36" s="332"/>
      <c r="F36" s="332"/>
      <c r="G36" s="332"/>
      <c r="H36" s="332"/>
      <c r="I36" s="332"/>
      <c r="J36" s="332"/>
      <c r="K36" s="332"/>
      <c r="L36" s="332"/>
      <c r="M36" s="332"/>
      <c r="N36" s="332"/>
      <c r="O36" s="332"/>
      <c r="P36" s="332"/>
      <c r="Q36" s="332"/>
      <c r="R36" s="332"/>
      <c r="S36" s="332"/>
      <c r="T36" s="332"/>
      <c r="U36" s="332"/>
      <c r="V36" s="332"/>
      <c r="W36" s="332"/>
      <c r="X36" s="332"/>
      <c r="Y36" s="332"/>
      <c r="Z36" s="332"/>
      <c r="AA36" s="332"/>
      <c r="AB36" s="332"/>
      <c r="AC36" s="332"/>
      <c r="AD36" s="332"/>
      <c r="AE36" s="332"/>
      <c r="AF36" s="332"/>
      <c r="AG36" s="332"/>
      <c r="AH36" s="332"/>
      <c r="AI36" s="332"/>
      <c r="AJ36" s="332"/>
      <c r="AK36" s="332"/>
      <c r="AL36" s="332"/>
      <c r="AM36" s="332"/>
      <c r="AN36" s="332"/>
      <c r="AO36" s="332"/>
    </row>
    <row r="37" spans="1:41">
      <c r="A37" s="332"/>
      <c r="B37" s="332"/>
      <c r="C37" s="332"/>
      <c r="D37" s="332"/>
      <c r="E37" s="332"/>
      <c r="F37" s="332"/>
      <c r="G37" s="332"/>
      <c r="H37" s="332"/>
      <c r="I37" s="332"/>
      <c r="J37" s="332"/>
      <c r="K37" s="332"/>
      <c r="L37" s="332"/>
      <c r="M37" s="332"/>
      <c r="N37" s="332"/>
      <c r="O37" s="332"/>
      <c r="P37" s="332"/>
      <c r="Q37" s="332"/>
      <c r="R37" s="332"/>
      <c r="S37" s="332"/>
      <c r="T37" s="332"/>
      <c r="U37" s="332"/>
      <c r="V37" s="332"/>
      <c r="W37" s="332"/>
      <c r="X37" s="332"/>
      <c r="Y37" s="332"/>
      <c r="Z37" s="332"/>
      <c r="AA37" s="332"/>
      <c r="AB37" s="332"/>
      <c r="AC37" s="332"/>
      <c r="AD37" s="332"/>
      <c r="AE37" s="332"/>
      <c r="AF37" s="332"/>
      <c r="AG37" s="332"/>
      <c r="AH37" s="332"/>
      <c r="AI37" s="332"/>
      <c r="AJ37" s="332"/>
      <c r="AK37" s="332"/>
      <c r="AL37" s="332"/>
      <c r="AM37" s="332"/>
      <c r="AN37" s="332"/>
      <c r="AO37" s="332"/>
    </row>
    <row r="38" spans="1:41">
      <c r="A38" s="332"/>
      <c r="B38" s="332"/>
      <c r="C38" s="332"/>
      <c r="D38" s="332"/>
      <c r="E38" s="332"/>
      <c r="F38" s="332"/>
      <c r="G38" s="332"/>
      <c r="H38" s="332"/>
      <c r="I38" s="332"/>
      <c r="J38" s="332"/>
      <c r="K38" s="332"/>
      <c r="L38" s="332"/>
      <c r="M38" s="332"/>
      <c r="N38" s="332"/>
      <c r="O38" s="332"/>
      <c r="P38" s="332"/>
      <c r="Q38" s="332"/>
      <c r="R38" s="332"/>
      <c r="S38" s="332"/>
      <c r="T38" s="332"/>
      <c r="U38" s="332"/>
      <c r="V38" s="332"/>
      <c r="W38" s="332"/>
      <c r="X38" s="332"/>
      <c r="Y38" s="332"/>
      <c r="Z38" s="332"/>
      <c r="AA38" s="332"/>
      <c r="AB38" s="332"/>
      <c r="AC38" s="332"/>
      <c r="AD38" s="332"/>
      <c r="AE38" s="332"/>
      <c r="AF38" s="332"/>
      <c r="AG38" s="332"/>
      <c r="AH38" s="332"/>
      <c r="AI38" s="332"/>
      <c r="AJ38" s="332"/>
      <c r="AK38" s="332"/>
      <c r="AL38" s="332"/>
      <c r="AM38" s="332"/>
      <c r="AN38" s="332"/>
      <c r="AO38" s="332"/>
    </row>
    <row r="39" spans="1:41">
      <c r="A39" s="332"/>
      <c r="B39" s="332"/>
      <c r="C39" s="332"/>
      <c r="D39" s="332"/>
      <c r="E39" s="332"/>
      <c r="F39" s="332"/>
      <c r="G39" s="332"/>
      <c r="H39" s="332"/>
      <c r="I39" s="332"/>
      <c r="J39" s="332"/>
      <c r="K39" s="332"/>
      <c r="L39" s="332"/>
      <c r="M39" s="332"/>
      <c r="N39" s="332"/>
      <c r="O39" s="332"/>
      <c r="P39" s="332"/>
      <c r="Q39" s="332"/>
      <c r="R39" s="332"/>
      <c r="S39" s="332"/>
      <c r="T39" s="332"/>
      <c r="U39" s="332"/>
      <c r="V39" s="332"/>
      <c r="W39" s="332"/>
      <c r="X39" s="332"/>
      <c r="Y39" s="156"/>
      <c r="Z39" s="332"/>
      <c r="AA39" s="332"/>
      <c r="AB39" s="332"/>
      <c r="AC39" s="332"/>
      <c r="AD39" s="332"/>
      <c r="AE39" s="332"/>
      <c r="AF39" s="332"/>
      <c r="AG39" s="332"/>
      <c r="AH39" s="332"/>
      <c r="AI39" s="332"/>
      <c r="AJ39" s="332"/>
      <c r="AK39" s="332"/>
      <c r="AL39" s="332"/>
      <c r="AM39" s="332"/>
      <c r="AN39" s="332"/>
      <c r="AO39" s="332"/>
    </row>
    <row r="40" spans="1:41">
      <c r="A40" s="332"/>
      <c r="B40" s="332"/>
      <c r="C40" s="332"/>
      <c r="D40" s="332"/>
      <c r="E40" s="332"/>
      <c r="F40" s="332"/>
      <c r="G40" s="332"/>
      <c r="H40" s="332"/>
      <c r="I40" s="332"/>
      <c r="J40" s="332"/>
      <c r="K40" s="332"/>
      <c r="L40" s="332"/>
      <c r="M40" s="332"/>
      <c r="N40" s="332"/>
      <c r="O40" s="332"/>
      <c r="P40" s="332"/>
      <c r="Q40" s="332"/>
      <c r="R40" s="332"/>
      <c r="S40" s="332"/>
      <c r="T40" s="332"/>
      <c r="U40" s="332"/>
      <c r="V40" s="332"/>
      <c r="W40" s="332"/>
      <c r="X40" s="332"/>
      <c r="Y40" s="332"/>
      <c r="Z40" s="332"/>
      <c r="AA40" s="332"/>
      <c r="AB40" s="332"/>
      <c r="AC40" s="332"/>
      <c r="AD40" s="332"/>
      <c r="AE40" s="332"/>
      <c r="AF40" s="332"/>
      <c r="AG40" s="332"/>
      <c r="AH40" s="332"/>
      <c r="AI40" s="332"/>
      <c r="AJ40" s="332"/>
      <c r="AK40" s="332"/>
      <c r="AL40" s="332"/>
      <c r="AM40" s="332"/>
      <c r="AN40" s="332"/>
      <c r="AO40" s="332"/>
    </row>
    <row r="41" spans="1:41">
      <c r="A41" s="332"/>
      <c r="B41" s="332"/>
      <c r="C41" s="332"/>
      <c r="D41" s="332"/>
      <c r="E41" s="332"/>
      <c r="F41" s="332"/>
      <c r="G41" s="332"/>
      <c r="H41" s="332"/>
      <c r="I41" s="332"/>
      <c r="J41" s="332"/>
      <c r="K41" s="332"/>
      <c r="L41" s="332"/>
      <c r="M41" s="332"/>
      <c r="N41" s="332"/>
      <c r="O41" s="332"/>
      <c r="P41" s="332"/>
      <c r="Q41" s="332"/>
      <c r="R41" s="332"/>
      <c r="S41" s="332"/>
      <c r="T41" s="332"/>
      <c r="U41" s="332"/>
      <c r="V41" s="332"/>
      <c r="W41" s="332"/>
      <c r="X41" s="332"/>
      <c r="Y41" s="332"/>
      <c r="Z41" s="332"/>
      <c r="AA41" s="332"/>
      <c r="AB41" s="332"/>
      <c r="AC41" s="332"/>
      <c r="AD41" s="332"/>
      <c r="AE41" s="332"/>
      <c r="AF41" s="332"/>
      <c r="AG41" s="332"/>
      <c r="AH41" s="332"/>
      <c r="AI41" s="332"/>
      <c r="AJ41" s="332"/>
      <c r="AK41" s="332"/>
      <c r="AL41" s="332"/>
      <c r="AM41" s="332"/>
      <c r="AN41" s="332"/>
      <c r="AO41" s="332"/>
    </row>
    <row r="42" spans="1:41">
      <c r="A42" s="332"/>
      <c r="B42" s="332"/>
      <c r="C42" s="332"/>
      <c r="D42" s="332"/>
      <c r="E42" s="332"/>
      <c r="F42" s="332"/>
      <c r="G42" s="332"/>
      <c r="H42" s="332"/>
      <c r="I42" s="332"/>
      <c r="J42" s="332"/>
      <c r="K42" s="332"/>
      <c r="L42" s="332"/>
      <c r="M42" s="332"/>
      <c r="N42" s="332"/>
      <c r="O42" s="332"/>
      <c r="P42" s="332"/>
      <c r="Q42" s="332"/>
      <c r="R42" s="332"/>
      <c r="S42" s="332"/>
      <c r="T42" s="332"/>
      <c r="U42" s="332"/>
      <c r="V42" s="332"/>
      <c r="W42" s="332"/>
      <c r="X42" s="332"/>
      <c r="Y42" s="332"/>
      <c r="Z42" s="332"/>
      <c r="AA42" s="332"/>
      <c r="AB42" s="332"/>
      <c r="AC42" s="332"/>
      <c r="AD42" s="332"/>
      <c r="AE42" s="332"/>
      <c r="AF42" s="332"/>
      <c r="AG42" s="332"/>
      <c r="AH42" s="332"/>
      <c r="AI42" s="332"/>
      <c r="AJ42" s="332"/>
      <c r="AK42" s="332"/>
      <c r="AL42" s="332"/>
      <c r="AM42" s="332"/>
      <c r="AN42" s="332"/>
      <c r="AO42" s="332"/>
    </row>
    <row r="43" spans="1:41">
      <c r="A43" s="332"/>
      <c r="B43" s="332"/>
      <c r="C43" s="332"/>
      <c r="D43" s="332"/>
      <c r="E43" s="332"/>
      <c r="F43" s="332"/>
      <c r="G43" s="332"/>
      <c r="H43" s="332"/>
      <c r="I43" s="332"/>
      <c r="J43" s="332"/>
      <c r="K43" s="332"/>
      <c r="L43" s="332"/>
      <c r="M43" s="332"/>
      <c r="N43" s="332"/>
      <c r="O43" s="332"/>
      <c r="P43" s="332"/>
      <c r="Q43" s="332"/>
      <c r="R43" s="332"/>
      <c r="S43" s="332"/>
      <c r="T43" s="332"/>
      <c r="U43" s="332"/>
      <c r="V43" s="332"/>
      <c r="W43" s="332"/>
      <c r="X43" s="332"/>
      <c r="Y43" s="332"/>
      <c r="Z43" s="332"/>
      <c r="AA43" s="332"/>
      <c r="AB43" s="156"/>
      <c r="AC43" s="156"/>
      <c r="AD43" s="332"/>
      <c r="AE43" s="332"/>
      <c r="AF43" s="332"/>
      <c r="AG43" s="332"/>
      <c r="AH43" s="332"/>
      <c r="AI43" s="332"/>
      <c r="AJ43" s="332"/>
      <c r="AK43" s="332"/>
      <c r="AL43" s="332"/>
      <c r="AM43" s="332"/>
      <c r="AN43" s="332"/>
      <c r="AO43" s="332"/>
    </row>
    <row r="44" spans="1:41">
      <c r="A44" s="332"/>
      <c r="B44" s="332"/>
      <c r="C44" s="332"/>
      <c r="D44" s="332"/>
      <c r="E44" s="332"/>
      <c r="F44" s="332"/>
      <c r="G44" s="332"/>
      <c r="H44" s="332"/>
      <c r="I44" s="332"/>
      <c r="J44" s="332"/>
      <c r="K44" s="332"/>
      <c r="L44" s="332"/>
      <c r="M44" s="332"/>
      <c r="N44" s="156"/>
      <c r="O44" s="332"/>
      <c r="P44" s="332"/>
      <c r="Q44" s="332"/>
      <c r="R44" s="332"/>
      <c r="S44" s="332"/>
      <c r="T44" s="332"/>
      <c r="U44" s="332"/>
      <c r="V44" s="332"/>
      <c r="W44" s="332"/>
      <c r="X44" s="332"/>
      <c r="Y44" s="332"/>
      <c r="Z44" s="332"/>
      <c r="AA44" s="332"/>
      <c r="AB44" s="332"/>
      <c r="AC44" s="332"/>
      <c r="AD44" s="332"/>
      <c r="AE44" s="332"/>
      <c r="AF44" s="332"/>
      <c r="AG44" s="332"/>
      <c r="AH44" s="332"/>
      <c r="AI44" s="332"/>
      <c r="AJ44" s="332"/>
      <c r="AK44" s="332"/>
      <c r="AL44" s="332"/>
      <c r="AM44" s="332"/>
      <c r="AN44" s="332"/>
      <c r="AO44" s="332"/>
    </row>
    <row r="45" spans="1:41">
      <c r="A45" s="332"/>
      <c r="B45" s="332"/>
      <c r="C45" s="332"/>
      <c r="D45" s="332"/>
      <c r="E45" s="332"/>
      <c r="F45" s="332"/>
      <c r="G45" s="332"/>
      <c r="H45" s="332"/>
      <c r="I45" s="332"/>
      <c r="J45" s="332"/>
      <c r="K45" s="332"/>
      <c r="L45" s="332"/>
      <c r="M45" s="332"/>
      <c r="N45" s="332"/>
      <c r="O45" s="332"/>
      <c r="P45" s="332"/>
      <c r="Q45" s="332"/>
      <c r="R45" s="332"/>
      <c r="S45" s="332"/>
      <c r="T45" s="332"/>
      <c r="U45" s="332"/>
      <c r="V45" s="332"/>
      <c r="W45" s="332"/>
      <c r="X45" s="332"/>
      <c r="Y45" s="156"/>
      <c r="Z45" s="332"/>
      <c r="AA45" s="332"/>
      <c r="AB45" s="332"/>
      <c r="AC45" s="332"/>
      <c r="AD45" s="332"/>
      <c r="AE45" s="332"/>
      <c r="AF45" s="332"/>
      <c r="AG45" s="332"/>
      <c r="AH45" s="332"/>
      <c r="AI45" s="332"/>
      <c r="AJ45" s="332"/>
      <c r="AK45" s="332"/>
      <c r="AL45" s="332"/>
      <c r="AM45" s="332"/>
      <c r="AN45" s="332"/>
      <c r="AO45" s="332"/>
    </row>
    <row r="46" spans="1:41">
      <c r="A46" s="332"/>
      <c r="B46" s="332"/>
      <c r="C46" s="332"/>
      <c r="D46" s="332"/>
      <c r="E46" s="332"/>
      <c r="F46" s="332"/>
      <c r="G46" s="332"/>
      <c r="H46" s="332"/>
      <c r="I46" s="332"/>
      <c r="J46" s="332"/>
      <c r="K46" s="332"/>
      <c r="L46" s="332"/>
      <c r="M46" s="332"/>
      <c r="N46" s="332"/>
      <c r="O46" s="332"/>
      <c r="P46" s="332"/>
      <c r="Q46" s="332"/>
      <c r="R46" s="332"/>
      <c r="S46" s="332"/>
      <c r="T46" s="332"/>
      <c r="U46" s="332"/>
      <c r="V46" s="332"/>
      <c r="W46" s="332"/>
      <c r="X46" s="332"/>
      <c r="Y46" s="332"/>
      <c r="Z46" s="332"/>
      <c r="AA46" s="332"/>
      <c r="AB46" s="156"/>
      <c r="AC46" s="332"/>
      <c r="AD46" s="332"/>
      <c r="AE46" s="332"/>
      <c r="AF46" s="156"/>
      <c r="AG46" s="332"/>
      <c r="AH46" s="332"/>
      <c r="AI46" s="332"/>
      <c r="AJ46" s="332"/>
      <c r="AK46" s="332"/>
      <c r="AL46" s="332"/>
      <c r="AM46" s="332"/>
      <c r="AN46" s="332"/>
      <c r="AO46" s="332"/>
    </row>
    <row r="47" spans="1:41">
      <c r="A47" s="332"/>
      <c r="B47" s="332"/>
      <c r="C47" s="332"/>
      <c r="D47" s="332"/>
      <c r="E47" s="332"/>
      <c r="F47" s="332"/>
      <c r="G47" s="332"/>
      <c r="H47" s="332"/>
      <c r="I47" s="332"/>
      <c r="J47" s="332"/>
      <c r="K47" s="332"/>
      <c r="L47" s="332"/>
      <c r="M47" s="332"/>
      <c r="N47" s="332"/>
      <c r="O47" s="332"/>
      <c r="P47" s="332"/>
      <c r="Q47" s="332"/>
      <c r="R47" s="332"/>
      <c r="S47" s="332"/>
      <c r="T47" s="332"/>
      <c r="U47" s="332"/>
      <c r="V47" s="332"/>
      <c r="W47" s="332"/>
      <c r="X47" s="332"/>
      <c r="Y47" s="332"/>
      <c r="Z47" s="332"/>
      <c r="AA47" s="332"/>
      <c r="AB47" s="332"/>
      <c r="AC47" s="156"/>
      <c r="AD47" s="332"/>
      <c r="AE47" s="332"/>
      <c r="AF47" s="332"/>
      <c r="AG47" s="332"/>
      <c r="AH47" s="332"/>
      <c r="AI47" s="332"/>
      <c r="AJ47" s="332"/>
      <c r="AK47" s="332"/>
      <c r="AL47" s="332"/>
      <c r="AM47" s="332"/>
      <c r="AN47" s="332"/>
      <c r="AO47" s="332"/>
    </row>
    <row r="48" spans="1:41">
      <c r="A48" s="332"/>
      <c r="B48" s="332"/>
      <c r="C48" s="332"/>
      <c r="D48" s="332"/>
      <c r="E48" s="332"/>
      <c r="F48" s="332"/>
      <c r="G48" s="332"/>
      <c r="H48" s="332"/>
      <c r="I48" s="332"/>
      <c r="J48" s="332"/>
      <c r="K48" s="332"/>
      <c r="L48" s="332"/>
      <c r="M48" s="332"/>
      <c r="N48" s="332"/>
      <c r="O48" s="332"/>
      <c r="P48" s="332"/>
      <c r="Q48" s="332"/>
      <c r="R48" s="332"/>
      <c r="S48" s="332"/>
      <c r="T48" s="332"/>
      <c r="U48" s="332"/>
      <c r="V48" s="332"/>
      <c r="W48" s="332"/>
      <c r="X48" s="332"/>
      <c r="Y48" s="332"/>
      <c r="Z48" s="332"/>
      <c r="AA48" s="332"/>
      <c r="AB48" s="332"/>
      <c r="AC48" s="156"/>
      <c r="AD48" s="332"/>
      <c r="AE48" s="332"/>
      <c r="AF48" s="332"/>
      <c r="AG48" s="332"/>
      <c r="AH48" s="332"/>
      <c r="AI48" s="332"/>
      <c r="AJ48" s="332"/>
      <c r="AK48" s="332"/>
      <c r="AL48" s="332"/>
      <c r="AM48" s="332"/>
      <c r="AN48" s="332"/>
      <c r="AO48" s="332"/>
    </row>
    <row r="49" spans="1:41">
      <c r="A49" s="332"/>
      <c r="B49" s="332"/>
      <c r="C49" s="332"/>
      <c r="D49" s="332"/>
      <c r="E49" s="332"/>
      <c r="F49" s="332"/>
      <c r="G49" s="332"/>
      <c r="H49" s="332"/>
      <c r="I49" s="332"/>
      <c r="J49" s="332"/>
      <c r="K49" s="332"/>
      <c r="L49" s="332"/>
      <c r="M49" s="332"/>
      <c r="N49" s="332"/>
      <c r="O49" s="332"/>
      <c r="P49" s="332"/>
      <c r="Q49" s="332"/>
      <c r="R49" s="332"/>
      <c r="S49" s="332"/>
      <c r="T49" s="332"/>
      <c r="U49" s="332"/>
      <c r="V49" s="332"/>
      <c r="W49" s="332"/>
      <c r="X49" s="332"/>
      <c r="Y49" s="332"/>
      <c r="Z49" s="332"/>
      <c r="AA49" s="332"/>
      <c r="AB49" s="332"/>
      <c r="AC49" s="332"/>
      <c r="AD49" s="332"/>
      <c r="AE49" s="332"/>
      <c r="AF49" s="332"/>
      <c r="AG49" s="332"/>
      <c r="AH49" s="332"/>
      <c r="AI49" s="332"/>
      <c r="AJ49" s="332"/>
      <c r="AK49" s="332"/>
      <c r="AL49" s="332"/>
      <c r="AM49" s="332"/>
      <c r="AN49" s="332"/>
      <c r="AO49" s="332"/>
    </row>
    <row r="50" spans="1:41">
      <c r="A50" s="332"/>
      <c r="B50" s="332"/>
      <c r="C50" s="332"/>
      <c r="D50" s="332"/>
      <c r="E50" s="332"/>
      <c r="F50" s="332"/>
      <c r="G50" s="332"/>
      <c r="H50" s="332"/>
      <c r="I50" s="332"/>
      <c r="J50" s="332"/>
      <c r="K50" s="332"/>
      <c r="L50" s="332"/>
      <c r="M50" s="332"/>
      <c r="N50" s="332"/>
      <c r="O50" s="332"/>
      <c r="P50" s="332"/>
      <c r="Q50" s="332"/>
      <c r="R50" s="332"/>
      <c r="S50" s="332"/>
      <c r="T50" s="332"/>
      <c r="U50" s="332"/>
      <c r="V50" s="332"/>
      <c r="W50" s="332"/>
      <c r="X50" s="332"/>
      <c r="Y50" s="332"/>
      <c r="Z50" s="332"/>
      <c r="AA50" s="332"/>
      <c r="AB50" s="332"/>
      <c r="AC50" s="156"/>
      <c r="AD50" s="332"/>
      <c r="AE50" s="332"/>
      <c r="AF50" s="332"/>
      <c r="AG50" s="332"/>
      <c r="AH50" s="332"/>
      <c r="AI50" s="332"/>
      <c r="AJ50" s="332"/>
      <c r="AK50" s="332"/>
      <c r="AL50" s="332"/>
      <c r="AM50" s="332"/>
      <c r="AN50" s="332"/>
      <c r="AO50" s="332"/>
    </row>
    <row r="51" spans="1:41">
      <c r="A51" s="332"/>
      <c r="B51" s="332"/>
      <c r="C51" s="332"/>
      <c r="D51" s="332"/>
      <c r="E51" s="332"/>
      <c r="F51" s="332"/>
      <c r="G51" s="332"/>
      <c r="H51" s="332"/>
      <c r="I51" s="332"/>
      <c r="J51" s="332"/>
      <c r="K51" s="332"/>
      <c r="L51" s="332"/>
      <c r="M51" s="332"/>
      <c r="N51" s="332"/>
      <c r="O51" s="332"/>
      <c r="P51" s="332"/>
      <c r="Q51" s="332"/>
      <c r="R51" s="332"/>
      <c r="S51" s="332"/>
      <c r="T51" s="332"/>
      <c r="U51" s="332"/>
      <c r="V51" s="332"/>
      <c r="W51" s="332"/>
      <c r="X51" s="332"/>
      <c r="Y51" s="332"/>
      <c r="Z51" s="332"/>
      <c r="AA51" s="332"/>
      <c r="AB51" s="156"/>
      <c r="AC51" s="332"/>
      <c r="AD51" s="332"/>
      <c r="AE51" s="332"/>
      <c r="AF51" s="332"/>
      <c r="AG51" s="332"/>
      <c r="AH51" s="332"/>
      <c r="AI51" s="332"/>
      <c r="AJ51" s="332"/>
      <c r="AK51" s="332"/>
      <c r="AL51" s="332"/>
      <c r="AM51" s="332"/>
      <c r="AN51" s="332"/>
      <c r="AO51" s="332"/>
    </row>
    <row r="52" spans="1:41">
      <c r="A52" s="332"/>
      <c r="B52" s="332"/>
      <c r="C52" s="332"/>
      <c r="D52" s="332"/>
      <c r="E52" s="332"/>
      <c r="F52" s="332"/>
      <c r="G52" s="332"/>
      <c r="H52" s="332"/>
      <c r="I52" s="332"/>
      <c r="J52" s="332"/>
      <c r="K52" s="332"/>
      <c r="L52" s="332"/>
      <c r="M52" s="332"/>
      <c r="N52" s="332"/>
      <c r="O52" s="332"/>
      <c r="P52" s="332"/>
      <c r="Q52" s="332"/>
      <c r="R52" s="332"/>
      <c r="S52" s="332"/>
      <c r="T52" s="332"/>
      <c r="U52" s="332"/>
      <c r="V52" s="332"/>
      <c r="W52" s="332"/>
      <c r="X52" s="332"/>
      <c r="Y52" s="332"/>
      <c r="Z52" s="332"/>
      <c r="AA52" s="332"/>
      <c r="AB52" s="156"/>
      <c r="AC52" s="332"/>
      <c r="AD52" s="332"/>
      <c r="AE52" s="332"/>
      <c r="AF52" s="332"/>
      <c r="AG52" s="332"/>
      <c r="AH52" s="332"/>
      <c r="AI52" s="332"/>
      <c r="AJ52" s="332"/>
      <c r="AK52" s="332"/>
      <c r="AL52" s="332"/>
      <c r="AM52" s="332"/>
      <c r="AN52" s="332"/>
      <c r="AO52" s="332"/>
    </row>
    <row r="53" spans="1:41">
      <c r="A53" s="332"/>
      <c r="B53" s="332"/>
      <c r="C53" s="332"/>
      <c r="D53" s="332"/>
      <c r="E53" s="332"/>
      <c r="F53" s="332"/>
      <c r="G53" s="332"/>
      <c r="H53" s="332"/>
      <c r="I53" s="332"/>
      <c r="J53" s="332"/>
      <c r="K53" s="332"/>
      <c r="L53" s="332"/>
      <c r="M53" s="332"/>
      <c r="N53" s="332"/>
      <c r="O53" s="332"/>
      <c r="P53" s="332"/>
      <c r="Q53" s="332"/>
      <c r="R53" s="332"/>
      <c r="S53" s="332"/>
      <c r="T53" s="332"/>
      <c r="U53" s="332"/>
      <c r="V53" s="332"/>
      <c r="W53" s="332"/>
      <c r="X53" s="332"/>
      <c r="Y53" s="332"/>
      <c r="Z53" s="332"/>
      <c r="AA53" s="332"/>
      <c r="AB53" s="156"/>
      <c r="AC53" s="156"/>
      <c r="AD53" s="332"/>
      <c r="AE53" s="332"/>
      <c r="AF53" s="332"/>
      <c r="AG53" s="332"/>
      <c r="AH53" s="332"/>
      <c r="AI53" s="332"/>
      <c r="AJ53" s="332"/>
      <c r="AK53" s="332"/>
      <c r="AL53" s="332"/>
      <c r="AM53" s="332"/>
      <c r="AN53" s="332"/>
      <c r="AO53" s="332"/>
    </row>
    <row r="54" spans="1:41">
      <c r="A54" s="332"/>
      <c r="B54" s="332"/>
      <c r="C54" s="332"/>
      <c r="D54" s="332"/>
      <c r="E54" s="332"/>
      <c r="F54" s="332"/>
      <c r="G54" s="332"/>
      <c r="H54" s="332"/>
      <c r="I54" s="332"/>
      <c r="J54" s="332"/>
      <c r="K54" s="332"/>
      <c r="L54" s="332"/>
      <c r="M54" s="332"/>
      <c r="N54" s="332"/>
      <c r="O54" s="332"/>
      <c r="P54" s="332"/>
      <c r="Q54" s="332"/>
      <c r="R54" s="332"/>
      <c r="S54" s="332"/>
      <c r="T54" s="332"/>
      <c r="U54" s="332"/>
      <c r="V54" s="332"/>
      <c r="W54" s="332"/>
      <c r="X54" s="332"/>
      <c r="Y54" s="332"/>
      <c r="Z54" s="332"/>
      <c r="AA54" s="332"/>
      <c r="AB54" s="332"/>
      <c r="AC54" s="156"/>
      <c r="AD54" s="332"/>
      <c r="AE54" s="156"/>
      <c r="AF54" s="332"/>
      <c r="AG54" s="332"/>
      <c r="AH54" s="332"/>
      <c r="AI54" s="332"/>
      <c r="AJ54" s="332"/>
      <c r="AK54" s="332"/>
      <c r="AL54" s="332"/>
      <c r="AM54" s="332"/>
      <c r="AN54" s="332"/>
      <c r="AO54" s="332"/>
    </row>
    <row r="55" spans="1:41">
      <c r="A55" s="332"/>
      <c r="B55" s="332"/>
      <c r="C55" s="332"/>
      <c r="D55" s="332"/>
      <c r="E55" s="332"/>
      <c r="F55" s="332"/>
      <c r="G55" s="332"/>
      <c r="H55" s="332"/>
      <c r="I55" s="332"/>
      <c r="J55" s="332"/>
      <c r="K55" s="332"/>
      <c r="L55" s="332"/>
      <c r="M55" s="332"/>
      <c r="N55" s="332"/>
      <c r="O55" s="332"/>
      <c r="P55" s="332"/>
      <c r="Q55" s="332"/>
      <c r="R55" s="332"/>
      <c r="S55" s="332"/>
      <c r="T55" s="332"/>
      <c r="U55" s="332"/>
      <c r="V55" s="332"/>
      <c r="W55" s="332"/>
      <c r="X55" s="332"/>
      <c r="Y55" s="332"/>
      <c r="Z55" s="332"/>
      <c r="AA55" s="332"/>
      <c r="AB55" s="332"/>
      <c r="AC55" s="332"/>
      <c r="AD55" s="332"/>
      <c r="AE55" s="156"/>
      <c r="AF55" s="332"/>
      <c r="AG55" s="332"/>
      <c r="AH55" s="332"/>
      <c r="AI55" s="332"/>
      <c r="AJ55" s="332"/>
      <c r="AK55" s="332"/>
      <c r="AL55" s="332"/>
      <c r="AM55" s="332"/>
      <c r="AN55" s="332"/>
      <c r="AO55" s="332"/>
    </row>
    <row r="56" spans="1:41">
      <c r="A56" s="332"/>
      <c r="B56" s="332"/>
      <c r="C56" s="332"/>
      <c r="D56" s="332"/>
      <c r="E56" s="332"/>
      <c r="F56" s="332"/>
      <c r="G56" s="332"/>
      <c r="H56" s="332"/>
      <c r="I56" s="332"/>
      <c r="J56" s="332"/>
      <c r="K56" s="332"/>
      <c r="L56" s="332"/>
      <c r="M56" s="332"/>
      <c r="N56" s="332"/>
      <c r="O56" s="332"/>
      <c r="P56" s="332"/>
      <c r="Q56" s="332"/>
      <c r="R56" s="332"/>
      <c r="S56" s="332"/>
      <c r="T56" s="332"/>
      <c r="U56" s="332"/>
      <c r="V56" s="332"/>
      <c r="W56" s="332"/>
      <c r="X56" s="332"/>
      <c r="Y56" s="332"/>
      <c r="Z56" s="332"/>
      <c r="AA56" s="332"/>
      <c r="AB56" s="156"/>
      <c r="AC56" s="332"/>
      <c r="AD56" s="332"/>
      <c r="AE56" s="332"/>
      <c r="AF56" s="332"/>
      <c r="AG56" s="332"/>
      <c r="AH56" s="332"/>
      <c r="AI56" s="332"/>
      <c r="AJ56" s="332"/>
      <c r="AK56" s="332"/>
      <c r="AL56" s="332"/>
      <c r="AM56" s="332"/>
      <c r="AN56" s="332"/>
      <c r="AO56" s="332"/>
    </row>
    <row r="57" spans="1:41">
      <c r="A57" s="332"/>
      <c r="B57" s="332"/>
      <c r="C57" s="332"/>
      <c r="D57" s="332"/>
      <c r="E57" s="332"/>
      <c r="F57" s="332"/>
      <c r="G57" s="332"/>
      <c r="H57" s="332"/>
      <c r="I57" s="332"/>
      <c r="J57" s="332"/>
      <c r="K57" s="332"/>
      <c r="L57" s="332"/>
      <c r="M57" s="332"/>
      <c r="N57" s="156"/>
      <c r="O57" s="332"/>
      <c r="P57" s="332"/>
      <c r="Q57" s="332"/>
      <c r="R57" s="332"/>
      <c r="S57" s="332"/>
      <c r="T57" s="332"/>
      <c r="U57" s="332"/>
      <c r="V57" s="332"/>
      <c r="W57" s="332"/>
      <c r="X57" s="332"/>
      <c r="Y57" s="332"/>
      <c r="Z57" s="332"/>
      <c r="AA57" s="332"/>
      <c r="AB57" s="332"/>
      <c r="AC57" s="332"/>
      <c r="AD57" s="332"/>
      <c r="AE57" s="156"/>
      <c r="AF57" s="332"/>
      <c r="AG57" s="332"/>
      <c r="AH57" s="332"/>
      <c r="AI57" s="332"/>
      <c r="AJ57" s="332"/>
      <c r="AK57" s="332"/>
      <c r="AL57" s="332"/>
      <c r="AM57" s="332"/>
      <c r="AN57" s="332"/>
      <c r="AO57" s="332"/>
    </row>
    <row r="58" spans="1:41">
      <c r="A58" s="332"/>
      <c r="B58" s="332"/>
      <c r="C58" s="332"/>
      <c r="D58" s="332"/>
      <c r="E58" s="332"/>
      <c r="F58" s="332"/>
      <c r="G58" s="332"/>
      <c r="H58" s="332"/>
      <c r="I58" s="332"/>
      <c r="J58" s="332"/>
      <c r="K58" s="332"/>
      <c r="L58" s="332"/>
      <c r="M58" s="332"/>
      <c r="N58" s="332"/>
      <c r="O58" s="332"/>
      <c r="P58" s="332"/>
      <c r="Q58" s="332"/>
      <c r="R58" s="332"/>
      <c r="S58" s="332"/>
      <c r="T58" s="332"/>
      <c r="U58" s="332"/>
      <c r="V58" s="332"/>
      <c r="W58" s="332"/>
      <c r="X58" s="332"/>
      <c r="Y58" s="332"/>
      <c r="Z58" s="332"/>
      <c r="AA58" s="332"/>
      <c r="AB58" s="332"/>
      <c r="AC58" s="332"/>
      <c r="AD58" s="332"/>
      <c r="AE58" s="332"/>
      <c r="AF58" s="332"/>
      <c r="AG58" s="332"/>
      <c r="AH58" s="332"/>
      <c r="AI58" s="332"/>
      <c r="AJ58" s="332"/>
      <c r="AK58" s="332"/>
      <c r="AL58" s="332"/>
      <c r="AM58" s="332"/>
      <c r="AN58" s="332"/>
      <c r="AO58" s="332"/>
    </row>
    <row r="59" spans="1:41">
      <c r="A59" s="332"/>
      <c r="B59" s="332"/>
      <c r="C59" s="332"/>
      <c r="D59" s="332"/>
      <c r="E59" s="332"/>
      <c r="F59" s="332"/>
      <c r="G59" s="332"/>
      <c r="H59" s="332"/>
      <c r="I59" s="332"/>
      <c r="J59" s="332"/>
      <c r="K59" s="332"/>
      <c r="L59" s="332"/>
      <c r="M59" s="332"/>
      <c r="N59" s="332"/>
      <c r="O59" s="332"/>
      <c r="P59" s="332"/>
      <c r="Q59" s="332"/>
      <c r="R59" s="332"/>
      <c r="S59" s="332"/>
      <c r="T59" s="332"/>
      <c r="U59" s="332"/>
      <c r="V59" s="332"/>
      <c r="W59" s="332"/>
      <c r="X59" s="332"/>
      <c r="Y59" s="332"/>
      <c r="Z59" s="332"/>
      <c r="AA59" s="332"/>
      <c r="AB59" s="156"/>
      <c r="AC59" s="332"/>
      <c r="AD59" s="332"/>
      <c r="AE59" s="332"/>
      <c r="AF59" s="332"/>
      <c r="AG59" s="332"/>
      <c r="AH59" s="332"/>
      <c r="AI59" s="332"/>
      <c r="AJ59" s="332"/>
      <c r="AK59" s="332"/>
      <c r="AL59" s="332"/>
      <c r="AM59" s="332"/>
      <c r="AN59" s="332"/>
      <c r="AO59" s="332"/>
    </row>
    <row r="60" spans="1:41">
      <c r="A60" s="332"/>
      <c r="B60" s="332"/>
      <c r="C60" s="332"/>
      <c r="D60" s="332"/>
      <c r="E60" s="332"/>
      <c r="F60" s="332"/>
      <c r="G60" s="332"/>
      <c r="H60" s="332"/>
      <c r="I60" s="332"/>
      <c r="J60" s="332"/>
      <c r="K60" s="332"/>
      <c r="L60" s="332"/>
      <c r="M60" s="332"/>
      <c r="N60" s="332"/>
      <c r="O60" s="332"/>
      <c r="P60" s="332"/>
      <c r="Q60" s="332"/>
      <c r="R60" s="332"/>
      <c r="S60" s="332"/>
      <c r="T60" s="332"/>
      <c r="U60" s="332"/>
      <c r="V60" s="332"/>
      <c r="W60" s="332"/>
      <c r="X60" s="332"/>
      <c r="Y60" s="332"/>
      <c r="Z60" s="332"/>
      <c r="AA60" s="332"/>
      <c r="AB60" s="156"/>
      <c r="AC60" s="332"/>
      <c r="AD60" s="332"/>
      <c r="AE60" s="332"/>
      <c r="AF60" s="332"/>
      <c r="AG60" s="332"/>
      <c r="AH60" s="332"/>
      <c r="AI60" s="332"/>
      <c r="AJ60" s="332"/>
      <c r="AK60" s="332"/>
      <c r="AL60" s="332"/>
      <c r="AM60" s="332"/>
      <c r="AN60" s="332"/>
      <c r="AO60" s="332"/>
    </row>
    <row r="61" spans="1:41">
      <c r="A61" s="332"/>
      <c r="B61" s="332"/>
      <c r="C61" s="332"/>
      <c r="D61" s="332"/>
      <c r="E61" s="332"/>
      <c r="F61" s="332"/>
      <c r="G61" s="332"/>
      <c r="H61" s="332"/>
      <c r="I61" s="332"/>
      <c r="J61" s="332"/>
      <c r="K61" s="332"/>
      <c r="L61" s="332"/>
      <c r="M61" s="332"/>
      <c r="N61" s="332"/>
      <c r="O61" s="332"/>
      <c r="P61" s="332"/>
      <c r="Q61" s="332"/>
      <c r="R61" s="332"/>
      <c r="S61" s="332"/>
      <c r="T61" s="332"/>
      <c r="U61" s="332"/>
      <c r="V61" s="332"/>
      <c r="W61" s="332"/>
      <c r="X61" s="332"/>
      <c r="Y61" s="332"/>
      <c r="Z61" s="332"/>
      <c r="AA61" s="332"/>
      <c r="AB61" s="332"/>
      <c r="AC61" s="156"/>
      <c r="AD61" s="332"/>
      <c r="AE61" s="332"/>
      <c r="AF61" s="332"/>
      <c r="AG61" s="332"/>
      <c r="AH61" s="332"/>
      <c r="AI61" s="332"/>
      <c r="AJ61" s="332"/>
      <c r="AK61" s="332"/>
      <c r="AL61" s="332"/>
      <c r="AM61" s="332"/>
      <c r="AN61" s="332"/>
      <c r="AO61" s="332"/>
    </row>
    <row r="62" spans="1:41">
      <c r="A62" s="332"/>
      <c r="B62" s="332"/>
      <c r="C62" s="332"/>
      <c r="D62" s="332"/>
      <c r="E62" s="332"/>
      <c r="F62" s="332"/>
      <c r="G62" s="332"/>
      <c r="H62" s="332"/>
      <c r="I62" s="332"/>
      <c r="J62" s="332"/>
      <c r="K62" s="332"/>
      <c r="L62" s="332"/>
      <c r="M62" s="332"/>
      <c r="N62" s="332"/>
      <c r="O62" s="332"/>
      <c r="P62" s="332"/>
      <c r="Q62" s="332"/>
      <c r="R62" s="332"/>
      <c r="S62" s="332"/>
      <c r="T62" s="332"/>
      <c r="U62" s="332"/>
      <c r="V62" s="332"/>
      <c r="W62" s="332"/>
      <c r="X62" s="332"/>
      <c r="Y62" s="332"/>
      <c r="Z62" s="332"/>
      <c r="AA62" s="332"/>
      <c r="AB62" s="332"/>
      <c r="AC62" s="332"/>
      <c r="AD62" s="332"/>
      <c r="AE62" s="332"/>
      <c r="AF62" s="332"/>
      <c r="AG62" s="332"/>
      <c r="AH62" s="332"/>
      <c r="AI62" s="332"/>
      <c r="AJ62" s="332"/>
      <c r="AK62" s="332"/>
      <c r="AL62" s="332"/>
      <c r="AM62" s="332"/>
      <c r="AN62" s="332"/>
      <c r="AO62" s="332"/>
    </row>
    <row r="63" spans="1:41">
      <c r="A63" s="332"/>
      <c r="B63" s="332"/>
      <c r="C63" s="332"/>
      <c r="D63" s="332"/>
      <c r="E63" s="332"/>
      <c r="F63" s="332"/>
      <c r="G63" s="332"/>
      <c r="H63" s="332"/>
      <c r="I63" s="332"/>
      <c r="J63" s="332"/>
      <c r="K63" s="332"/>
      <c r="L63" s="332"/>
      <c r="M63" s="332"/>
      <c r="N63" s="332"/>
      <c r="O63" s="332"/>
      <c r="P63" s="332"/>
      <c r="Q63" s="332"/>
      <c r="R63" s="332"/>
      <c r="S63" s="332"/>
      <c r="T63" s="332"/>
      <c r="U63" s="332"/>
      <c r="V63" s="332"/>
      <c r="W63" s="332"/>
      <c r="X63" s="332"/>
      <c r="Y63" s="332"/>
      <c r="Z63" s="332"/>
      <c r="AA63" s="332"/>
      <c r="AB63" s="332"/>
      <c r="AC63" s="332"/>
      <c r="AD63" s="332"/>
      <c r="AE63" s="332"/>
      <c r="AF63" s="332"/>
      <c r="AG63" s="332"/>
      <c r="AH63" s="332"/>
      <c r="AI63" s="332"/>
      <c r="AJ63" s="332"/>
      <c r="AK63" s="332"/>
      <c r="AL63" s="332"/>
      <c r="AM63" s="332"/>
      <c r="AN63" s="332"/>
      <c r="AO63" s="332"/>
    </row>
    <row r="64" spans="1:41">
      <c r="A64" s="332"/>
      <c r="B64" s="332"/>
      <c r="C64" s="332"/>
      <c r="D64" s="332"/>
      <c r="E64" s="332"/>
      <c r="F64" s="332"/>
      <c r="G64" s="332"/>
      <c r="H64" s="332"/>
      <c r="I64" s="332"/>
      <c r="J64" s="332"/>
      <c r="K64" s="332"/>
      <c r="L64" s="332"/>
      <c r="M64" s="332"/>
      <c r="N64" s="332"/>
      <c r="O64" s="332"/>
      <c r="P64" s="332"/>
      <c r="Q64" s="332"/>
      <c r="R64" s="332"/>
      <c r="S64" s="332"/>
      <c r="T64" s="332"/>
      <c r="U64" s="332"/>
      <c r="V64" s="332"/>
      <c r="W64" s="332"/>
      <c r="X64" s="332"/>
      <c r="Y64" s="332"/>
      <c r="Z64" s="332"/>
      <c r="AA64" s="332"/>
      <c r="AB64" s="332"/>
      <c r="AC64" s="332"/>
      <c r="AD64" s="332"/>
      <c r="AE64" s="156"/>
      <c r="AF64" s="332"/>
      <c r="AG64" s="332"/>
      <c r="AH64" s="332"/>
      <c r="AI64" s="332"/>
      <c r="AJ64" s="332"/>
      <c r="AK64" s="332"/>
      <c r="AL64" s="332"/>
      <c r="AM64" s="332"/>
      <c r="AN64" s="332"/>
      <c r="AO64" s="332"/>
    </row>
    <row r="65" spans="1:41">
      <c r="A65" s="332"/>
      <c r="B65" s="332"/>
      <c r="C65" s="332"/>
      <c r="D65" s="332"/>
      <c r="E65" s="332"/>
      <c r="F65" s="332"/>
      <c r="G65" s="332"/>
      <c r="H65" s="332"/>
      <c r="I65" s="332"/>
      <c r="J65" s="332"/>
      <c r="K65" s="332"/>
      <c r="L65" s="332"/>
      <c r="M65" s="332"/>
      <c r="N65" s="332"/>
      <c r="O65" s="332"/>
      <c r="P65" s="332"/>
      <c r="Q65" s="332"/>
      <c r="R65" s="332"/>
      <c r="S65" s="332"/>
      <c r="T65" s="332"/>
      <c r="U65" s="332"/>
      <c r="V65" s="332"/>
      <c r="W65" s="332"/>
      <c r="X65" s="332"/>
      <c r="Y65" s="156"/>
      <c r="Z65" s="332"/>
      <c r="AA65" s="332"/>
      <c r="AB65" s="332"/>
      <c r="AC65" s="156"/>
      <c r="AD65" s="332"/>
      <c r="AE65" s="332"/>
      <c r="AF65" s="156"/>
      <c r="AG65" s="332"/>
      <c r="AH65" s="332"/>
      <c r="AI65" s="332"/>
      <c r="AJ65" s="332"/>
      <c r="AK65" s="332"/>
      <c r="AL65" s="332"/>
      <c r="AM65" s="332"/>
      <c r="AN65" s="332"/>
      <c r="AO65" s="332"/>
    </row>
    <row r="66" spans="1:41">
      <c r="A66" s="332"/>
      <c r="B66" s="332"/>
      <c r="C66" s="332"/>
      <c r="D66" s="332"/>
      <c r="E66" s="332"/>
      <c r="F66" s="332"/>
      <c r="G66" s="332"/>
      <c r="H66" s="332"/>
      <c r="I66" s="332"/>
      <c r="J66" s="332"/>
      <c r="K66" s="332"/>
      <c r="L66" s="332"/>
      <c r="M66" s="332"/>
      <c r="N66" s="332"/>
      <c r="O66" s="332"/>
      <c r="P66" s="332"/>
      <c r="Q66" s="332"/>
      <c r="R66" s="332"/>
      <c r="S66" s="332"/>
      <c r="T66" s="332"/>
      <c r="U66" s="332"/>
      <c r="V66" s="332"/>
      <c r="W66" s="332"/>
      <c r="X66" s="332"/>
      <c r="Y66" s="332"/>
      <c r="Z66" s="332"/>
      <c r="AA66" s="332"/>
      <c r="AB66" s="156"/>
      <c r="AC66" s="332"/>
      <c r="AD66" s="332"/>
      <c r="AE66" s="332"/>
      <c r="AF66" s="332"/>
      <c r="AG66" s="332"/>
      <c r="AH66" s="332"/>
      <c r="AI66" s="332"/>
      <c r="AJ66" s="332"/>
      <c r="AK66" s="332"/>
      <c r="AL66" s="332"/>
      <c r="AM66" s="332"/>
      <c r="AN66" s="332"/>
      <c r="AO66" s="332"/>
    </row>
    <row r="67" spans="1:41">
      <c r="A67" s="332"/>
      <c r="B67" s="332"/>
      <c r="C67" s="332"/>
      <c r="D67" s="332"/>
      <c r="E67" s="332"/>
      <c r="F67" s="332"/>
      <c r="G67" s="332"/>
      <c r="H67" s="332"/>
      <c r="I67" s="332"/>
      <c r="J67" s="332"/>
      <c r="K67" s="332"/>
      <c r="L67" s="332"/>
      <c r="M67" s="332"/>
      <c r="N67" s="332"/>
      <c r="O67" s="332"/>
      <c r="P67" s="332"/>
      <c r="Q67" s="332"/>
      <c r="R67" s="332"/>
      <c r="S67" s="332"/>
      <c r="T67" s="332"/>
      <c r="U67" s="332"/>
      <c r="V67" s="332"/>
      <c r="W67" s="332"/>
      <c r="X67" s="332"/>
      <c r="Y67" s="332"/>
      <c r="Z67" s="332"/>
      <c r="AA67" s="332"/>
      <c r="AB67" s="332"/>
      <c r="AC67" s="332"/>
      <c r="AD67" s="332"/>
      <c r="AE67" s="332"/>
      <c r="AF67" s="332"/>
      <c r="AG67" s="332"/>
      <c r="AH67" s="332"/>
      <c r="AI67" s="332"/>
      <c r="AJ67" s="332"/>
      <c r="AK67" s="332"/>
      <c r="AL67" s="332"/>
      <c r="AM67" s="332"/>
      <c r="AN67" s="332"/>
      <c r="AO67" s="332"/>
    </row>
    <row r="68" spans="1:41">
      <c r="A68" s="332"/>
      <c r="B68" s="332"/>
      <c r="C68" s="332"/>
      <c r="D68" s="332"/>
      <c r="E68" s="332"/>
      <c r="F68" s="332"/>
      <c r="G68" s="332"/>
      <c r="H68" s="332"/>
      <c r="I68" s="332"/>
      <c r="J68" s="332"/>
      <c r="K68" s="332"/>
      <c r="L68" s="332"/>
      <c r="M68" s="332"/>
      <c r="N68" s="156"/>
      <c r="O68" s="332"/>
      <c r="P68" s="332"/>
      <c r="Q68" s="332"/>
      <c r="R68" s="332"/>
      <c r="S68" s="332"/>
      <c r="T68" s="332"/>
      <c r="U68" s="332"/>
      <c r="V68" s="332"/>
      <c r="W68" s="332"/>
      <c r="X68" s="332"/>
      <c r="Y68" s="332"/>
      <c r="Z68" s="332"/>
      <c r="AA68" s="332"/>
      <c r="AB68" s="332"/>
      <c r="AC68" s="332"/>
      <c r="AD68" s="332"/>
      <c r="AE68" s="332"/>
      <c r="AF68" s="332"/>
      <c r="AG68" s="332"/>
      <c r="AH68" s="332"/>
      <c r="AI68" s="332"/>
      <c r="AJ68" s="332"/>
      <c r="AK68" s="332"/>
      <c r="AL68" s="332"/>
      <c r="AM68" s="332"/>
      <c r="AN68" s="332"/>
      <c r="AO68" s="332"/>
    </row>
    <row r="69" spans="1:41">
      <c r="A69" s="332"/>
      <c r="B69" s="332"/>
      <c r="C69" s="332"/>
      <c r="D69" s="332"/>
      <c r="E69" s="332"/>
      <c r="F69" s="332"/>
      <c r="G69" s="332"/>
      <c r="H69" s="332"/>
      <c r="I69" s="332"/>
      <c r="J69" s="332"/>
      <c r="K69" s="332"/>
      <c r="L69" s="332"/>
      <c r="M69" s="332"/>
      <c r="N69" s="332"/>
      <c r="O69" s="332"/>
      <c r="P69" s="332"/>
      <c r="Q69" s="332"/>
      <c r="R69" s="332"/>
      <c r="S69" s="332"/>
      <c r="T69" s="332"/>
      <c r="U69" s="332"/>
      <c r="V69" s="332"/>
      <c r="W69" s="332"/>
      <c r="X69" s="332"/>
      <c r="Y69" s="156"/>
      <c r="Z69" s="332"/>
      <c r="AA69" s="332"/>
      <c r="AB69" s="332"/>
      <c r="AC69" s="332"/>
      <c r="AD69" s="332"/>
      <c r="AE69" s="332"/>
      <c r="AF69" s="332"/>
      <c r="AG69" s="332"/>
      <c r="AH69" s="332"/>
      <c r="AI69" s="332"/>
      <c r="AJ69" s="332"/>
      <c r="AK69" s="332"/>
      <c r="AL69" s="332"/>
      <c r="AM69" s="332"/>
      <c r="AN69" s="332"/>
      <c r="AO69" s="332"/>
    </row>
    <row r="70" spans="1:41">
      <c r="A70" s="332"/>
      <c r="B70" s="332"/>
      <c r="C70" s="332"/>
      <c r="D70" s="332"/>
      <c r="E70" s="332"/>
      <c r="F70" s="332"/>
      <c r="G70" s="332"/>
      <c r="H70" s="332"/>
      <c r="I70" s="332"/>
      <c r="J70" s="332"/>
      <c r="K70" s="332"/>
      <c r="L70" s="332"/>
      <c r="M70" s="332"/>
      <c r="N70" s="332"/>
      <c r="O70" s="332"/>
      <c r="P70" s="332"/>
      <c r="Q70" s="332"/>
      <c r="R70" s="332"/>
      <c r="S70" s="332"/>
      <c r="T70" s="332"/>
      <c r="U70" s="332"/>
      <c r="V70" s="332"/>
      <c r="W70" s="332"/>
      <c r="X70" s="332"/>
      <c r="Y70" s="332"/>
      <c r="Z70" s="332"/>
      <c r="AA70" s="332"/>
      <c r="AB70" s="332"/>
      <c r="AC70" s="332"/>
      <c r="AD70" s="332"/>
      <c r="AE70" s="332"/>
      <c r="AF70" s="332"/>
      <c r="AG70" s="332"/>
      <c r="AH70" s="332"/>
      <c r="AI70" s="332"/>
      <c r="AJ70" s="332"/>
      <c r="AK70" s="332"/>
      <c r="AL70" s="332"/>
      <c r="AM70" s="332"/>
      <c r="AN70" s="332"/>
      <c r="AO70" s="332"/>
    </row>
    <row r="71" spans="1:41">
      <c r="A71" s="332"/>
      <c r="B71" s="332"/>
      <c r="C71" s="332"/>
      <c r="D71" s="332"/>
      <c r="E71" s="332"/>
      <c r="F71" s="332"/>
      <c r="G71" s="332"/>
      <c r="H71" s="332"/>
      <c r="I71" s="332"/>
      <c r="J71" s="332"/>
      <c r="K71" s="332"/>
      <c r="L71" s="332"/>
      <c r="M71" s="332"/>
      <c r="N71" s="332"/>
      <c r="O71" s="332"/>
      <c r="P71" s="332"/>
      <c r="Q71" s="332"/>
      <c r="R71" s="332"/>
      <c r="S71" s="332"/>
      <c r="T71" s="332"/>
      <c r="U71" s="332"/>
      <c r="V71" s="332"/>
      <c r="W71" s="332"/>
      <c r="X71" s="332"/>
      <c r="Y71" s="332"/>
      <c r="Z71" s="332"/>
      <c r="AA71" s="332"/>
      <c r="AB71" s="332"/>
      <c r="AC71" s="156"/>
      <c r="AD71" s="332"/>
      <c r="AE71" s="332"/>
      <c r="AF71" s="332"/>
      <c r="AG71" s="332"/>
      <c r="AH71" s="332"/>
      <c r="AI71" s="332"/>
      <c r="AJ71" s="332"/>
      <c r="AK71" s="332"/>
      <c r="AL71" s="332"/>
      <c r="AM71" s="332"/>
      <c r="AN71" s="332"/>
      <c r="AO71" s="332"/>
    </row>
    <row r="72" spans="1:41">
      <c r="A72" s="332"/>
      <c r="B72" s="332"/>
      <c r="C72" s="332"/>
      <c r="D72" s="332"/>
      <c r="E72" s="332"/>
      <c r="F72" s="332"/>
      <c r="G72" s="332"/>
      <c r="H72" s="332"/>
      <c r="I72" s="332"/>
      <c r="J72" s="332"/>
      <c r="K72" s="332"/>
      <c r="L72" s="332"/>
      <c r="M72" s="332"/>
      <c r="N72" s="156"/>
      <c r="O72" s="332"/>
      <c r="P72" s="332"/>
      <c r="Q72" s="332"/>
      <c r="R72" s="332"/>
      <c r="S72" s="332"/>
      <c r="T72" s="332"/>
      <c r="U72" s="332"/>
      <c r="V72" s="332"/>
      <c r="W72" s="332"/>
      <c r="X72" s="332"/>
      <c r="Y72" s="156"/>
      <c r="Z72" s="332"/>
      <c r="AA72" s="332"/>
      <c r="AB72" s="332"/>
      <c r="AC72" s="156"/>
      <c r="AD72" s="332"/>
      <c r="AE72" s="332"/>
      <c r="AF72" s="332"/>
      <c r="AG72" s="332"/>
      <c r="AH72" s="332"/>
      <c r="AI72" s="332"/>
      <c r="AJ72" s="332"/>
      <c r="AK72" s="332"/>
      <c r="AL72" s="332"/>
      <c r="AM72" s="332"/>
      <c r="AN72" s="332"/>
      <c r="AO72" s="332"/>
    </row>
    <row r="73" spans="1:41">
      <c r="A73" s="332"/>
      <c r="B73" s="332"/>
      <c r="C73" s="332"/>
      <c r="D73" s="332"/>
      <c r="E73" s="332"/>
      <c r="F73" s="332"/>
      <c r="G73" s="332"/>
      <c r="H73" s="332"/>
      <c r="I73" s="332"/>
      <c r="J73" s="332"/>
      <c r="K73" s="332"/>
      <c r="L73" s="332"/>
      <c r="M73" s="332"/>
      <c r="N73" s="332"/>
      <c r="O73" s="332"/>
      <c r="P73" s="332"/>
      <c r="Q73" s="332"/>
      <c r="R73" s="332"/>
      <c r="S73" s="332"/>
      <c r="T73" s="332"/>
      <c r="U73" s="332"/>
      <c r="V73" s="332"/>
      <c r="W73" s="332"/>
      <c r="X73" s="332"/>
      <c r="Y73" s="332"/>
      <c r="Z73" s="332"/>
      <c r="AA73" s="332"/>
      <c r="AB73" s="332"/>
      <c r="AC73" s="332"/>
      <c r="AD73" s="332"/>
      <c r="AE73" s="332"/>
      <c r="AF73" s="332"/>
      <c r="AG73" s="332"/>
      <c r="AH73" s="332"/>
      <c r="AI73" s="332"/>
      <c r="AJ73" s="332"/>
      <c r="AK73" s="332"/>
      <c r="AL73" s="332"/>
      <c r="AM73" s="332"/>
      <c r="AN73" s="332"/>
      <c r="AO73" s="332"/>
    </row>
    <row r="74" spans="1:41">
      <c r="A74" s="332"/>
      <c r="B74" s="332"/>
      <c r="C74" s="332"/>
      <c r="D74" s="332"/>
      <c r="E74" s="332"/>
      <c r="F74" s="332"/>
      <c r="G74" s="332"/>
      <c r="H74" s="332"/>
      <c r="I74" s="332"/>
      <c r="J74" s="332"/>
      <c r="K74" s="332"/>
      <c r="L74" s="332"/>
      <c r="M74" s="332"/>
      <c r="N74" s="332"/>
      <c r="O74" s="332"/>
      <c r="P74" s="332"/>
      <c r="Q74" s="332"/>
      <c r="R74" s="332"/>
      <c r="S74" s="332"/>
      <c r="T74" s="332"/>
      <c r="U74" s="332"/>
      <c r="V74" s="332"/>
      <c r="W74" s="332"/>
      <c r="X74" s="332"/>
      <c r="Y74" s="332"/>
      <c r="Z74" s="332"/>
      <c r="AA74" s="332"/>
      <c r="AB74" s="332"/>
      <c r="AC74" s="156"/>
      <c r="AD74" s="332"/>
      <c r="AE74" s="332"/>
      <c r="AF74" s="332"/>
      <c r="AG74" s="332"/>
      <c r="AH74" s="332"/>
      <c r="AI74" s="332"/>
      <c r="AJ74" s="332"/>
      <c r="AK74" s="332"/>
      <c r="AL74" s="332"/>
      <c r="AM74" s="332"/>
      <c r="AN74" s="332"/>
      <c r="AO74" s="332"/>
    </row>
    <row r="75" spans="1:41">
      <c r="A75" s="332"/>
      <c r="B75" s="332"/>
      <c r="C75" s="332"/>
      <c r="D75" s="332"/>
      <c r="E75" s="332"/>
      <c r="F75" s="332"/>
      <c r="G75" s="332"/>
      <c r="H75" s="332"/>
      <c r="I75" s="332"/>
      <c r="J75" s="332"/>
      <c r="K75" s="332"/>
      <c r="L75" s="332"/>
      <c r="M75" s="332"/>
      <c r="N75" s="332"/>
      <c r="O75" s="332"/>
      <c r="P75" s="332"/>
      <c r="Q75" s="332"/>
      <c r="R75" s="332"/>
      <c r="S75" s="332"/>
      <c r="T75" s="332"/>
      <c r="U75" s="332"/>
      <c r="V75" s="332"/>
      <c r="W75" s="332"/>
      <c r="X75" s="332"/>
      <c r="Y75" s="332"/>
      <c r="Z75" s="332"/>
      <c r="AA75" s="332"/>
      <c r="AB75" s="332"/>
      <c r="AC75" s="332"/>
      <c r="AD75" s="332"/>
      <c r="AE75" s="332"/>
      <c r="AF75" s="332"/>
      <c r="AG75" s="332"/>
      <c r="AH75" s="332"/>
      <c r="AI75" s="332"/>
      <c r="AJ75" s="332"/>
      <c r="AK75" s="332"/>
      <c r="AL75" s="332"/>
      <c r="AM75" s="332"/>
      <c r="AN75" s="332"/>
      <c r="AO75" s="332"/>
    </row>
    <row r="76" spans="1:41">
      <c r="A76" s="332"/>
      <c r="B76" s="332"/>
      <c r="C76" s="332"/>
      <c r="D76" s="332"/>
      <c r="E76" s="332"/>
      <c r="F76" s="332"/>
      <c r="G76" s="332"/>
      <c r="H76" s="332"/>
      <c r="I76" s="332"/>
      <c r="J76" s="332"/>
      <c r="K76" s="332"/>
      <c r="L76" s="332"/>
      <c r="M76" s="332"/>
      <c r="N76" s="332"/>
      <c r="O76" s="332"/>
      <c r="P76" s="332"/>
      <c r="Q76" s="332"/>
      <c r="R76" s="332"/>
      <c r="S76" s="332"/>
      <c r="T76" s="332"/>
      <c r="U76" s="332"/>
      <c r="V76" s="332"/>
      <c r="W76" s="332"/>
      <c r="X76" s="332"/>
      <c r="Y76" s="156"/>
      <c r="Z76" s="332"/>
      <c r="AA76" s="332"/>
      <c r="AB76" s="332"/>
      <c r="AC76" s="156"/>
      <c r="AD76" s="332"/>
      <c r="AE76" s="332"/>
      <c r="AF76" s="332"/>
      <c r="AG76" s="332"/>
      <c r="AH76" s="332"/>
      <c r="AI76" s="332"/>
      <c r="AJ76" s="332"/>
      <c r="AK76" s="332"/>
      <c r="AL76" s="332"/>
      <c r="AM76" s="332"/>
      <c r="AN76" s="332"/>
      <c r="AO76" s="332"/>
    </row>
    <row r="77" spans="1:41">
      <c r="A77" s="332"/>
      <c r="B77" s="332"/>
      <c r="C77" s="332"/>
      <c r="D77" s="332"/>
      <c r="E77" s="332"/>
      <c r="F77" s="332"/>
      <c r="G77" s="332"/>
      <c r="H77" s="332"/>
      <c r="I77" s="332"/>
      <c r="J77" s="332"/>
      <c r="K77" s="332"/>
      <c r="L77" s="332"/>
      <c r="M77" s="332"/>
      <c r="N77" s="332"/>
      <c r="O77" s="332"/>
      <c r="P77" s="332"/>
      <c r="Q77" s="332"/>
      <c r="R77" s="332"/>
      <c r="S77" s="332"/>
      <c r="T77" s="332"/>
      <c r="U77" s="332"/>
      <c r="V77" s="332"/>
      <c r="W77" s="332"/>
      <c r="X77" s="332"/>
      <c r="Y77" s="156"/>
      <c r="Z77" s="332"/>
      <c r="AA77" s="332"/>
      <c r="AB77" s="332"/>
      <c r="AC77" s="332"/>
      <c r="AD77" s="332"/>
      <c r="AE77" s="332"/>
      <c r="AF77" s="332"/>
      <c r="AG77" s="332"/>
      <c r="AH77" s="332"/>
      <c r="AI77" s="332"/>
      <c r="AJ77" s="332"/>
      <c r="AK77" s="332"/>
      <c r="AL77" s="332"/>
      <c r="AM77" s="332"/>
      <c r="AN77" s="332"/>
      <c r="AO77" s="332"/>
    </row>
    <row r="78" spans="1:41">
      <c r="A78" s="332"/>
      <c r="B78" s="332"/>
      <c r="C78" s="332"/>
      <c r="D78" s="332"/>
      <c r="E78" s="332"/>
      <c r="F78" s="332"/>
      <c r="G78" s="332"/>
      <c r="H78" s="332"/>
      <c r="I78" s="332"/>
      <c r="J78" s="332"/>
      <c r="K78" s="332"/>
      <c r="L78" s="332"/>
      <c r="M78" s="332"/>
      <c r="N78" s="332"/>
      <c r="O78" s="332"/>
      <c r="P78" s="332"/>
      <c r="Q78" s="332"/>
      <c r="R78" s="332"/>
      <c r="S78" s="332"/>
      <c r="T78" s="332"/>
      <c r="U78" s="332"/>
      <c r="V78" s="332"/>
      <c r="W78" s="332"/>
      <c r="X78" s="332"/>
      <c r="Y78" s="332"/>
      <c r="Z78" s="332"/>
      <c r="AA78" s="332"/>
      <c r="AB78" s="332"/>
      <c r="AC78" s="156"/>
      <c r="AD78" s="332"/>
      <c r="AE78" s="332"/>
      <c r="AF78" s="332"/>
      <c r="AG78" s="332"/>
      <c r="AH78" s="332"/>
      <c r="AI78" s="332"/>
      <c r="AJ78" s="332"/>
      <c r="AK78" s="332"/>
      <c r="AL78" s="332"/>
      <c r="AM78" s="332"/>
      <c r="AN78" s="332"/>
      <c r="AO78" s="332"/>
    </row>
    <row r="79" spans="1:41">
      <c r="A79" s="332"/>
      <c r="B79" s="332"/>
      <c r="C79" s="332"/>
      <c r="D79" s="332"/>
      <c r="E79" s="332"/>
      <c r="F79" s="332"/>
      <c r="G79" s="332"/>
      <c r="H79" s="332"/>
      <c r="I79" s="332"/>
      <c r="J79" s="332"/>
      <c r="K79" s="332"/>
      <c r="L79" s="332"/>
      <c r="M79" s="332"/>
      <c r="N79" s="332"/>
      <c r="O79" s="332"/>
      <c r="P79" s="332"/>
      <c r="Q79" s="332"/>
      <c r="R79" s="332"/>
      <c r="S79" s="332"/>
      <c r="T79" s="332"/>
      <c r="U79" s="332"/>
      <c r="V79" s="332"/>
      <c r="W79" s="332"/>
      <c r="X79" s="332"/>
      <c r="Y79" s="332"/>
      <c r="Z79" s="332"/>
      <c r="AA79" s="332"/>
      <c r="AB79" s="332"/>
      <c r="AC79" s="156"/>
      <c r="AD79" s="332"/>
      <c r="AE79" s="332"/>
      <c r="AF79" s="332"/>
      <c r="AG79" s="332"/>
      <c r="AH79" s="332"/>
      <c r="AI79" s="332"/>
      <c r="AJ79" s="332"/>
      <c r="AK79" s="332"/>
      <c r="AL79" s="332"/>
      <c r="AM79" s="332"/>
      <c r="AN79" s="332"/>
      <c r="AO79" s="332"/>
    </row>
    <row r="80" spans="1:41">
      <c r="A80" s="332"/>
      <c r="B80" s="332"/>
      <c r="C80" s="332"/>
      <c r="D80" s="332"/>
      <c r="E80" s="332"/>
      <c r="F80" s="332"/>
      <c r="G80" s="332"/>
      <c r="H80" s="332"/>
      <c r="I80" s="332"/>
      <c r="J80" s="332"/>
      <c r="K80" s="332"/>
      <c r="L80" s="332"/>
      <c r="M80" s="332"/>
      <c r="N80" s="332"/>
      <c r="O80" s="332"/>
      <c r="P80" s="332"/>
      <c r="Q80" s="332"/>
      <c r="R80" s="332"/>
      <c r="S80" s="332"/>
      <c r="T80" s="332"/>
      <c r="U80" s="332"/>
      <c r="V80" s="332"/>
      <c r="W80" s="332"/>
      <c r="X80" s="332"/>
      <c r="Y80" s="332"/>
      <c r="Z80" s="332"/>
      <c r="AA80" s="332"/>
      <c r="AB80" s="332"/>
      <c r="AC80" s="156"/>
      <c r="AD80" s="332"/>
      <c r="AE80" s="332"/>
      <c r="AF80" s="332"/>
      <c r="AG80" s="332"/>
      <c r="AH80" s="332"/>
      <c r="AI80" s="332"/>
      <c r="AJ80" s="332"/>
      <c r="AK80" s="332"/>
      <c r="AL80" s="332"/>
      <c r="AM80" s="332"/>
      <c r="AN80" s="332"/>
      <c r="AO80" s="332"/>
    </row>
    <row r="81" spans="1:41">
      <c r="A81" s="332"/>
      <c r="B81" s="332"/>
      <c r="C81" s="332"/>
      <c r="D81" s="332"/>
      <c r="E81" s="332"/>
      <c r="F81" s="332"/>
      <c r="G81" s="332"/>
      <c r="H81" s="332"/>
      <c r="I81" s="332"/>
      <c r="J81" s="332"/>
      <c r="K81" s="332"/>
      <c r="L81" s="332"/>
      <c r="M81" s="332"/>
      <c r="N81" s="332"/>
      <c r="O81" s="332"/>
      <c r="P81" s="332"/>
      <c r="Q81" s="332"/>
      <c r="R81" s="332"/>
      <c r="S81" s="332"/>
      <c r="T81" s="332"/>
      <c r="U81" s="332"/>
      <c r="V81" s="332"/>
      <c r="W81" s="332"/>
      <c r="X81" s="332"/>
      <c r="Y81" s="332"/>
      <c r="Z81" s="332"/>
      <c r="AA81" s="332"/>
      <c r="AB81" s="156"/>
      <c r="AC81" s="332"/>
      <c r="AD81" s="332"/>
      <c r="AE81" s="332"/>
      <c r="AF81" s="332"/>
      <c r="AG81" s="332"/>
      <c r="AH81" s="332"/>
      <c r="AI81" s="332"/>
      <c r="AJ81" s="332"/>
      <c r="AK81" s="332"/>
      <c r="AL81" s="332"/>
      <c r="AM81" s="332"/>
      <c r="AN81" s="332"/>
      <c r="AO81" s="332"/>
    </row>
    <row r="82" spans="1:41">
      <c r="A82" s="332"/>
      <c r="B82" s="332"/>
      <c r="C82" s="332"/>
      <c r="D82" s="332"/>
      <c r="E82" s="332"/>
      <c r="F82" s="332"/>
      <c r="G82" s="332"/>
      <c r="H82" s="332"/>
      <c r="I82" s="332"/>
      <c r="J82" s="332"/>
      <c r="K82" s="332"/>
      <c r="L82" s="332"/>
      <c r="M82" s="332"/>
      <c r="N82" s="332"/>
      <c r="O82" s="332"/>
      <c r="P82" s="332"/>
      <c r="Q82" s="332"/>
      <c r="R82" s="332"/>
      <c r="S82" s="332"/>
      <c r="T82" s="332"/>
      <c r="U82" s="332"/>
      <c r="V82" s="332"/>
      <c r="W82" s="332"/>
      <c r="X82" s="332"/>
      <c r="Y82" s="156"/>
      <c r="Z82" s="332"/>
      <c r="AA82" s="332"/>
      <c r="AB82" s="332"/>
      <c r="AC82" s="332"/>
      <c r="AD82" s="332"/>
      <c r="AE82" s="332"/>
      <c r="AF82" s="332"/>
      <c r="AG82" s="332"/>
      <c r="AH82" s="332"/>
      <c r="AI82" s="332"/>
      <c r="AJ82" s="332"/>
      <c r="AK82" s="332"/>
      <c r="AL82" s="332"/>
      <c r="AM82" s="332"/>
      <c r="AN82" s="332"/>
      <c r="AO82" s="332"/>
    </row>
    <row r="83" spans="1:41">
      <c r="A83" s="332"/>
      <c r="B83" s="332"/>
      <c r="C83" s="332"/>
      <c r="D83" s="332"/>
      <c r="E83" s="332"/>
      <c r="F83" s="332"/>
      <c r="G83" s="332"/>
      <c r="H83" s="332"/>
      <c r="I83" s="332"/>
      <c r="J83" s="332"/>
      <c r="K83" s="332"/>
      <c r="L83" s="332"/>
      <c r="M83" s="332"/>
      <c r="N83" s="156"/>
      <c r="O83" s="332"/>
      <c r="P83" s="332"/>
      <c r="Q83" s="332"/>
      <c r="R83" s="332"/>
      <c r="S83" s="332"/>
      <c r="T83" s="332"/>
      <c r="U83" s="332"/>
      <c r="V83" s="332"/>
      <c r="W83" s="332"/>
      <c r="X83" s="332"/>
      <c r="Y83" s="332"/>
      <c r="Z83" s="332"/>
      <c r="AA83" s="332"/>
      <c r="AB83" s="156"/>
      <c r="AC83" s="332"/>
      <c r="AD83" s="332"/>
      <c r="AE83" s="332"/>
      <c r="AF83" s="332"/>
      <c r="AG83" s="332"/>
      <c r="AH83" s="332"/>
      <c r="AI83" s="332"/>
      <c r="AJ83" s="332"/>
      <c r="AK83" s="332"/>
      <c r="AL83" s="332"/>
      <c r="AM83" s="332"/>
      <c r="AN83" s="332"/>
      <c r="AO83" s="332"/>
    </row>
    <row r="84" spans="1:41">
      <c r="A84" s="332"/>
      <c r="B84" s="332"/>
      <c r="C84" s="332"/>
      <c r="D84" s="332"/>
      <c r="E84" s="332"/>
      <c r="F84" s="332"/>
      <c r="G84" s="332"/>
      <c r="H84" s="332"/>
      <c r="I84" s="332"/>
      <c r="J84" s="332"/>
      <c r="K84" s="332"/>
      <c r="L84" s="332"/>
      <c r="M84" s="332"/>
      <c r="N84" s="332"/>
      <c r="O84" s="332"/>
      <c r="P84" s="332"/>
      <c r="Q84" s="332"/>
      <c r="R84" s="332"/>
      <c r="S84" s="332"/>
      <c r="T84" s="332"/>
      <c r="U84" s="332"/>
      <c r="V84" s="332"/>
      <c r="W84" s="332"/>
      <c r="X84" s="332"/>
      <c r="Y84" s="332"/>
      <c r="Z84" s="332"/>
      <c r="AA84" s="332"/>
      <c r="AB84" s="332"/>
      <c r="AC84" s="156"/>
      <c r="AD84" s="332"/>
      <c r="AE84" s="332"/>
      <c r="AF84" s="332"/>
      <c r="AG84" s="332"/>
      <c r="AH84" s="332"/>
      <c r="AI84" s="332"/>
      <c r="AJ84" s="332"/>
      <c r="AK84" s="332"/>
      <c r="AL84" s="332"/>
      <c r="AM84" s="332"/>
      <c r="AN84" s="332"/>
      <c r="AO84" s="332"/>
    </row>
    <row r="85" spans="1:41">
      <c r="A85" s="332"/>
      <c r="B85" s="332"/>
      <c r="C85" s="332"/>
      <c r="D85" s="332"/>
      <c r="E85" s="332"/>
      <c r="F85" s="332"/>
      <c r="G85" s="332"/>
      <c r="H85" s="332"/>
      <c r="I85" s="332"/>
      <c r="J85" s="332"/>
      <c r="K85" s="332"/>
      <c r="L85" s="332"/>
      <c r="M85" s="332"/>
      <c r="N85" s="156"/>
      <c r="O85" s="332"/>
      <c r="P85" s="332"/>
      <c r="Q85" s="332"/>
      <c r="R85" s="332"/>
      <c r="S85" s="332"/>
      <c r="T85" s="332"/>
      <c r="U85" s="332"/>
      <c r="V85" s="332"/>
      <c r="W85" s="332"/>
      <c r="X85" s="332"/>
      <c r="Y85" s="332"/>
      <c r="Z85" s="332"/>
      <c r="AA85" s="332"/>
      <c r="AB85" s="156"/>
      <c r="AC85" s="156"/>
      <c r="AD85" s="332"/>
      <c r="AE85" s="332"/>
      <c r="AF85" s="332"/>
      <c r="AG85" s="332"/>
      <c r="AH85" s="332"/>
      <c r="AI85" s="332"/>
      <c r="AJ85" s="332"/>
      <c r="AK85" s="332"/>
      <c r="AL85" s="332"/>
      <c r="AM85" s="332"/>
      <c r="AN85" s="332"/>
      <c r="AO85" s="332"/>
    </row>
    <row r="86" spans="1:41">
      <c r="A86" s="332"/>
      <c r="B86" s="332"/>
      <c r="C86" s="332"/>
      <c r="D86" s="332"/>
      <c r="E86" s="332"/>
      <c r="F86" s="332"/>
      <c r="G86" s="332"/>
      <c r="H86" s="332"/>
      <c r="I86" s="332"/>
      <c r="J86" s="332"/>
      <c r="K86" s="332"/>
      <c r="L86" s="332"/>
      <c r="M86" s="332"/>
      <c r="N86" s="332"/>
      <c r="O86" s="332"/>
      <c r="P86" s="332"/>
      <c r="Q86" s="332"/>
      <c r="R86" s="332"/>
      <c r="S86" s="332"/>
      <c r="T86" s="332"/>
      <c r="U86" s="332"/>
      <c r="V86" s="332"/>
      <c r="W86" s="332"/>
      <c r="X86" s="332"/>
      <c r="Y86" s="156"/>
      <c r="Z86" s="332"/>
      <c r="AA86" s="332"/>
      <c r="AB86" s="156"/>
      <c r="AC86" s="156"/>
      <c r="AD86" s="332"/>
      <c r="AE86" s="332"/>
      <c r="AF86" s="332"/>
      <c r="AG86" s="332"/>
      <c r="AH86" s="332"/>
      <c r="AI86" s="332"/>
      <c r="AJ86" s="332"/>
      <c r="AK86" s="332"/>
      <c r="AL86" s="332"/>
      <c r="AM86" s="332"/>
      <c r="AN86" s="332"/>
      <c r="AO86" s="332"/>
    </row>
    <row r="87" spans="1:41">
      <c r="A87" s="332"/>
      <c r="B87" s="332"/>
      <c r="C87" s="332"/>
      <c r="D87" s="332"/>
      <c r="E87" s="332"/>
      <c r="F87" s="332"/>
      <c r="G87" s="332"/>
      <c r="H87" s="332"/>
      <c r="I87" s="332"/>
      <c r="J87" s="332"/>
      <c r="K87" s="332"/>
      <c r="L87" s="332"/>
      <c r="M87" s="332"/>
      <c r="N87" s="332"/>
      <c r="O87" s="332"/>
      <c r="P87" s="332"/>
      <c r="Q87" s="332"/>
      <c r="R87" s="332"/>
      <c r="S87" s="332"/>
      <c r="T87" s="332"/>
      <c r="U87" s="332"/>
      <c r="V87" s="332"/>
      <c r="W87" s="332"/>
      <c r="X87" s="332"/>
      <c r="Y87" s="332"/>
      <c r="Z87" s="332"/>
      <c r="AA87" s="332"/>
      <c r="AB87" s="156"/>
      <c r="AC87" s="156"/>
      <c r="AD87" s="332"/>
      <c r="AE87" s="156"/>
      <c r="AF87" s="332"/>
      <c r="AG87" s="332"/>
      <c r="AH87" s="332"/>
      <c r="AI87" s="332"/>
      <c r="AJ87" s="332"/>
      <c r="AK87" s="332"/>
      <c r="AL87" s="332"/>
      <c r="AM87" s="332"/>
      <c r="AN87" s="332"/>
      <c r="AO87" s="332"/>
    </row>
    <row r="88" spans="1:41">
      <c r="A88" s="332"/>
      <c r="B88" s="332"/>
      <c r="C88" s="332"/>
      <c r="D88" s="332"/>
      <c r="E88" s="332"/>
      <c r="F88" s="332"/>
      <c r="G88" s="332"/>
      <c r="H88" s="332"/>
      <c r="I88" s="332"/>
      <c r="J88" s="332"/>
      <c r="K88" s="332"/>
      <c r="L88" s="332"/>
      <c r="M88" s="332"/>
      <c r="N88" s="332"/>
      <c r="O88" s="332"/>
      <c r="P88" s="332"/>
      <c r="Q88" s="332"/>
      <c r="R88" s="332"/>
      <c r="S88" s="332"/>
      <c r="T88" s="332"/>
      <c r="U88" s="332"/>
      <c r="V88" s="332"/>
      <c r="W88" s="332"/>
      <c r="X88" s="332"/>
      <c r="Y88" s="156"/>
      <c r="Z88" s="332"/>
      <c r="AA88" s="332"/>
      <c r="AB88" s="332"/>
      <c r="AC88" s="332"/>
      <c r="AD88" s="332"/>
      <c r="AE88" s="332"/>
      <c r="AF88" s="332"/>
      <c r="AG88" s="332"/>
      <c r="AH88" s="332"/>
      <c r="AI88" s="332"/>
      <c r="AJ88" s="332"/>
      <c r="AK88" s="332"/>
      <c r="AL88" s="332"/>
      <c r="AM88" s="332"/>
      <c r="AN88" s="332"/>
      <c r="AO88" s="332"/>
    </row>
    <row r="89" spans="1:41">
      <c r="A89" s="332"/>
      <c r="B89" s="332"/>
      <c r="C89" s="332"/>
      <c r="D89" s="332"/>
      <c r="E89" s="332"/>
      <c r="F89" s="332"/>
      <c r="G89" s="332"/>
      <c r="H89" s="332"/>
      <c r="I89" s="332"/>
      <c r="J89" s="332"/>
      <c r="K89" s="332"/>
      <c r="L89" s="332"/>
      <c r="M89" s="332"/>
      <c r="N89" s="332"/>
      <c r="O89" s="332"/>
      <c r="P89" s="332"/>
      <c r="Q89" s="332"/>
      <c r="R89" s="332"/>
      <c r="S89" s="332"/>
      <c r="T89" s="332"/>
      <c r="U89" s="332"/>
      <c r="V89" s="332"/>
      <c r="W89" s="332"/>
      <c r="X89" s="332"/>
      <c r="Y89" s="332"/>
      <c r="Z89" s="332"/>
      <c r="AA89" s="332"/>
      <c r="AB89" s="332"/>
      <c r="AC89" s="332"/>
      <c r="AD89" s="332"/>
      <c r="AE89" s="156"/>
      <c r="AF89" s="332"/>
      <c r="AG89" s="332"/>
      <c r="AH89" s="332"/>
      <c r="AI89" s="332"/>
      <c r="AJ89" s="332"/>
      <c r="AK89" s="332"/>
      <c r="AL89" s="332"/>
      <c r="AM89" s="332"/>
      <c r="AN89" s="332"/>
      <c r="AO89" s="332"/>
    </row>
    <row r="90" spans="1:41">
      <c r="A90" s="332"/>
      <c r="B90" s="332"/>
      <c r="C90" s="332"/>
      <c r="D90" s="332"/>
      <c r="E90" s="332"/>
      <c r="F90" s="332"/>
      <c r="G90" s="332"/>
      <c r="H90" s="332"/>
      <c r="I90" s="332"/>
      <c r="J90" s="332"/>
      <c r="K90" s="332"/>
      <c r="L90" s="332"/>
      <c r="M90" s="332"/>
      <c r="N90" s="332"/>
      <c r="O90" s="332"/>
      <c r="P90" s="332"/>
      <c r="Q90" s="332"/>
      <c r="R90" s="332"/>
      <c r="S90" s="332"/>
      <c r="T90" s="332"/>
      <c r="U90" s="332"/>
      <c r="V90" s="332"/>
      <c r="W90" s="332"/>
      <c r="X90" s="332"/>
      <c r="Y90" s="156"/>
      <c r="Z90" s="332"/>
      <c r="AA90" s="332"/>
      <c r="AB90" s="332"/>
      <c r="AC90" s="332"/>
      <c r="AD90" s="332"/>
      <c r="AE90" s="332"/>
      <c r="AF90" s="332"/>
      <c r="AG90" s="332"/>
      <c r="AH90" s="332"/>
      <c r="AI90" s="332"/>
      <c r="AJ90" s="332"/>
      <c r="AK90" s="332"/>
      <c r="AL90" s="332"/>
      <c r="AM90" s="332"/>
      <c r="AN90" s="332"/>
      <c r="AO90" s="332"/>
    </row>
    <row r="91" spans="1:41">
      <c r="A91" s="332"/>
      <c r="B91" s="332"/>
      <c r="C91" s="332"/>
      <c r="D91" s="332"/>
      <c r="E91" s="332"/>
      <c r="F91" s="332"/>
      <c r="G91" s="332"/>
      <c r="H91" s="332"/>
      <c r="I91" s="332"/>
      <c r="J91" s="332"/>
      <c r="K91" s="332"/>
      <c r="L91" s="332"/>
      <c r="M91" s="332"/>
      <c r="N91" s="156"/>
      <c r="O91" s="332"/>
      <c r="P91" s="332"/>
      <c r="Q91" s="332"/>
      <c r="R91" s="332"/>
      <c r="S91" s="332"/>
      <c r="T91" s="332"/>
      <c r="U91" s="332"/>
      <c r="V91" s="332"/>
      <c r="W91" s="332"/>
      <c r="X91" s="332"/>
      <c r="Y91" s="332"/>
      <c r="Z91" s="332"/>
      <c r="AA91" s="332"/>
      <c r="AB91" s="332"/>
      <c r="AC91" s="332"/>
      <c r="AD91" s="332"/>
      <c r="AE91" s="332"/>
      <c r="AF91" s="332"/>
      <c r="AG91" s="332"/>
      <c r="AH91" s="332"/>
      <c r="AI91" s="332"/>
      <c r="AJ91" s="332"/>
      <c r="AK91" s="332"/>
      <c r="AL91" s="332"/>
      <c r="AM91" s="332"/>
      <c r="AN91" s="332"/>
      <c r="AO91" s="332"/>
    </row>
    <row r="92" spans="1:41">
      <c r="A92" s="332"/>
      <c r="B92" s="332"/>
      <c r="C92" s="332"/>
      <c r="D92" s="332"/>
      <c r="E92" s="332"/>
      <c r="F92" s="332"/>
      <c r="G92" s="332"/>
      <c r="H92" s="332"/>
      <c r="I92" s="332"/>
      <c r="J92" s="332"/>
      <c r="K92" s="332"/>
      <c r="L92" s="332"/>
      <c r="M92" s="332"/>
      <c r="N92" s="332"/>
      <c r="O92" s="332"/>
      <c r="P92" s="332"/>
      <c r="Q92" s="332"/>
      <c r="R92" s="332"/>
      <c r="S92" s="332"/>
      <c r="T92" s="332"/>
      <c r="U92" s="332"/>
      <c r="V92" s="332"/>
      <c r="W92" s="332"/>
      <c r="X92" s="332"/>
      <c r="Y92" s="156"/>
      <c r="Z92" s="332"/>
      <c r="AA92" s="332"/>
      <c r="AB92" s="332"/>
      <c r="AC92" s="332"/>
      <c r="AD92" s="332"/>
      <c r="AE92" s="332"/>
      <c r="AF92" s="332"/>
      <c r="AG92" s="332"/>
      <c r="AH92" s="332"/>
      <c r="AI92" s="332"/>
      <c r="AJ92" s="332"/>
      <c r="AK92" s="332"/>
      <c r="AL92" s="332"/>
      <c r="AM92" s="332"/>
      <c r="AN92" s="332"/>
      <c r="AO92" s="332"/>
    </row>
    <row r="93" spans="1:41">
      <c r="A93" s="332"/>
      <c r="B93" s="332"/>
      <c r="C93" s="332"/>
      <c r="D93" s="332"/>
      <c r="E93" s="332"/>
      <c r="F93" s="332"/>
      <c r="G93" s="332"/>
      <c r="H93" s="332"/>
      <c r="I93" s="332"/>
      <c r="J93" s="332"/>
      <c r="K93" s="332"/>
      <c r="L93" s="332"/>
      <c r="M93" s="332"/>
      <c r="N93" s="332"/>
      <c r="O93" s="332"/>
      <c r="P93" s="332"/>
      <c r="Q93" s="332"/>
      <c r="R93" s="332"/>
      <c r="S93" s="332"/>
      <c r="T93" s="332"/>
      <c r="U93" s="332"/>
      <c r="V93" s="332"/>
      <c r="W93" s="332"/>
      <c r="X93" s="332"/>
      <c r="Y93" s="332"/>
      <c r="Z93" s="332"/>
      <c r="AA93" s="332"/>
      <c r="AB93" s="156"/>
      <c r="AC93" s="156"/>
      <c r="AD93" s="332"/>
      <c r="AE93" s="332"/>
      <c r="AF93" s="332"/>
      <c r="AG93" s="332"/>
      <c r="AH93" s="332"/>
      <c r="AI93" s="332"/>
      <c r="AJ93" s="332"/>
      <c r="AK93" s="332"/>
      <c r="AL93" s="332"/>
      <c r="AM93" s="332"/>
      <c r="AN93" s="332"/>
      <c r="AO93" s="332"/>
    </row>
    <row r="94" spans="1:41">
      <c r="A94" s="332"/>
      <c r="B94" s="332"/>
      <c r="C94" s="332"/>
      <c r="D94" s="332"/>
      <c r="E94" s="332"/>
      <c r="F94" s="332"/>
      <c r="G94" s="332"/>
      <c r="H94" s="332"/>
      <c r="I94" s="332"/>
      <c r="J94" s="332"/>
      <c r="K94" s="332"/>
      <c r="L94" s="332"/>
      <c r="M94" s="332"/>
      <c r="N94" s="332"/>
      <c r="O94" s="332"/>
      <c r="P94" s="332"/>
      <c r="Q94" s="332"/>
      <c r="R94" s="332"/>
      <c r="S94" s="332"/>
      <c r="T94" s="332"/>
      <c r="U94" s="332"/>
      <c r="V94" s="332"/>
      <c r="W94" s="332"/>
      <c r="X94" s="332"/>
      <c r="Y94" s="156"/>
      <c r="Z94" s="332"/>
      <c r="AA94" s="332"/>
      <c r="AB94" s="332"/>
      <c r="AC94" s="332"/>
      <c r="AD94" s="332"/>
      <c r="AE94" s="332"/>
      <c r="AF94" s="332"/>
      <c r="AG94" s="332"/>
      <c r="AH94" s="332"/>
      <c r="AI94" s="332"/>
      <c r="AJ94" s="332"/>
      <c r="AK94" s="332"/>
      <c r="AL94" s="332"/>
      <c r="AM94" s="332"/>
      <c r="AN94" s="332"/>
      <c r="AO94" s="332"/>
    </row>
    <row r="95" spans="1:41">
      <c r="A95" s="332"/>
      <c r="B95" s="332"/>
      <c r="C95" s="332"/>
      <c r="D95" s="332"/>
      <c r="E95" s="332"/>
      <c r="F95" s="332"/>
      <c r="G95" s="332"/>
      <c r="H95" s="332"/>
      <c r="I95" s="332"/>
      <c r="J95" s="332"/>
      <c r="K95" s="332"/>
      <c r="L95" s="332"/>
      <c r="M95" s="332"/>
      <c r="N95" s="332"/>
      <c r="O95" s="332"/>
      <c r="P95" s="332"/>
      <c r="Q95" s="332"/>
      <c r="R95" s="332"/>
      <c r="S95" s="332"/>
      <c r="T95" s="332"/>
      <c r="U95" s="332"/>
      <c r="V95" s="332"/>
      <c r="W95" s="332"/>
      <c r="X95" s="332"/>
      <c r="Y95" s="156"/>
      <c r="Z95" s="332"/>
      <c r="AA95" s="332"/>
      <c r="AB95" s="332"/>
      <c r="AC95" s="332"/>
      <c r="AD95" s="332"/>
      <c r="AE95" s="332"/>
      <c r="AF95" s="332"/>
      <c r="AG95" s="332"/>
      <c r="AH95" s="332"/>
      <c r="AI95" s="332"/>
      <c r="AJ95" s="332"/>
      <c r="AK95" s="332"/>
      <c r="AL95" s="332"/>
      <c r="AM95" s="332"/>
      <c r="AN95" s="332"/>
      <c r="AO95" s="332"/>
    </row>
    <row r="96" spans="1:41">
      <c r="A96" s="332"/>
      <c r="B96" s="332"/>
      <c r="C96" s="332"/>
      <c r="D96" s="332"/>
      <c r="E96" s="332"/>
      <c r="F96" s="332"/>
      <c r="G96" s="332"/>
      <c r="H96" s="332"/>
      <c r="I96" s="332"/>
      <c r="J96" s="332"/>
      <c r="K96" s="332"/>
      <c r="L96" s="332"/>
      <c r="M96" s="332"/>
      <c r="N96" s="332"/>
      <c r="O96" s="332"/>
      <c r="P96" s="332"/>
      <c r="Q96" s="332"/>
      <c r="R96" s="332"/>
      <c r="S96" s="332"/>
      <c r="T96" s="332"/>
      <c r="U96" s="332"/>
      <c r="V96" s="332"/>
      <c r="W96" s="332"/>
      <c r="X96" s="332"/>
      <c r="Y96" s="332"/>
      <c r="Z96" s="332"/>
      <c r="AA96" s="332"/>
      <c r="AB96" s="332"/>
      <c r="AC96" s="156"/>
      <c r="AD96" s="332"/>
      <c r="AE96" s="332"/>
      <c r="AF96" s="332"/>
      <c r="AG96" s="332"/>
      <c r="AH96" s="332"/>
      <c r="AI96" s="332"/>
      <c r="AJ96" s="332"/>
      <c r="AK96" s="332"/>
      <c r="AL96" s="332"/>
      <c r="AM96" s="332"/>
      <c r="AN96" s="332"/>
      <c r="AO96" s="332"/>
    </row>
    <row r="97" spans="1:41">
      <c r="A97" s="332"/>
      <c r="B97" s="332"/>
      <c r="C97" s="332"/>
      <c r="D97" s="332"/>
      <c r="E97" s="332"/>
      <c r="F97" s="332"/>
      <c r="G97" s="332"/>
      <c r="H97" s="332"/>
      <c r="I97" s="332"/>
      <c r="J97" s="332"/>
      <c r="K97" s="332"/>
      <c r="L97" s="332"/>
      <c r="M97" s="332"/>
      <c r="N97" s="332"/>
      <c r="O97" s="332"/>
      <c r="P97" s="332"/>
      <c r="Q97" s="332"/>
      <c r="R97" s="332"/>
      <c r="S97" s="332"/>
      <c r="T97" s="332"/>
      <c r="U97" s="332"/>
      <c r="V97" s="332"/>
      <c r="W97" s="332"/>
      <c r="X97" s="332"/>
      <c r="Y97" s="332"/>
      <c r="Z97" s="332"/>
      <c r="AA97" s="332"/>
      <c r="AB97" s="332"/>
      <c r="AC97" s="332"/>
      <c r="AD97" s="332"/>
      <c r="AE97" s="332"/>
      <c r="AF97" s="332"/>
      <c r="AG97" s="332"/>
      <c r="AH97" s="332"/>
      <c r="AI97" s="332"/>
      <c r="AJ97" s="332"/>
      <c r="AK97" s="332"/>
      <c r="AL97" s="332"/>
      <c r="AM97" s="332"/>
      <c r="AN97" s="332"/>
      <c r="AO97" s="332"/>
    </row>
    <row r="98" spans="1:41">
      <c r="A98" s="332"/>
      <c r="B98" s="332"/>
      <c r="C98" s="332"/>
      <c r="D98" s="332"/>
      <c r="E98" s="332"/>
      <c r="F98" s="332"/>
      <c r="G98" s="332"/>
      <c r="H98" s="332"/>
      <c r="I98" s="332"/>
      <c r="J98" s="332"/>
      <c r="K98" s="332"/>
      <c r="L98" s="332"/>
      <c r="M98" s="332"/>
      <c r="N98" s="332"/>
      <c r="O98" s="332"/>
      <c r="P98" s="332"/>
      <c r="Q98" s="332"/>
      <c r="R98" s="332"/>
      <c r="S98" s="332"/>
      <c r="T98" s="332"/>
      <c r="U98" s="332"/>
      <c r="V98" s="332"/>
      <c r="W98" s="332"/>
      <c r="X98" s="332"/>
      <c r="Y98" s="156"/>
      <c r="Z98" s="332"/>
      <c r="AA98" s="332"/>
      <c r="AB98" s="332"/>
      <c r="AC98" s="332"/>
      <c r="AD98" s="332"/>
      <c r="AE98" s="332"/>
      <c r="AF98" s="332"/>
      <c r="AG98" s="332"/>
      <c r="AH98" s="332"/>
      <c r="AI98" s="332"/>
      <c r="AJ98" s="332"/>
      <c r="AK98" s="332"/>
      <c r="AL98" s="332"/>
      <c r="AM98" s="332"/>
      <c r="AN98" s="332"/>
      <c r="AO98" s="332"/>
    </row>
    <row r="99" spans="1:41">
      <c r="A99" s="332"/>
      <c r="B99" s="332"/>
      <c r="C99" s="332"/>
      <c r="D99" s="332"/>
      <c r="E99" s="332"/>
      <c r="F99" s="332"/>
      <c r="G99" s="332"/>
      <c r="H99" s="332"/>
      <c r="I99" s="332"/>
      <c r="J99" s="332"/>
      <c r="K99" s="332"/>
      <c r="L99" s="332"/>
      <c r="M99" s="332"/>
      <c r="N99" s="332"/>
      <c r="O99" s="332"/>
      <c r="P99" s="332"/>
      <c r="Q99" s="332"/>
      <c r="R99" s="332"/>
      <c r="S99" s="332"/>
      <c r="T99" s="332"/>
      <c r="U99" s="332"/>
      <c r="V99" s="332"/>
      <c r="W99" s="332"/>
      <c r="X99" s="332"/>
      <c r="Y99" s="156"/>
      <c r="Z99" s="332"/>
      <c r="AA99" s="332"/>
      <c r="AB99" s="156"/>
      <c r="AC99" s="332"/>
      <c r="AD99" s="332"/>
      <c r="AE99" s="332"/>
      <c r="AF99" s="332"/>
      <c r="AG99" s="332"/>
      <c r="AH99" s="332"/>
      <c r="AI99" s="332"/>
      <c r="AJ99" s="332"/>
      <c r="AK99" s="332"/>
      <c r="AL99" s="332"/>
      <c r="AM99" s="332"/>
      <c r="AN99" s="332"/>
      <c r="AO99" s="332"/>
    </row>
    <row r="100" spans="1:41">
      <c r="A100" s="332"/>
      <c r="B100" s="332"/>
      <c r="C100" s="156"/>
      <c r="D100" s="332"/>
      <c r="E100" s="332"/>
      <c r="F100" s="332"/>
      <c r="G100" s="332"/>
      <c r="H100" s="332"/>
      <c r="I100" s="332"/>
      <c r="J100" s="332"/>
      <c r="K100" s="332"/>
      <c r="L100" s="332"/>
      <c r="M100" s="332"/>
      <c r="N100" s="332"/>
      <c r="O100" s="332"/>
      <c r="P100" s="332"/>
      <c r="Q100" s="332"/>
      <c r="R100" s="332"/>
      <c r="S100" s="332"/>
      <c r="T100" s="332"/>
      <c r="U100" s="332"/>
      <c r="V100" s="332"/>
      <c r="W100" s="332"/>
      <c r="X100" s="332"/>
      <c r="Y100" s="332"/>
      <c r="Z100" s="332"/>
      <c r="AA100" s="332"/>
      <c r="AB100" s="156"/>
      <c r="AC100" s="332"/>
      <c r="AD100" s="332"/>
      <c r="AE100" s="332"/>
      <c r="AF100" s="332"/>
      <c r="AG100" s="332"/>
      <c r="AH100" s="332"/>
      <c r="AI100" s="332"/>
      <c r="AJ100" s="332"/>
      <c r="AK100" s="332"/>
      <c r="AL100" s="332"/>
      <c r="AM100" s="332"/>
      <c r="AN100" s="332"/>
      <c r="AO100" s="332"/>
    </row>
    <row r="101" spans="1:41">
      <c r="A101" s="332"/>
      <c r="B101" s="332"/>
      <c r="C101" s="332"/>
      <c r="D101" s="332"/>
      <c r="E101" s="332"/>
      <c r="F101" s="332"/>
      <c r="G101" s="332"/>
      <c r="H101" s="332"/>
      <c r="I101" s="332"/>
      <c r="J101" s="332"/>
      <c r="K101" s="332"/>
      <c r="L101" s="332"/>
      <c r="M101" s="332"/>
      <c r="N101" s="332"/>
      <c r="O101" s="332"/>
      <c r="P101" s="332"/>
      <c r="Q101" s="332"/>
      <c r="R101" s="332"/>
      <c r="S101" s="332"/>
      <c r="T101" s="332"/>
      <c r="U101" s="332"/>
      <c r="V101" s="332"/>
      <c r="W101" s="332"/>
      <c r="X101" s="332"/>
      <c r="Y101" s="332"/>
      <c r="Z101" s="332"/>
      <c r="AA101" s="332"/>
      <c r="AB101" s="156"/>
      <c r="AC101" s="332"/>
      <c r="AD101" s="332"/>
      <c r="AE101" s="332"/>
      <c r="AF101" s="332"/>
      <c r="AG101" s="332"/>
      <c r="AH101" s="332"/>
      <c r="AI101" s="332"/>
      <c r="AJ101" s="332"/>
      <c r="AK101" s="332"/>
      <c r="AL101" s="332"/>
      <c r="AM101" s="332"/>
      <c r="AN101" s="332"/>
      <c r="AO101" s="332"/>
    </row>
    <row r="102" spans="1:41">
      <c r="A102" s="332"/>
      <c r="B102" s="332"/>
      <c r="C102" s="332"/>
      <c r="D102" s="332"/>
      <c r="E102" s="332"/>
      <c r="F102" s="332"/>
      <c r="G102" s="332"/>
      <c r="H102" s="332"/>
      <c r="I102" s="332"/>
      <c r="J102" s="332"/>
      <c r="K102" s="332"/>
      <c r="L102" s="332"/>
      <c r="M102" s="332"/>
      <c r="N102" s="332"/>
      <c r="O102" s="332"/>
      <c r="P102" s="332"/>
      <c r="Q102" s="332"/>
      <c r="R102" s="156"/>
      <c r="S102" s="332"/>
      <c r="T102" s="332"/>
      <c r="U102" s="332"/>
      <c r="V102" s="332"/>
      <c r="W102" s="332"/>
      <c r="X102" s="332"/>
      <c r="Y102" s="332"/>
      <c r="Z102" s="332"/>
      <c r="AA102" s="332"/>
      <c r="AB102" s="156"/>
      <c r="AC102" s="156"/>
      <c r="AD102" s="332"/>
      <c r="AE102" s="332"/>
      <c r="AF102" s="332"/>
      <c r="AG102" s="332"/>
      <c r="AH102" s="332"/>
      <c r="AI102" s="332"/>
      <c r="AJ102" s="332"/>
      <c r="AK102" s="332"/>
      <c r="AL102" s="332"/>
      <c r="AM102" s="332"/>
      <c r="AN102" s="332"/>
      <c r="AO102" s="332"/>
    </row>
    <row r="103" spans="1:41">
      <c r="A103" s="332"/>
      <c r="B103" s="332"/>
      <c r="C103" s="332"/>
      <c r="D103" s="332"/>
      <c r="E103" s="332"/>
      <c r="F103" s="332"/>
      <c r="G103" s="332"/>
      <c r="H103" s="332"/>
      <c r="I103" s="332"/>
      <c r="J103" s="332"/>
      <c r="K103" s="332"/>
      <c r="L103" s="332"/>
      <c r="M103" s="332"/>
      <c r="N103" s="332"/>
      <c r="O103" s="332"/>
      <c r="P103" s="332"/>
      <c r="Q103" s="332"/>
      <c r="R103" s="332"/>
      <c r="S103" s="332"/>
      <c r="T103" s="332"/>
      <c r="U103" s="332"/>
      <c r="V103" s="332"/>
      <c r="W103" s="332"/>
      <c r="X103" s="332"/>
      <c r="Y103" s="156"/>
      <c r="Z103" s="332"/>
      <c r="AA103" s="332"/>
      <c r="AB103" s="332"/>
      <c r="AC103" s="332"/>
      <c r="AD103" s="332"/>
      <c r="AE103" s="332"/>
      <c r="AF103" s="332"/>
      <c r="AG103" s="332"/>
      <c r="AH103" s="332"/>
      <c r="AI103" s="332"/>
      <c r="AJ103" s="332"/>
      <c r="AK103" s="332"/>
      <c r="AL103" s="332"/>
      <c r="AM103" s="332"/>
      <c r="AN103" s="332"/>
      <c r="AO103" s="332"/>
    </row>
    <row r="104" spans="1:41">
      <c r="A104" s="332"/>
      <c r="B104" s="332"/>
      <c r="C104" s="332"/>
      <c r="D104" s="332"/>
      <c r="E104" s="332"/>
      <c r="F104" s="332"/>
      <c r="G104" s="332"/>
      <c r="H104" s="332"/>
      <c r="I104" s="332"/>
      <c r="J104" s="332"/>
      <c r="K104" s="332"/>
      <c r="L104" s="332"/>
      <c r="M104" s="332"/>
      <c r="N104" s="156"/>
      <c r="O104" s="332"/>
      <c r="P104" s="332"/>
      <c r="Q104" s="332"/>
      <c r="R104" s="332"/>
      <c r="S104" s="332"/>
      <c r="T104" s="332"/>
      <c r="U104" s="332"/>
      <c r="V104" s="332"/>
      <c r="W104" s="332"/>
      <c r="X104" s="332"/>
      <c r="Y104" s="156"/>
      <c r="Z104" s="332"/>
      <c r="AA104" s="332"/>
      <c r="AB104" s="156"/>
      <c r="AC104" s="156"/>
      <c r="AD104" s="332"/>
      <c r="AE104" s="332"/>
      <c r="AF104" s="156"/>
      <c r="AG104" s="332"/>
      <c r="AH104" s="332"/>
      <c r="AI104" s="332"/>
      <c r="AJ104" s="332"/>
      <c r="AK104" s="332"/>
      <c r="AL104" s="332"/>
      <c r="AM104" s="332"/>
      <c r="AN104" s="332"/>
      <c r="AO104" s="332"/>
    </row>
    <row r="105" spans="1:41">
      <c r="A105" s="332"/>
      <c r="B105" s="332"/>
      <c r="C105" s="332"/>
      <c r="D105" s="332"/>
      <c r="E105" s="332"/>
      <c r="F105" s="332"/>
      <c r="G105" s="332"/>
      <c r="H105" s="332"/>
      <c r="I105" s="332"/>
      <c r="J105" s="332"/>
      <c r="K105" s="332"/>
      <c r="L105" s="332"/>
      <c r="M105" s="332"/>
      <c r="N105" s="332"/>
      <c r="O105" s="332"/>
      <c r="P105" s="332"/>
      <c r="Q105" s="332"/>
      <c r="R105" s="332"/>
      <c r="S105" s="332"/>
      <c r="T105" s="332"/>
      <c r="U105" s="332"/>
      <c r="V105" s="332"/>
      <c r="W105" s="332"/>
      <c r="X105" s="332"/>
      <c r="Y105" s="156"/>
      <c r="Z105" s="332"/>
      <c r="AA105" s="332"/>
      <c r="AB105" s="156"/>
      <c r="AC105" s="156"/>
      <c r="AD105" s="332"/>
      <c r="AE105" s="332"/>
      <c r="AF105" s="332"/>
      <c r="AG105" s="332"/>
      <c r="AH105" s="332"/>
      <c r="AI105" s="332"/>
      <c r="AJ105" s="332"/>
      <c r="AK105" s="332"/>
      <c r="AL105" s="332"/>
      <c r="AM105" s="332"/>
      <c r="AN105" s="332"/>
      <c r="AO105" s="332"/>
    </row>
    <row r="106" spans="1:41">
      <c r="A106" s="332"/>
      <c r="B106" s="332"/>
      <c r="C106" s="332"/>
      <c r="D106" s="332"/>
      <c r="E106" s="332"/>
      <c r="F106" s="332"/>
      <c r="G106" s="332"/>
      <c r="H106" s="332"/>
      <c r="I106" s="332"/>
      <c r="J106" s="332"/>
      <c r="K106" s="332"/>
      <c r="L106" s="332"/>
      <c r="M106" s="332"/>
      <c r="N106" s="332"/>
      <c r="O106" s="332"/>
      <c r="P106" s="332"/>
      <c r="Q106" s="332"/>
      <c r="R106" s="332"/>
      <c r="S106" s="332"/>
      <c r="T106" s="332"/>
      <c r="U106" s="332"/>
      <c r="V106" s="332"/>
      <c r="W106" s="332"/>
      <c r="X106" s="332"/>
      <c r="Y106" s="156"/>
      <c r="Z106" s="332"/>
      <c r="AA106" s="332"/>
      <c r="AB106" s="332"/>
      <c r="AC106" s="332"/>
      <c r="AD106" s="332"/>
      <c r="AE106" s="332"/>
      <c r="AF106" s="332"/>
      <c r="AG106" s="332"/>
      <c r="AH106" s="332"/>
      <c r="AI106" s="332"/>
      <c r="AJ106" s="332"/>
      <c r="AK106" s="332"/>
      <c r="AL106" s="332"/>
      <c r="AM106" s="332"/>
      <c r="AN106" s="332"/>
      <c r="AO106" s="332"/>
    </row>
    <row r="107" spans="1:41">
      <c r="A107" s="332"/>
      <c r="B107" s="332"/>
      <c r="C107" s="332"/>
      <c r="D107" s="332"/>
      <c r="E107" s="332"/>
      <c r="F107" s="332"/>
      <c r="G107" s="332"/>
      <c r="H107" s="332"/>
      <c r="I107" s="332"/>
      <c r="J107" s="332"/>
      <c r="K107" s="332"/>
      <c r="L107" s="332"/>
      <c r="M107" s="332"/>
      <c r="N107" s="332"/>
      <c r="O107" s="332"/>
      <c r="P107" s="332"/>
      <c r="Q107" s="332"/>
      <c r="R107" s="332"/>
      <c r="S107" s="332"/>
      <c r="T107" s="332"/>
      <c r="U107" s="332"/>
      <c r="V107" s="332"/>
      <c r="W107" s="332"/>
      <c r="X107" s="332"/>
      <c r="Y107" s="156"/>
      <c r="Z107" s="332"/>
      <c r="AA107" s="332"/>
      <c r="AB107" s="332"/>
      <c r="AC107" s="332"/>
      <c r="AD107" s="332"/>
      <c r="AE107" s="332"/>
      <c r="AF107" s="332"/>
      <c r="AG107" s="332"/>
      <c r="AH107" s="332"/>
      <c r="AI107" s="332"/>
      <c r="AJ107" s="332"/>
      <c r="AK107" s="332"/>
      <c r="AL107" s="332"/>
      <c r="AM107" s="332"/>
      <c r="AN107" s="332"/>
      <c r="AO107" s="332"/>
    </row>
    <row r="108" spans="1:41">
      <c r="A108" s="332"/>
      <c r="B108" s="332"/>
      <c r="C108" s="332"/>
      <c r="D108" s="332"/>
      <c r="E108" s="332"/>
      <c r="F108" s="332"/>
      <c r="G108" s="332"/>
      <c r="H108" s="332"/>
      <c r="I108" s="332"/>
      <c r="J108" s="332"/>
      <c r="K108" s="332"/>
      <c r="L108" s="332"/>
      <c r="M108" s="332"/>
      <c r="N108" s="332"/>
      <c r="O108" s="332"/>
      <c r="P108" s="332"/>
      <c r="Q108" s="332"/>
      <c r="R108" s="332"/>
      <c r="S108" s="332"/>
      <c r="T108" s="332"/>
      <c r="U108" s="332"/>
      <c r="V108" s="332"/>
      <c r="W108" s="332"/>
      <c r="X108" s="332"/>
      <c r="Y108" s="156"/>
      <c r="Z108" s="332"/>
      <c r="AA108" s="332"/>
      <c r="AB108" s="332"/>
      <c r="AC108" s="332"/>
      <c r="AD108" s="332"/>
      <c r="AE108" s="332"/>
      <c r="AF108" s="332"/>
      <c r="AG108" s="332"/>
      <c r="AH108" s="332"/>
      <c r="AI108" s="332"/>
      <c r="AJ108" s="332"/>
      <c r="AK108" s="332"/>
      <c r="AL108" s="332"/>
      <c r="AM108" s="332"/>
      <c r="AN108" s="332"/>
      <c r="AO108" s="332"/>
    </row>
    <row r="109" spans="1:41">
      <c r="A109" s="332"/>
      <c r="B109" s="332"/>
      <c r="C109" s="332"/>
      <c r="D109" s="332"/>
      <c r="E109" s="332"/>
      <c r="F109" s="332"/>
      <c r="G109" s="332"/>
      <c r="H109" s="332"/>
      <c r="I109" s="332"/>
      <c r="J109" s="332"/>
      <c r="K109" s="332"/>
      <c r="L109" s="332"/>
      <c r="M109" s="332"/>
      <c r="N109" s="156"/>
      <c r="O109" s="332"/>
      <c r="P109" s="332"/>
      <c r="Q109" s="332"/>
      <c r="R109" s="332"/>
      <c r="S109" s="332"/>
      <c r="T109" s="332"/>
      <c r="U109" s="332"/>
      <c r="V109" s="332"/>
      <c r="W109" s="332"/>
      <c r="X109" s="332"/>
      <c r="Y109" s="156"/>
      <c r="Z109" s="332"/>
      <c r="AA109" s="332"/>
      <c r="AB109" s="156"/>
      <c r="AC109" s="332"/>
      <c r="AD109" s="332"/>
      <c r="AE109" s="332"/>
      <c r="AF109" s="332"/>
      <c r="AG109" s="332"/>
      <c r="AH109" s="332"/>
      <c r="AI109" s="332"/>
      <c r="AJ109" s="332"/>
      <c r="AK109" s="332"/>
      <c r="AL109" s="332"/>
      <c r="AM109" s="332"/>
      <c r="AN109" s="332"/>
      <c r="AO109" s="332"/>
    </row>
    <row r="110" spans="1:41">
      <c r="A110" s="332"/>
      <c r="B110" s="332"/>
      <c r="C110" s="332"/>
      <c r="D110" s="332"/>
      <c r="E110" s="332"/>
      <c r="F110" s="332"/>
      <c r="G110" s="332"/>
      <c r="H110" s="332"/>
      <c r="I110" s="332"/>
      <c r="J110" s="332"/>
      <c r="K110" s="332"/>
      <c r="L110" s="332"/>
      <c r="M110" s="332"/>
      <c r="N110" s="332"/>
      <c r="O110" s="332"/>
      <c r="P110" s="332"/>
      <c r="Q110" s="332"/>
      <c r="R110" s="332"/>
      <c r="S110" s="332"/>
      <c r="T110" s="332"/>
      <c r="U110" s="332"/>
      <c r="V110" s="332"/>
      <c r="W110" s="332"/>
      <c r="X110" s="332"/>
      <c r="Y110" s="156"/>
      <c r="Z110" s="332"/>
      <c r="AA110" s="332"/>
      <c r="AB110" s="156"/>
      <c r="AC110" s="332"/>
      <c r="AD110" s="332"/>
      <c r="AE110" s="332"/>
      <c r="AF110" s="332"/>
      <c r="AG110" s="332"/>
      <c r="AH110" s="332"/>
      <c r="AI110" s="332"/>
      <c r="AJ110" s="332"/>
      <c r="AK110" s="332"/>
      <c r="AL110" s="332"/>
      <c r="AM110" s="332"/>
      <c r="AN110" s="332"/>
      <c r="AO110" s="332"/>
    </row>
    <row r="111" spans="1:41">
      <c r="A111" s="332"/>
      <c r="B111" s="332"/>
      <c r="C111" s="332"/>
      <c r="D111" s="332"/>
      <c r="E111" s="332"/>
      <c r="F111" s="332"/>
      <c r="G111" s="332"/>
      <c r="H111" s="332"/>
      <c r="I111" s="332"/>
      <c r="J111" s="332"/>
      <c r="K111" s="332"/>
      <c r="L111" s="332"/>
      <c r="M111" s="332"/>
      <c r="N111" s="332"/>
      <c r="O111" s="332"/>
      <c r="P111" s="332"/>
      <c r="Q111" s="332"/>
      <c r="R111" s="332"/>
      <c r="S111" s="332"/>
      <c r="T111" s="332"/>
      <c r="U111" s="332"/>
      <c r="V111" s="332"/>
      <c r="W111" s="332"/>
      <c r="X111" s="332"/>
      <c r="Y111" s="156"/>
      <c r="Z111" s="332"/>
      <c r="AA111" s="332"/>
      <c r="AB111" s="332"/>
      <c r="AC111" s="156"/>
      <c r="AD111" s="332"/>
      <c r="AE111" s="332"/>
      <c r="AF111" s="332"/>
      <c r="AG111" s="332"/>
      <c r="AH111" s="332"/>
      <c r="AI111" s="332"/>
      <c r="AJ111" s="332"/>
      <c r="AK111" s="332"/>
      <c r="AL111" s="332"/>
      <c r="AM111" s="332"/>
      <c r="AN111" s="332"/>
      <c r="AO111" s="332"/>
    </row>
    <row r="112" spans="1:41">
      <c r="A112" s="332"/>
      <c r="B112" s="332"/>
      <c r="C112" s="332"/>
      <c r="D112" s="332"/>
      <c r="E112" s="332"/>
      <c r="F112" s="332"/>
      <c r="G112" s="332"/>
      <c r="H112" s="332"/>
      <c r="I112" s="332"/>
      <c r="J112" s="332"/>
      <c r="K112" s="332"/>
      <c r="L112" s="332"/>
      <c r="M112" s="332"/>
      <c r="N112" s="332"/>
      <c r="O112" s="332"/>
      <c r="P112" s="332"/>
      <c r="Q112" s="332"/>
      <c r="R112" s="332"/>
      <c r="S112" s="332"/>
      <c r="T112" s="332"/>
      <c r="U112" s="332"/>
      <c r="V112" s="332"/>
      <c r="W112" s="332"/>
      <c r="X112" s="332"/>
      <c r="Y112" s="332"/>
      <c r="Z112" s="332"/>
      <c r="AA112" s="332"/>
      <c r="AB112" s="332"/>
      <c r="AC112" s="332"/>
      <c r="AD112" s="332"/>
      <c r="AE112" s="332"/>
      <c r="AF112" s="332"/>
      <c r="AG112" s="332"/>
      <c r="AH112" s="332"/>
      <c r="AI112" s="332"/>
      <c r="AJ112" s="332"/>
      <c r="AK112" s="332"/>
      <c r="AL112" s="332"/>
      <c r="AM112" s="332"/>
      <c r="AN112" s="332"/>
      <c r="AO112" s="332"/>
    </row>
    <row r="113" spans="1:41">
      <c r="A113" s="332"/>
      <c r="B113" s="332"/>
      <c r="C113" s="332"/>
      <c r="D113" s="332"/>
      <c r="E113" s="332"/>
      <c r="F113" s="332"/>
      <c r="G113" s="332"/>
      <c r="H113" s="332"/>
      <c r="I113" s="332"/>
      <c r="J113" s="332"/>
      <c r="K113" s="332"/>
      <c r="L113" s="332"/>
      <c r="M113" s="332"/>
      <c r="N113" s="332"/>
      <c r="O113" s="332"/>
      <c r="P113" s="332"/>
      <c r="Q113" s="332"/>
      <c r="R113" s="332"/>
      <c r="S113" s="332"/>
      <c r="T113" s="332"/>
      <c r="U113" s="332"/>
      <c r="V113" s="332"/>
      <c r="W113" s="332"/>
      <c r="X113" s="332"/>
      <c r="Y113" s="156"/>
      <c r="Z113" s="332"/>
      <c r="AA113" s="332"/>
      <c r="AB113" s="332"/>
      <c r="AC113" s="332"/>
      <c r="AD113" s="332"/>
      <c r="AE113" s="332"/>
      <c r="AF113" s="332"/>
      <c r="AG113" s="332"/>
      <c r="AH113" s="332"/>
      <c r="AI113" s="332"/>
      <c r="AJ113" s="332"/>
      <c r="AK113" s="332"/>
      <c r="AL113" s="332"/>
      <c r="AM113" s="332"/>
      <c r="AN113" s="332"/>
      <c r="AO113" s="332"/>
    </row>
    <row r="114" spans="1:41">
      <c r="A114" s="332"/>
      <c r="B114" s="332"/>
      <c r="C114" s="332"/>
      <c r="D114" s="332"/>
      <c r="E114" s="332"/>
      <c r="F114" s="332"/>
      <c r="G114" s="332"/>
      <c r="H114" s="332"/>
      <c r="I114" s="332"/>
      <c r="J114" s="332"/>
      <c r="K114" s="332"/>
      <c r="L114" s="332"/>
      <c r="M114" s="332"/>
      <c r="N114" s="156"/>
      <c r="O114" s="332"/>
      <c r="P114" s="332"/>
      <c r="Q114" s="332"/>
      <c r="R114" s="332"/>
      <c r="S114" s="332"/>
      <c r="T114" s="332"/>
      <c r="U114" s="332"/>
      <c r="V114" s="332"/>
      <c r="W114" s="332"/>
      <c r="X114" s="332"/>
      <c r="Y114" s="156"/>
      <c r="Z114" s="332"/>
      <c r="AA114" s="332"/>
      <c r="AB114" s="156"/>
      <c r="AC114" s="156"/>
      <c r="AD114" s="332"/>
      <c r="AE114" s="332"/>
      <c r="AF114" s="332"/>
      <c r="AG114" s="332"/>
      <c r="AH114" s="332"/>
      <c r="AI114" s="332"/>
      <c r="AJ114" s="332"/>
      <c r="AK114" s="332"/>
      <c r="AL114" s="332"/>
      <c r="AM114" s="332"/>
      <c r="AN114" s="332"/>
      <c r="AO114" s="332"/>
    </row>
    <row r="115" spans="1:41">
      <c r="A115" s="332"/>
      <c r="B115" s="332"/>
      <c r="C115" s="332"/>
      <c r="D115" s="332"/>
      <c r="E115" s="332"/>
      <c r="F115" s="332"/>
      <c r="G115" s="332"/>
      <c r="H115" s="332"/>
      <c r="I115" s="332"/>
      <c r="J115" s="332"/>
      <c r="K115" s="332"/>
      <c r="L115" s="332"/>
      <c r="M115" s="332"/>
      <c r="N115" s="332"/>
      <c r="O115" s="332"/>
      <c r="P115" s="332"/>
      <c r="Q115" s="332"/>
      <c r="R115" s="332"/>
      <c r="S115" s="332"/>
      <c r="T115" s="332"/>
      <c r="U115" s="332"/>
      <c r="V115" s="332"/>
      <c r="W115" s="332"/>
      <c r="X115" s="332"/>
      <c r="Y115" s="156"/>
      <c r="Z115" s="332"/>
      <c r="AA115" s="332"/>
      <c r="AB115" s="156"/>
      <c r="AC115" s="332"/>
      <c r="AD115" s="332"/>
      <c r="AE115" s="332"/>
      <c r="AF115" s="332"/>
      <c r="AG115" s="332"/>
      <c r="AH115" s="332"/>
      <c r="AI115" s="332"/>
      <c r="AJ115" s="332"/>
      <c r="AK115" s="332"/>
      <c r="AL115" s="332"/>
      <c r="AM115" s="332"/>
      <c r="AN115" s="332"/>
      <c r="AO115" s="332"/>
    </row>
    <row r="116" spans="1:41">
      <c r="A116" s="332"/>
      <c r="B116" s="332"/>
      <c r="C116" s="332"/>
      <c r="D116" s="332"/>
      <c r="E116" s="332"/>
      <c r="F116" s="332"/>
      <c r="G116" s="332"/>
      <c r="H116" s="332"/>
      <c r="I116" s="332"/>
      <c r="J116" s="332"/>
      <c r="K116" s="332"/>
      <c r="L116" s="332"/>
      <c r="M116" s="332"/>
      <c r="N116" s="156"/>
      <c r="O116" s="332"/>
      <c r="P116" s="332"/>
      <c r="Q116" s="332"/>
      <c r="R116" s="332"/>
      <c r="S116" s="332"/>
      <c r="T116" s="332"/>
      <c r="U116" s="332"/>
      <c r="V116" s="332"/>
      <c r="W116" s="332"/>
      <c r="X116" s="332"/>
      <c r="Y116" s="156"/>
      <c r="Z116" s="332"/>
      <c r="AA116" s="332"/>
      <c r="AB116" s="156"/>
      <c r="AC116" s="156"/>
      <c r="AD116" s="332"/>
      <c r="AE116" s="332"/>
      <c r="AF116" s="332"/>
      <c r="AG116" s="332"/>
      <c r="AH116" s="332"/>
      <c r="AI116" s="332"/>
      <c r="AJ116" s="332"/>
      <c r="AK116" s="332"/>
      <c r="AL116" s="332"/>
      <c r="AM116" s="332"/>
      <c r="AN116" s="332"/>
      <c r="AO116" s="332"/>
    </row>
    <row r="117" spans="1:41">
      <c r="A117" s="332"/>
      <c r="B117" s="332"/>
      <c r="C117" s="332"/>
      <c r="D117" s="332"/>
      <c r="E117" s="332"/>
      <c r="F117" s="332"/>
      <c r="G117" s="332"/>
      <c r="H117" s="332"/>
      <c r="I117" s="332"/>
      <c r="J117" s="332"/>
      <c r="K117" s="332"/>
      <c r="L117" s="332"/>
      <c r="M117" s="332"/>
      <c r="N117" s="332"/>
      <c r="O117" s="332"/>
      <c r="P117" s="332"/>
      <c r="Q117" s="332"/>
      <c r="R117" s="332"/>
      <c r="S117" s="332"/>
      <c r="T117" s="332"/>
      <c r="U117" s="332"/>
      <c r="V117" s="332"/>
      <c r="W117" s="332"/>
      <c r="X117" s="332"/>
      <c r="Y117" s="156"/>
      <c r="Z117" s="332"/>
      <c r="AA117" s="332"/>
      <c r="AB117" s="332"/>
      <c r="AC117" s="332"/>
      <c r="AD117" s="332"/>
      <c r="AE117" s="332"/>
      <c r="AF117" s="156"/>
      <c r="AG117" s="332"/>
      <c r="AH117" s="332"/>
      <c r="AI117" s="332"/>
      <c r="AJ117" s="332"/>
      <c r="AK117" s="332"/>
      <c r="AL117" s="332"/>
      <c r="AM117" s="332"/>
      <c r="AN117" s="332"/>
      <c r="AO117" s="332"/>
    </row>
    <row r="118" spans="1:41">
      <c r="A118" s="332"/>
      <c r="B118" s="332"/>
      <c r="C118" s="332"/>
      <c r="D118" s="332"/>
      <c r="E118" s="332"/>
      <c r="F118" s="332"/>
      <c r="G118" s="332"/>
      <c r="H118" s="332"/>
      <c r="I118" s="332"/>
      <c r="J118" s="332"/>
      <c r="K118" s="332"/>
      <c r="L118" s="332"/>
      <c r="M118" s="332"/>
      <c r="N118" s="156"/>
      <c r="O118" s="332"/>
      <c r="P118" s="332"/>
      <c r="Q118" s="332"/>
      <c r="R118" s="332"/>
      <c r="S118" s="332"/>
      <c r="T118" s="332"/>
      <c r="U118" s="332"/>
      <c r="V118" s="332"/>
      <c r="W118" s="332"/>
      <c r="X118" s="332"/>
      <c r="Y118" s="156"/>
      <c r="Z118" s="332"/>
      <c r="AA118" s="332"/>
      <c r="AB118" s="332"/>
      <c r="AC118" s="156"/>
      <c r="AD118" s="332"/>
      <c r="AE118" s="332"/>
      <c r="AF118" s="332"/>
      <c r="AG118" s="332"/>
      <c r="AH118" s="332"/>
      <c r="AI118" s="332"/>
      <c r="AJ118" s="332"/>
      <c r="AK118" s="332"/>
      <c r="AL118" s="332"/>
      <c r="AM118" s="332"/>
      <c r="AN118" s="332"/>
      <c r="AO118" s="332"/>
    </row>
    <row r="119" spans="1:41">
      <c r="A119" s="332"/>
      <c r="B119" s="332"/>
      <c r="C119" s="332"/>
      <c r="D119" s="332"/>
      <c r="E119" s="332"/>
      <c r="F119" s="332"/>
      <c r="G119" s="332"/>
      <c r="H119" s="332"/>
      <c r="I119" s="332"/>
      <c r="J119" s="332"/>
      <c r="K119" s="332"/>
      <c r="L119" s="332"/>
      <c r="M119" s="332"/>
      <c r="N119" s="156"/>
      <c r="O119" s="332"/>
      <c r="P119" s="332"/>
      <c r="Q119" s="332"/>
      <c r="R119" s="332"/>
      <c r="S119" s="332"/>
      <c r="T119" s="332"/>
      <c r="U119" s="332"/>
      <c r="V119" s="332"/>
      <c r="W119" s="332"/>
      <c r="X119" s="332"/>
      <c r="Y119" s="332"/>
      <c r="Z119" s="332"/>
      <c r="AA119" s="332"/>
      <c r="AB119" s="156"/>
      <c r="AC119" s="156"/>
      <c r="AD119" s="332"/>
      <c r="AE119" s="332"/>
      <c r="AF119" s="332"/>
      <c r="AG119" s="332"/>
      <c r="AH119" s="332"/>
      <c r="AI119" s="332"/>
      <c r="AJ119" s="332"/>
      <c r="AK119" s="332"/>
      <c r="AL119" s="332"/>
      <c r="AM119" s="332"/>
      <c r="AN119" s="332"/>
      <c r="AO119" s="332"/>
    </row>
    <row r="120" spans="1:41">
      <c r="A120" s="332"/>
      <c r="B120" s="332"/>
      <c r="C120" s="332"/>
      <c r="D120" s="332"/>
      <c r="E120" s="332"/>
      <c r="F120" s="332"/>
      <c r="G120" s="332"/>
      <c r="H120" s="332"/>
      <c r="I120" s="332"/>
      <c r="J120" s="332"/>
      <c r="K120" s="332"/>
      <c r="L120" s="332"/>
      <c r="M120" s="332"/>
      <c r="N120" s="156"/>
      <c r="O120" s="332"/>
      <c r="P120" s="332"/>
      <c r="Q120" s="332"/>
      <c r="R120" s="332"/>
      <c r="S120" s="332"/>
      <c r="T120" s="332"/>
      <c r="U120" s="332"/>
      <c r="V120" s="332"/>
      <c r="W120" s="332"/>
      <c r="X120" s="332"/>
      <c r="Y120" s="156"/>
      <c r="Z120" s="332"/>
      <c r="AA120" s="332"/>
      <c r="AB120" s="332"/>
      <c r="AC120" s="332"/>
      <c r="AD120" s="332"/>
      <c r="AE120" s="332"/>
      <c r="AF120" s="156"/>
      <c r="AG120" s="332"/>
      <c r="AH120" s="332"/>
      <c r="AI120" s="332"/>
      <c r="AJ120" s="332"/>
      <c r="AK120" s="332"/>
      <c r="AL120" s="332"/>
      <c r="AM120" s="332"/>
      <c r="AN120" s="332"/>
      <c r="AO120" s="332"/>
    </row>
    <row r="121" spans="1:41">
      <c r="A121" s="332"/>
      <c r="B121" s="332"/>
      <c r="C121" s="332"/>
      <c r="D121" s="332"/>
      <c r="E121" s="332"/>
      <c r="F121" s="332"/>
      <c r="G121" s="332"/>
      <c r="H121" s="332"/>
      <c r="I121" s="332"/>
      <c r="J121" s="332"/>
      <c r="K121" s="332"/>
      <c r="L121" s="332"/>
      <c r="M121" s="332"/>
      <c r="N121" s="332"/>
      <c r="O121" s="332"/>
      <c r="P121" s="332"/>
      <c r="Q121" s="332"/>
      <c r="R121" s="332"/>
      <c r="S121" s="332"/>
      <c r="T121" s="332"/>
      <c r="U121" s="332"/>
      <c r="V121" s="332"/>
      <c r="W121" s="332"/>
      <c r="X121" s="332"/>
      <c r="Y121" s="156"/>
      <c r="Z121" s="332"/>
      <c r="AA121" s="332"/>
      <c r="AB121" s="156"/>
      <c r="AC121" s="332"/>
      <c r="AD121" s="332"/>
      <c r="AE121" s="332"/>
      <c r="AF121" s="332"/>
      <c r="AG121" s="332"/>
      <c r="AH121" s="332"/>
      <c r="AI121" s="332"/>
      <c r="AJ121" s="332"/>
      <c r="AK121" s="332"/>
      <c r="AL121" s="332"/>
      <c r="AM121" s="332"/>
      <c r="AN121" s="332"/>
      <c r="AO121" s="332"/>
    </row>
    <row r="122" spans="1:41">
      <c r="A122" s="332"/>
      <c r="B122" s="332"/>
      <c r="C122" s="332"/>
      <c r="D122" s="332"/>
      <c r="E122" s="332"/>
      <c r="F122" s="332"/>
      <c r="G122" s="332"/>
      <c r="H122" s="332"/>
      <c r="I122" s="332"/>
      <c r="J122" s="332"/>
      <c r="K122" s="332"/>
      <c r="L122" s="332"/>
      <c r="M122" s="332"/>
      <c r="N122" s="332"/>
      <c r="O122" s="332"/>
      <c r="P122" s="332"/>
      <c r="Q122" s="332"/>
      <c r="R122" s="332"/>
      <c r="S122" s="332"/>
      <c r="T122" s="332"/>
      <c r="U122" s="332"/>
      <c r="V122" s="332"/>
      <c r="W122" s="332"/>
      <c r="X122" s="332"/>
      <c r="Y122" s="332"/>
      <c r="Z122" s="332"/>
      <c r="AA122" s="332"/>
      <c r="AB122" s="156"/>
      <c r="AC122" s="332"/>
      <c r="AD122" s="332"/>
      <c r="AE122" s="332"/>
      <c r="AF122" s="332"/>
      <c r="AG122" s="332"/>
      <c r="AH122" s="332"/>
      <c r="AI122" s="332"/>
      <c r="AJ122" s="332"/>
      <c r="AK122" s="332"/>
      <c r="AL122" s="332"/>
      <c r="AM122" s="332"/>
      <c r="AN122" s="332"/>
      <c r="AO122" s="332"/>
    </row>
    <row r="123" spans="1:41">
      <c r="A123" s="332"/>
      <c r="B123" s="332"/>
      <c r="C123" s="332"/>
      <c r="D123" s="332"/>
      <c r="E123" s="332"/>
      <c r="F123" s="332"/>
      <c r="G123" s="332"/>
      <c r="H123" s="332"/>
      <c r="I123" s="332"/>
      <c r="J123" s="332"/>
      <c r="K123" s="332"/>
      <c r="L123" s="332"/>
      <c r="M123" s="332"/>
      <c r="N123" s="156"/>
      <c r="O123" s="332"/>
      <c r="P123" s="332"/>
      <c r="Q123" s="332"/>
      <c r="R123" s="332"/>
      <c r="S123" s="332"/>
      <c r="T123" s="332"/>
      <c r="U123" s="332"/>
      <c r="V123" s="332"/>
      <c r="W123" s="332"/>
      <c r="X123" s="332"/>
      <c r="Y123" s="156"/>
      <c r="Z123" s="332"/>
      <c r="AA123" s="332"/>
      <c r="AB123" s="156"/>
      <c r="AC123" s="332"/>
      <c r="AD123" s="332"/>
      <c r="AE123" s="332"/>
      <c r="AF123" s="332"/>
      <c r="AG123" s="332"/>
      <c r="AH123" s="332"/>
      <c r="AI123" s="332"/>
      <c r="AJ123" s="332"/>
      <c r="AK123" s="332"/>
      <c r="AL123" s="332"/>
      <c r="AM123" s="332"/>
      <c r="AN123" s="332"/>
      <c r="AO123" s="332"/>
    </row>
    <row r="124" spans="1:41">
      <c r="A124" s="332"/>
      <c r="B124" s="332"/>
      <c r="C124" s="332"/>
      <c r="D124" s="332"/>
      <c r="E124" s="332"/>
      <c r="F124" s="332"/>
      <c r="G124" s="332"/>
      <c r="H124" s="332"/>
      <c r="I124" s="332"/>
      <c r="J124" s="332"/>
      <c r="K124" s="332"/>
      <c r="L124" s="332"/>
      <c r="M124" s="332"/>
      <c r="N124" s="332"/>
      <c r="O124" s="332"/>
      <c r="P124" s="332"/>
      <c r="Q124" s="332"/>
      <c r="R124" s="332"/>
      <c r="S124" s="332"/>
      <c r="T124" s="332"/>
      <c r="U124" s="332"/>
      <c r="V124" s="332"/>
      <c r="W124" s="332"/>
      <c r="X124" s="332"/>
      <c r="Y124" s="156"/>
      <c r="Z124" s="332"/>
      <c r="AA124" s="332"/>
      <c r="AB124" s="156"/>
      <c r="AC124" s="156"/>
      <c r="AD124" s="332"/>
      <c r="AE124" s="332"/>
      <c r="AF124" s="156"/>
      <c r="AG124" s="332"/>
      <c r="AH124" s="332"/>
      <c r="AI124" s="332"/>
      <c r="AJ124" s="332"/>
      <c r="AK124" s="332"/>
      <c r="AL124" s="332"/>
      <c r="AM124" s="332"/>
      <c r="AN124" s="332"/>
      <c r="AO124" s="332"/>
    </row>
    <row r="125" spans="1:41">
      <c r="A125" s="332"/>
      <c r="B125" s="332"/>
      <c r="C125" s="332"/>
      <c r="D125" s="332"/>
      <c r="E125" s="332"/>
      <c r="F125" s="332"/>
      <c r="G125" s="332"/>
      <c r="H125" s="332"/>
      <c r="I125" s="332"/>
      <c r="J125" s="332"/>
      <c r="K125" s="332"/>
      <c r="L125" s="332"/>
      <c r="M125" s="332"/>
      <c r="N125" s="156"/>
      <c r="O125" s="332"/>
      <c r="P125" s="332"/>
      <c r="Q125" s="332"/>
      <c r="R125" s="332"/>
      <c r="S125" s="332"/>
      <c r="T125" s="332"/>
      <c r="U125" s="332"/>
      <c r="V125" s="332"/>
      <c r="W125" s="332"/>
      <c r="X125" s="332"/>
      <c r="Y125" s="156"/>
      <c r="Z125" s="332"/>
      <c r="AA125" s="332"/>
      <c r="AB125" s="156"/>
      <c r="AC125" s="332"/>
      <c r="AD125" s="332"/>
      <c r="AE125" s="332"/>
      <c r="AF125" s="332"/>
      <c r="AG125" s="332"/>
      <c r="AH125" s="332"/>
      <c r="AI125" s="332"/>
      <c r="AJ125" s="332"/>
      <c r="AK125" s="332"/>
      <c r="AL125" s="332"/>
      <c r="AM125" s="332"/>
      <c r="AN125" s="332"/>
      <c r="AO125" s="332"/>
    </row>
    <row r="126" spans="1:41">
      <c r="A126" s="332"/>
      <c r="B126" s="332"/>
      <c r="C126" s="332"/>
      <c r="D126" s="332"/>
      <c r="E126" s="332"/>
      <c r="F126" s="332"/>
      <c r="G126" s="332"/>
      <c r="H126" s="332"/>
      <c r="I126" s="332"/>
      <c r="J126" s="332"/>
      <c r="K126" s="332"/>
      <c r="L126" s="332"/>
      <c r="M126" s="332"/>
      <c r="N126" s="332"/>
      <c r="O126" s="332"/>
      <c r="P126" s="332"/>
      <c r="Q126" s="332"/>
      <c r="R126" s="332"/>
      <c r="S126" s="332"/>
      <c r="T126" s="332"/>
      <c r="U126" s="332"/>
      <c r="V126" s="332"/>
      <c r="W126" s="332"/>
      <c r="X126" s="332"/>
      <c r="Y126" s="332"/>
      <c r="Z126" s="332"/>
      <c r="AA126" s="332"/>
      <c r="AB126" s="156"/>
      <c r="AC126" s="332"/>
      <c r="AD126" s="332"/>
      <c r="AE126" s="332"/>
      <c r="AF126" s="332"/>
      <c r="AG126" s="332"/>
      <c r="AH126" s="332"/>
      <c r="AI126" s="332"/>
      <c r="AJ126" s="332"/>
      <c r="AK126" s="332"/>
      <c r="AL126" s="332"/>
      <c r="AM126" s="332"/>
      <c r="AN126" s="332"/>
      <c r="AO126" s="332"/>
    </row>
    <row r="127" spans="1:41">
      <c r="A127" s="332"/>
      <c r="B127" s="332"/>
      <c r="C127" s="332"/>
      <c r="D127" s="332"/>
      <c r="E127" s="332"/>
      <c r="F127" s="332"/>
      <c r="G127" s="332"/>
      <c r="H127" s="332"/>
      <c r="I127" s="332"/>
      <c r="J127" s="332"/>
      <c r="K127" s="332"/>
      <c r="L127" s="332"/>
      <c r="M127" s="332"/>
      <c r="N127" s="332"/>
      <c r="O127" s="332"/>
      <c r="P127" s="332"/>
      <c r="Q127" s="332"/>
      <c r="R127" s="332"/>
      <c r="S127" s="332"/>
      <c r="T127" s="332"/>
      <c r="U127" s="332"/>
      <c r="V127" s="332"/>
      <c r="W127" s="332"/>
      <c r="X127" s="332"/>
      <c r="Y127" s="332"/>
      <c r="Z127" s="332"/>
      <c r="AA127" s="332"/>
      <c r="AB127" s="156"/>
      <c r="AC127" s="156"/>
      <c r="AD127" s="332"/>
      <c r="AE127" s="332"/>
      <c r="AF127" s="332"/>
      <c r="AG127" s="332"/>
      <c r="AH127" s="332"/>
      <c r="AI127" s="332"/>
      <c r="AJ127" s="332"/>
      <c r="AK127" s="332"/>
      <c r="AL127" s="332"/>
      <c r="AM127" s="332"/>
      <c r="AN127" s="332"/>
      <c r="AO127" s="332"/>
    </row>
    <row r="128" spans="1:41">
      <c r="A128" s="332"/>
      <c r="B128" s="332"/>
      <c r="C128" s="156"/>
      <c r="D128" s="332"/>
      <c r="E128" s="332"/>
      <c r="F128" s="332"/>
      <c r="G128" s="332"/>
      <c r="H128" s="332"/>
      <c r="I128" s="332"/>
      <c r="J128" s="332"/>
      <c r="K128" s="332"/>
      <c r="L128" s="332"/>
      <c r="M128" s="332"/>
      <c r="N128" s="332"/>
      <c r="O128" s="332"/>
      <c r="P128" s="332"/>
      <c r="Q128" s="332"/>
      <c r="R128" s="332"/>
      <c r="S128" s="332"/>
      <c r="T128" s="332"/>
      <c r="U128" s="332"/>
      <c r="V128" s="332"/>
      <c r="W128" s="332"/>
      <c r="X128" s="332"/>
      <c r="Y128" s="156"/>
      <c r="Z128" s="332"/>
      <c r="AA128" s="332"/>
      <c r="AB128" s="156"/>
      <c r="AC128" s="156"/>
      <c r="AD128" s="332"/>
      <c r="AE128" s="332"/>
      <c r="AF128" s="332"/>
      <c r="AG128" s="332"/>
      <c r="AH128" s="332"/>
      <c r="AI128" s="332"/>
      <c r="AJ128" s="332"/>
      <c r="AK128" s="332"/>
      <c r="AL128" s="332"/>
      <c r="AM128" s="332"/>
      <c r="AN128" s="332"/>
      <c r="AO128" s="332"/>
    </row>
    <row r="129" spans="1:41">
      <c r="A129" s="332"/>
      <c r="B129" s="332"/>
      <c r="C129" s="332"/>
      <c r="D129" s="332"/>
      <c r="E129" s="332"/>
      <c r="F129" s="332"/>
      <c r="G129" s="332"/>
      <c r="H129" s="332"/>
      <c r="I129" s="332"/>
      <c r="J129" s="332"/>
      <c r="K129" s="332"/>
      <c r="L129" s="332"/>
      <c r="M129" s="332"/>
      <c r="N129" s="332"/>
      <c r="O129" s="332"/>
      <c r="P129" s="332"/>
      <c r="Q129" s="332"/>
      <c r="R129" s="332"/>
      <c r="S129" s="332"/>
      <c r="T129" s="332"/>
      <c r="U129" s="332"/>
      <c r="V129" s="156"/>
      <c r="W129" s="332"/>
      <c r="X129" s="332"/>
      <c r="Y129" s="332"/>
      <c r="Z129" s="332"/>
      <c r="AA129" s="332"/>
      <c r="AB129" s="156"/>
      <c r="AC129" s="156"/>
      <c r="AD129" s="332"/>
      <c r="AE129" s="332"/>
      <c r="AF129" s="156"/>
      <c r="AG129" s="332"/>
      <c r="AH129" s="332"/>
      <c r="AI129" s="332"/>
      <c r="AJ129" s="332"/>
      <c r="AK129" s="332"/>
      <c r="AL129" s="332"/>
      <c r="AM129" s="332"/>
      <c r="AN129" s="332"/>
      <c r="AO129" s="332"/>
    </row>
    <row r="130" spans="1:41">
      <c r="A130" s="332"/>
      <c r="B130" s="332"/>
      <c r="C130" s="332"/>
      <c r="D130" s="332"/>
      <c r="E130" s="332"/>
      <c r="F130" s="332"/>
      <c r="G130" s="332"/>
      <c r="H130" s="332"/>
      <c r="I130" s="332"/>
      <c r="J130" s="332"/>
      <c r="K130" s="332"/>
      <c r="L130" s="332"/>
      <c r="M130" s="332"/>
      <c r="N130" s="332"/>
      <c r="O130" s="332"/>
      <c r="P130" s="332"/>
      <c r="Q130" s="332"/>
      <c r="R130" s="332"/>
      <c r="S130" s="332"/>
      <c r="T130" s="332"/>
      <c r="U130" s="332"/>
      <c r="V130" s="332"/>
      <c r="W130" s="332"/>
      <c r="X130" s="332"/>
      <c r="Y130" s="156"/>
      <c r="Z130" s="332"/>
      <c r="AA130" s="332"/>
      <c r="AB130" s="156"/>
      <c r="AC130" s="332"/>
      <c r="AD130" s="332"/>
      <c r="AE130" s="332"/>
      <c r="AF130" s="156"/>
      <c r="AG130" s="332"/>
      <c r="AH130" s="332"/>
      <c r="AI130" s="332"/>
      <c r="AJ130" s="332"/>
      <c r="AK130" s="332"/>
      <c r="AL130" s="332"/>
      <c r="AM130" s="332"/>
      <c r="AN130" s="332"/>
      <c r="AO130" s="332"/>
    </row>
    <row r="131" spans="1:41">
      <c r="A131" s="332"/>
      <c r="B131" s="332"/>
      <c r="C131" s="332"/>
      <c r="D131" s="332"/>
      <c r="E131" s="332"/>
      <c r="F131" s="332"/>
      <c r="G131" s="332"/>
      <c r="H131" s="332"/>
      <c r="I131" s="332"/>
      <c r="J131" s="332"/>
      <c r="K131" s="332"/>
      <c r="L131" s="332"/>
      <c r="M131" s="332"/>
      <c r="N131" s="156"/>
      <c r="O131" s="332"/>
      <c r="P131" s="332"/>
      <c r="Q131" s="332"/>
      <c r="R131" s="332"/>
      <c r="S131" s="332"/>
      <c r="T131" s="332"/>
      <c r="U131" s="332"/>
      <c r="V131" s="332"/>
      <c r="W131" s="332"/>
      <c r="X131" s="332"/>
      <c r="Y131" s="156"/>
      <c r="Z131" s="332"/>
      <c r="AA131" s="332"/>
      <c r="AB131" s="156"/>
      <c r="AC131" s="156"/>
      <c r="AD131" s="332"/>
      <c r="AE131" s="332"/>
      <c r="AF131" s="332"/>
      <c r="AG131" s="332"/>
      <c r="AH131" s="332"/>
      <c r="AI131" s="332"/>
      <c r="AJ131" s="332"/>
      <c r="AK131" s="332"/>
      <c r="AL131" s="332"/>
      <c r="AM131" s="332"/>
      <c r="AN131" s="332"/>
      <c r="AO131" s="332"/>
    </row>
    <row r="132" spans="1:41">
      <c r="A132" s="332"/>
      <c r="B132" s="332"/>
      <c r="C132" s="332"/>
      <c r="D132" s="332"/>
      <c r="E132" s="332"/>
      <c r="F132" s="332"/>
      <c r="G132" s="332"/>
      <c r="H132" s="332"/>
      <c r="I132" s="332"/>
      <c r="J132" s="332"/>
      <c r="K132" s="332"/>
      <c r="L132" s="332"/>
      <c r="M132" s="332"/>
      <c r="N132" s="332"/>
      <c r="O132" s="332"/>
      <c r="P132" s="332"/>
      <c r="Q132" s="332"/>
      <c r="R132" s="332"/>
      <c r="S132" s="332"/>
      <c r="T132" s="332"/>
      <c r="U132" s="332"/>
      <c r="V132" s="332"/>
      <c r="W132" s="332"/>
      <c r="X132" s="332"/>
      <c r="Y132" s="332"/>
      <c r="Z132" s="332"/>
      <c r="AA132" s="332"/>
      <c r="AB132" s="332"/>
      <c r="AC132" s="332"/>
      <c r="AD132" s="332"/>
      <c r="AE132" s="156"/>
      <c r="AF132" s="332"/>
      <c r="AG132" s="332"/>
      <c r="AH132" s="332"/>
      <c r="AI132" s="332"/>
      <c r="AJ132" s="332"/>
      <c r="AK132" s="332"/>
      <c r="AL132" s="332"/>
      <c r="AM132" s="332"/>
      <c r="AN132" s="332"/>
      <c r="AO132" s="332"/>
    </row>
    <row r="133" spans="1:41">
      <c r="A133" s="332"/>
      <c r="B133" s="332"/>
      <c r="C133" s="332"/>
      <c r="D133" s="332"/>
      <c r="E133" s="332"/>
      <c r="F133" s="332"/>
      <c r="G133" s="332"/>
      <c r="H133" s="332"/>
      <c r="I133" s="332"/>
      <c r="J133" s="332"/>
      <c r="K133" s="332"/>
      <c r="L133" s="332"/>
      <c r="M133" s="332"/>
      <c r="N133" s="156"/>
      <c r="O133" s="332"/>
      <c r="P133" s="332"/>
      <c r="Q133" s="332"/>
      <c r="R133" s="332"/>
      <c r="S133" s="332"/>
      <c r="T133" s="332"/>
      <c r="U133" s="332"/>
      <c r="V133" s="332"/>
      <c r="W133" s="332"/>
      <c r="X133" s="332"/>
      <c r="Y133" s="332"/>
      <c r="Z133" s="332"/>
      <c r="AA133" s="332"/>
      <c r="AB133" s="156"/>
      <c r="AC133" s="156"/>
      <c r="AD133" s="332"/>
      <c r="AE133" s="332"/>
      <c r="AF133" s="332"/>
      <c r="AG133" s="332"/>
      <c r="AH133" s="332"/>
      <c r="AI133" s="332"/>
      <c r="AJ133" s="332"/>
      <c r="AK133" s="332"/>
      <c r="AL133" s="332"/>
      <c r="AM133" s="332"/>
      <c r="AN133" s="332"/>
      <c r="AO133" s="332"/>
    </row>
    <row r="134" spans="1:41">
      <c r="A134" s="332"/>
      <c r="B134" s="332"/>
      <c r="C134" s="332"/>
      <c r="D134" s="332"/>
      <c r="E134" s="332"/>
      <c r="F134" s="332"/>
      <c r="G134" s="332"/>
      <c r="H134" s="332"/>
      <c r="I134" s="332"/>
      <c r="J134" s="332"/>
      <c r="K134" s="332"/>
      <c r="L134" s="332"/>
      <c r="M134" s="332"/>
      <c r="N134" s="156"/>
      <c r="O134" s="332"/>
      <c r="P134" s="332"/>
      <c r="Q134" s="332"/>
      <c r="R134" s="332"/>
      <c r="S134" s="332"/>
      <c r="T134" s="332"/>
      <c r="U134" s="332"/>
      <c r="V134" s="332"/>
      <c r="W134" s="332"/>
      <c r="X134" s="332"/>
      <c r="Y134" s="156"/>
      <c r="Z134" s="332"/>
      <c r="AA134" s="332"/>
      <c r="AB134" s="156"/>
      <c r="AC134" s="156"/>
      <c r="AD134" s="332"/>
      <c r="AE134" s="332"/>
      <c r="AF134" s="332"/>
      <c r="AG134" s="332"/>
      <c r="AH134" s="332"/>
      <c r="AI134" s="332"/>
      <c r="AJ134" s="332"/>
      <c r="AK134" s="332"/>
      <c r="AL134" s="332"/>
      <c r="AM134" s="332"/>
      <c r="AN134" s="332"/>
      <c r="AO134" s="332"/>
    </row>
    <row r="135" spans="1:41">
      <c r="A135" s="332"/>
      <c r="B135" s="332"/>
      <c r="C135" s="332"/>
      <c r="D135" s="332"/>
      <c r="E135" s="332"/>
      <c r="F135" s="332"/>
      <c r="G135" s="332"/>
      <c r="H135" s="332"/>
      <c r="I135" s="332"/>
      <c r="J135" s="332"/>
      <c r="K135" s="332"/>
      <c r="L135" s="332"/>
      <c r="M135" s="332"/>
      <c r="N135" s="156"/>
      <c r="O135" s="332"/>
      <c r="P135" s="332"/>
      <c r="Q135" s="332"/>
      <c r="R135" s="332"/>
      <c r="S135" s="332"/>
      <c r="T135" s="332"/>
      <c r="U135" s="332"/>
      <c r="V135" s="332"/>
      <c r="W135" s="332"/>
      <c r="X135" s="332"/>
      <c r="Y135" s="156"/>
      <c r="Z135" s="332"/>
      <c r="AA135" s="332"/>
      <c r="AB135" s="332"/>
      <c r="AC135" s="332"/>
      <c r="AD135" s="332"/>
      <c r="AE135" s="332"/>
      <c r="AF135" s="332"/>
      <c r="AG135" s="332"/>
      <c r="AH135" s="332"/>
      <c r="AI135" s="332"/>
      <c r="AJ135" s="332"/>
      <c r="AK135" s="332"/>
      <c r="AL135" s="332"/>
      <c r="AM135" s="332"/>
      <c r="AN135" s="332"/>
      <c r="AO135" s="332"/>
    </row>
    <row r="136" spans="1:41">
      <c r="A136" s="332"/>
      <c r="B136" s="332"/>
      <c r="C136" s="156"/>
      <c r="D136" s="332"/>
      <c r="E136" s="332"/>
      <c r="F136" s="332"/>
      <c r="G136" s="332"/>
      <c r="H136" s="332"/>
      <c r="I136" s="332"/>
      <c r="J136" s="332"/>
      <c r="K136" s="332"/>
      <c r="L136" s="332"/>
      <c r="M136" s="332"/>
      <c r="N136" s="156"/>
      <c r="O136" s="332"/>
      <c r="P136" s="332"/>
      <c r="Q136" s="332"/>
      <c r="R136" s="332"/>
      <c r="S136" s="332"/>
      <c r="T136" s="332"/>
      <c r="U136" s="332"/>
      <c r="V136" s="332"/>
      <c r="W136" s="332"/>
      <c r="X136" s="332"/>
      <c r="Y136" s="156"/>
      <c r="Z136" s="332"/>
      <c r="AA136" s="332"/>
      <c r="AB136" s="332"/>
      <c r="AC136" s="332"/>
      <c r="AD136" s="332"/>
      <c r="AE136" s="332"/>
      <c r="AF136" s="156"/>
      <c r="AG136" s="332"/>
      <c r="AH136" s="332"/>
      <c r="AI136" s="332"/>
      <c r="AJ136" s="332"/>
      <c r="AK136" s="332"/>
      <c r="AL136" s="332"/>
      <c r="AM136" s="332"/>
      <c r="AN136" s="332"/>
      <c r="AO136" s="332"/>
    </row>
    <row r="137" spans="1:41">
      <c r="A137" s="332"/>
      <c r="B137" s="332"/>
      <c r="C137" s="332"/>
      <c r="D137" s="332"/>
      <c r="E137" s="332"/>
      <c r="F137" s="332"/>
      <c r="G137" s="332"/>
      <c r="H137" s="332"/>
      <c r="I137" s="332"/>
      <c r="J137" s="332"/>
      <c r="K137" s="332"/>
      <c r="L137" s="332"/>
      <c r="M137" s="332"/>
      <c r="N137" s="332"/>
      <c r="O137" s="332"/>
      <c r="P137" s="332"/>
      <c r="Q137" s="332"/>
      <c r="R137" s="332"/>
      <c r="S137" s="332"/>
      <c r="T137" s="332"/>
      <c r="U137" s="332"/>
      <c r="V137" s="332"/>
      <c r="W137" s="332"/>
      <c r="X137" s="332"/>
      <c r="Y137" s="332"/>
      <c r="Z137" s="332"/>
      <c r="AA137" s="332"/>
      <c r="AB137" s="156"/>
      <c r="AC137" s="332"/>
      <c r="AD137" s="332"/>
      <c r="AE137" s="332"/>
      <c r="AF137" s="332"/>
      <c r="AG137" s="332"/>
      <c r="AH137" s="332"/>
      <c r="AI137" s="332"/>
      <c r="AJ137" s="332"/>
      <c r="AK137" s="332"/>
      <c r="AL137" s="332"/>
      <c r="AM137" s="332"/>
      <c r="AN137" s="332"/>
      <c r="AO137" s="332"/>
    </row>
    <row r="138" spans="1:41">
      <c r="A138" s="332"/>
      <c r="B138" s="332"/>
      <c r="C138" s="332"/>
      <c r="D138" s="332"/>
      <c r="E138" s="332"/>
      <c r="F138" s="332"/>
      <c r="G138" s="332"/>
      <c r="H138" s="332"/>
      <c r="I138" s="332"/>
      <c r="J138" s="332"/>
      <c r="K138" s="332"/>
      <c r="L138" s="332"/>
      <c r="M138" s="332"/>
      <c r="N138" s="156"/>
      <c r="O138" s="332"/>
      <c r="P138" s="332"/>
      <c r="Q138" s="332"/>
      <c r="R138" s="332"/>
      <c r="S138" s="332"/>
      <c r="T138" s="332"/>
      <c r="U138" s="332"/>
      <c r="V138" s="332"/>
      <c r="W138" s="332"/>
      <c r="X138" s="332"/>
      <c r="Y138" s="156"/>
      <c r="Z138" s="332"/>
      <c r="AA138" s="332"/>
      <c r="AB138" s="332"/>
      <c r="AC138" s="156"/>
      <c r="AD138" s="332"/>
      <c r="AE138" s="332"/>
      <c r="AF138" s="332"/>
      <c r="AG138" s="332"/>
      <c r="AH138" s="332"/>
      <c r="AI138" s="332"/>
      <c r="AJ138" s="332"/>
      <c r="AK138" s="332"/>
      <c r="AL138" s="332"/>
      <c r="AM138" s="332"/>
      <c r="AN138" s="332"/>
      <c r="AO138" s="332"/>
    </row>
    <row r="139" spans="1:41">
      <c r="A139" s="332"/>
      <c r="B139" s="332"/>
      <c r="C139" s="332"/>
      <c r="D139" s="332"/>
      <c r="E139" s="332"/>
      <c r="F139" s="332"/>
      <c r="G139" s="332"/>
      <c r="H139" s="332"/>
      <c r="I139" s="332"/>
      <c r="J139" s="332"/>
      <c r="K139" s="332"/>
      <c r="L139" s="332"/>
      <c r="M139" s="332"/>
      <c r="N139" s="332"/>
      <c r="O139" s="332"/>
      <c r="P139" s="332"/>
      <c r="Q139" s="332"/>
      <c r="R139" s="332"/>
      <c r="S139" s="332"/>
      <c r="T139" s="332"/>
      <c r="U139" s="332"/>
      <c r="V139" s="332"/>
      <c r="W139" s="332"/>
      <c r="X139" s="332"/>
      <c r="Y139" s="332"/>
      <c r="Z139" s="332"/>
      <c r="AA139" s="332"/>
      <c r="AB139" s="332"/>
      <c r="AC139" s="332"/>
      <c r="AD139" s="332"/>
      <c r="AE139" s="332"/>
      <c r="AF139" s="332"/>
      <c r="AG139" s="332"/>
      <c r="AH139" s="332"/>
      <c r="AI139" s="332"/>
      <c r="AJ139" s="332"/>
      <c r="AK139" s="332"/>
      <c r="AL139" s="332"/>
      <c r="AM139" s="332"/>
      <c r="AN139" s="332"/>
      <c r="AO139" s="332"/>
    </row>
    <row r="140" spans="1:41">
      <c r="A140" s="332"/>
      <c r="B140" s="332"/>
      <c r="C140" s="332"/>
      <c r="D140" s="332"/>
      <c r="E140" s="332"/>
      <c r="F140" s="332"/>
      <c r="G140" s="332"/>
      <c r="H140" s="332"/>
      <c r="I140" s="332"/>
      <c r="J140" s="332"/>
      <c r="K140" s="332"/>
      <c r="L140" s="332"/>
      <c r="M140" s="332"/>
      <c r="N140" s="332"/>
      <c r="O140" s="332"/>
      <c r="P140" s="332"/>
      <c r="Q140" s="332"/>
      <c r="R140" s="332"/>
      <c r="S140" s="332"/>
      <c r="T140" s="332"/>
      <c r="U140" s="332"/>
      <c r="V140" s="332"/>
      <c r="W140" s="332"/>
      <c r="X140" s="332"/>
      <c r="Y140" s="332"/>
      <c r="Z140" s="332"/>
      <c r="AA140" s="332"/>
      <c r="AB140" s="156"/>
      <c r="AC140" s="332"/>
      <c r="AD140" s="332"/>
      <c r="AE140" s="156"/>
      <c r="AF140" s="332"/>
      <c r="AG140" s="332"/>
      <c r="AH140" s="332"/>
      <c r="AI140" s="332"/>
      <c r="AJ140" s="332"/>
      <c r="AK140" s="332"/>
      <c r="AL140" s="332"/>
      <c r="AM140" s="332"/>
      <c r="AN140" s="332"/>
      <c r="AO140" s="332"/>
    </row>
    <row r="141" spans="1:41">
      <c r="A141" s="332"/>
      <c r="B141" s="332"/>
      <c r="C141" s="332"/>
      <c r="D141" s="332"/>
      <c r="E141" s="332"/>
      <c r="F141" s="332"/>
      <c r="G141" s="332"/>
      <c r="H141" s="332"/>
      <c r="I141" s="332"/>
      <c r="J141" s="332"/>
      <c r="K141" s="332"/>
      <c r="L141" s="332"/>
      <c r="M141" s="332"/>
      <c r="N141" s="156"/>
      <c r="O141" s="332"/>
      <c r="P141" s="332"/>
      <c r="Q141" s="332"/>
      <c r="R141" s="332"/>
      <c r="S141" s="332"/>
      <c r="T141" s="332"/>
      <c r="U141" s="332"/>
      <c r="V141" s="332"/>
      <c r="W141" s="332"/>
      <c r="X141" s="332"/>
      <c r="Y141" s="156"/>
      <c r="Z141" s="332"/>
      <c r="AA141" s="332"/>
      <c r="AB141" s="332"/>
      <c r="AC141" s="332"/>
      <c r="AD141" s="332"/>
      <c r="AE141" s="332"/>
      <c r="AF141" s="332"/>
      <c r="AG141" s="332"/>
      <c r="AH141" s="332"/>
      <c r="AI141" s="332"/>
      <c r="AJ141" s="332"/>
      <c r="AK141" s="332"/>
      <c r="AL141" s="332"/>
      <c r="AM141" s="332"/>
      <c r="AN141" s="332"/>
      <c r="AO141" s="332"/>
    </row>
    <row r="142" spans="1:41">
      <c r="A142" s="332"/>
      <c r="B142" s="332"/>
      <c r="C142" s="332"/>
      <c r="D142" s="332"/>
      <c r="E142" s="332"/>
      <c r="F142" s="332"/>
      <c r="G142" s="332"/>
      <c r="H142" s="332"/>
      <c r="I142" s="332"/>
      <c r="J142" s="332"/>
      <c r="K142" s="332"/>
      <c r="L142" s="332"/>
      <c r="M142" s="332"/>
      <c r="N142" s="332"/>
      <c r="O142" s="332"/>
      <c r="P142" s="332"/>
      <c r="Q142" s="332"/>
      <c r="R142" s="332"/>
      <c r="S142" s="332"/>
      <c r="T142" s="332"/>
      <c r="U142" s="332"/>
      <c r="V142" s="332"/>
      <c r="W142" s="332"/>
      <c r="X142" s="332"/>
      <c r="Y142" s="156"/>
      <c r="Z142" s="332"/>
      <c r="AA142" s="332"/>
      <c r="AB142" s="156"/>
      <c r="AC142" s="332"/>
      <c r="AD142" s="332"/>
      <c r="AE142" s="332"/>
      <c r="AF142" s="156"/>
      <c r="AG142" s="332"/>
      <c r="AH142" s="332"/>
      <c r="AI142" s="332"/>
      <c r="AJ142" s="332"/>
      <c r="AK142" s="332"/>
      <c r="AL142" s="332"/>
      <c r="AM142" s="332"/>
      <c r="AN142" s="332"/>
      <c r="AO142" s="332"/>
    </row>
    <row r="143" spans="1:41">
      <c r="A143" s="332"/>
      <c r="B143" s="332"/>
      <c r="C143" s="332"/>
      <c r="D143" s="332"/>
      <c r="E143" s="332"/>
      <c r="F143" s="332"/>
      <c r="G143" s="332"/>
      <c r="H143" s="332"/>
      <c r="I143" s="332"/>
      <c r="J143" s="332"/>
      <c r="K143" s="332"/>
      <c r="L143" s="332"/>
      <c r="M143" s="332"/>
      <c r="N143" s="332"/>
      <c r="O143" s="332"/>
      <c r="P143" s="332"/>
      <c r="Q143" s="332"/>
      <c r="R143" s="332"/>
      <c r="S143" s="332"/>
      <c r="T143" s="332"/>
      <c r="U143" s="332"/>
      <c r="V143" s="332"/>
      <c r="W143" s="332"/>
      <c r="X143" s="332"/>
      <c r="Y143" s="156"/>
      <c r="Z143" s="332"/>
      <c r="AA143" s="332"/>
      <c r="AB143" s="156"/>
      <c r="AC143" s="332"/>
      <c r="AD143" s="332"/>
      <c r="AE143" s="332"/>
      <c r="AF143" s="156"/>
      <c r="AG143" s="332"/>
      <c r="AH143" s="332"/>
      <c r="AI143" s="332"/>
      <c r="AJ143" s="332"/>
      <c r="AK143" s="332"/>
      <c r="AL143" s="332"/>
      <c r="AM143" s="332"/>
      <c r="AN143" s="332"/>
      <c r="AO143" s="332"/>
    </row>
    <row r="144" spans="1:41">
      <c r="A144" s="332"/>
      <c r="B144" s="332"/>
      <c r="C144" s="332"/>
      <c r="D144" s="332"/>
      <c r="E144" s="332"/>
      <c r="F144" s="332"/>
      <c r="G144" s="332"/>
      <c r="H144" s="332"/>
      <c r="I144" s="332"/>
      <c r="J144" s="332"/>
      <c r="K144" s="332"/>
      <c r="L144" s="332"/>
      <c r="M144" s="332"/>
      <c r="N144" s="332"/>
      <c r="O144" s="332"/>
      <c r="P144" s="332"/>
      <c r="Q144" s="332"/>
      <c r="R144" s="332"/>
      <c r="S144" s="332"/>
      <c r="T144" s="332"/>
      <c r="U144" s="332"/>
      <c r="V144" s="332"/>
      <c r="W144" s="332"/>
      <c r="X144" s="332"/>
      <c r="Y144" s="156"/>
      <c r="Z144" s="332"/>
      <c r="AA144" s="332"/>
      <c r="AB144" s="156"/>
      <c r="AC144" s="156"/>
      <c r="AD144" s="332"/>
      <c r="AE144" s="332"/>
      <c r="AF144" s="156"/>
      <c r="AG144" s="332"/>
      <c r="AH144" s="332"/>
      <c r="AI144" s="332"/>
      <c r="AJ144" s="332"/>
      <c r="AK144" s="332"/>
      <c r="AL144" s="332"/>
      <c r="AM144" s="332"/>
      <c r="AN144" s="332"/>
      <c r="AO144" s="332"/>
    </row>
    <row r="145" spans="1:41">
      <c r="A145" s="332"/>
      <c r="B145" s="332"/>
      <c r="C145" s="332"/>
      <c r="D145" s="332"/>
      <c r="E145" s="332"/>
      <c r="F145" s="332"/>
      <c r="G145" s="332"/>
      <c r="H145" s="332"/>
      <c r="I145" s="332"/>
      <c r="J145" s="332"/>
      <c r="K145" s="332"/>
      <c r="L145" s="332"/>
      <c r="M145" s="332"/>
      <c r="N145" s="156"/>
      <c r="O145" s="332"/>
      <c r="P145" s="332"/>
      <c r="Q145" s="332"/>
      <c r="R145" s="332"/>
      <c r="S145" s="332"/>
      <c r="T145" s="332"/>
      <c r="U145" s="332"/>
      <c r="V145" s="332"/>
      <c r="W145" s="332"/>
      <c r="X145" s="332"/>
      <c r="Y145" s="332"/>
      <c r="Z145" s="332"/>
      <c r="AA145" s="332"/>
      <c r="AB145" s="156"/>
      <c r="AC145" s="332"/>
      <c r="AD145" s="332"/>
      <c r="AE145" s="332"/>
      <c r="AF145" s="332"/>
      <c r="AG145" s="332"/>
      <c r="AH145" s="332"/>
      <c r="AI145" s="332"/>
      <c r="AJ145" s="332"/>
      <c r="AK145" s="332"/>
      <c r="AL145" s="332"/>
      <c r="AM145" s="332"/>
      <c r="AN145" s="332"/>
      <c r="AO145" s="332"/>
    </row>
    <row r="146" spans="1:41">
      <c r="A146" s="332"/>
      <c r="B146" s="332"/>
      <c r="C146" s="332"/>
      <c r="D146" s="332"/>
      <c r="E146" s="332"/>
      <c r="F146" s="332"/>
      <c r="G146" s="332"/>
      <c r="H146" s="332"/>
      <c r="I146" s="332"/>
      <c r="J146" s="332"/>
      <c r="K146" s="332"/>
      <c r="L146" s="332"/>
      <c r="M146" s="332"/>
      <c r="N146" s="332"/>
      <c r="O146" s="332"/>
      <c r="P146" s="332"/>
      <c r="Q146" s="332"/>
      <c r="R146" s="332"/>
      <c r="S146" s="332"/>
      <c r="T146" s="332"/>
      <c r="U146" s="332"/>
      <c r="V146" s="332"/>
      <c r="W146" s="332"/>
      <c r="X146" s="332"/>
      <c r="Y146" s="332"/>
      <c r="Z146" s="332"/>
      <c r="AA146" s="332"/>
      <c r="AB146" s="332"/>
      <c r="AC146" s="332"/>
      <c r="AD146" s="332"/>
      <c r="AE146" s="332"/>
      <c r="AF146" s="332"/>
      <c r="AG146" s="332"/>
      <c r="AH146" s="332"/>
      <c r="AI146" s="332"/>
      <c r="AJ146" s="332"/>
      <c r="AK146" s="332"/>
      <c r="AL146" s="332"/>
      <c r="AM146" s="332"/>
      <c r="AN146" s="332"/>
      <c r="AO146" s="332"/>
    </row>
    <row r="147" spans="1:41">
      <c r="A147" s="332"/>
      <c r="B147" s="332"/>
      <c r="C147" s="332"/>
      <c r="D147" s="332"/>
      <c r="E147" s="332"/>
      <c r="F147" s="332"/>
      <c r="G147" s="332"/>
      <c r="H147" s="332"/>
      <c r="I147" s="332"/>
      <c r="J147" s="332"/>
      <c r="K147" s="332"/>
      <c r="L147" s="332"/>
      <c r="M147" s="332"/>
      <c r="N147" s="332"/>
      <c r="O147" s="332"/>
      <c r="P147" s="332"/>
      <c r="Q147" s="332"/>
      <c r="R147" s="332"/>
      <c r="S147" s="332"/>
      <c r="T147" s="332"/>
      <c r="U147" s="332"/>
      <c r="V147" s="332"/>
      <c r="W147" s="332"/>
      <c r="X147" s="332"/>
      <c r="Y147" s="332"/>
      <c r="Z147" s="332"/>
      <c r="AA147" s="332"/>
      <c r="AB147" s="156"/>
      <c r="AC147" s="156"/>
      <c r="AD147" s="332"/>
      <c r="AE147" s="156"/>
      <c r="AF147" s="332"/>
      <c r="AG147" s="332"/>
      <c r="AH147" s="332"/>
      <c r="AI147" s="332"/>
      <c r="AJ147" s="332"/>
      <c r="AK147" s="332"/>
      <c r="AL147" s="332"/>
      <c r="AM147" s="332"/>
      <c r="AN147" s="332"/>
      <c r="AO147" s="332"/>
    </row>
    <row r="148" spans="1:41">
      <c r="A148" s="332"/>
      <c r="B148" s="332"/>
      <c r="C148" s="332"/>
      <c r="D148" s="332"/>
      <c r="E148" s="332"/>
      <c r="F148" s="332"/>
      <c r="G148" s="332"/>
      <c r="H148" s="332"/>
      <c r="I148" s="332"/>
      <c r="J148" s="332"/>
      <c r="K148" s="332"/>
      <c r="L148" s="332"/>
      <c r="M148" s="332"/>
      <c r="N148" s="156"/>
      <c r="O148" s="332"/>
      <c r="P148" s="332"/>
      <c r="Q148" s="332"/>
      <c r="R148" s="332"/>
      <c r="S148" s="332"/>
      <c r="T148" s="332"/>
      <c r="U148" s="332"/>
      <c r="V148" s="332"/>
      <c r="W148" s="332"/>
      <c r="X148" s="332"/>
      <c r="Y148" s="332"/>
      <c r="Z148" s="332"/>
      <c r="AA148" s="332"/>
      <c r="AB148" s="156"/>
      <c r="AC148" s="332"/>
      <c r="AD148" s="332"/>
      <c r="AE148" s="332"/>
      <c r="AF148" s="156"/>
      <c r="AG148" s="332"/>
      <c r="AH148" s="332"/>
      <c r="AI148" s="332"/>
      <c r="AJ148" s="332"/>
      <c r="AK148" s="332"/>
      <c r="AL148" s="332"/>
      <c r="AM148" s="332"/>
      <c r="AN148" s="332"/>
      <c r="AO148" s="332"/>
    </row>
    <row r="149" spans="1:41">
      <c r="A149" s="332"/>
      <c r="B149" s="332"/>
      <c r="C149" s="156"/>
      <c r="D149" s="332"/>
      <c r="E149" s="332"/>
      <c r="F149" s="332"/>
      <c r="G149" s="332"/>
      <c r="H149" s="332"/>
      <c r="I149" s="332"/>
      <c r="J149" s="332"/>
      <c r="K149" s="332"/>
      <c r="L149" s="332"/>
      <c r="M149" s="332"/>
      <c r="N149" s="332"/>
      <c r="O149" s="332"/>
      <c r="P149" s="332"/>
      <c r="Q149" s="332"/>
      <c r="R149" s="332"/>
      <c r="S149" s="332"/>
      <c r="T149" s="332"/>
      <c r="U149" s="332"/>
      <c r="V149" s="332"/>
      <c r="W149" s="332"/>
      <c r="X149" s="332"/>
      <c r="Y149" s="156"/>
      <c r="Z149" s="332"/>
      <c r="AA149" s="332"/>
      <c r="AB149" s="156"/>
      <c r="AC149" s="156"/>
      <c r="AD149" s="332"/>
      <c r="AE149" s="332"/>
      <c r="AF149" s="332"/>
      <c r="AG149" s="332"/>
      <c r="AH149" s="332"/>
      <c r="AI149" s="332"/>
      <c r="AJ149" s="332"/>
      <c r="AK149" s="332"/>
      <c r="AL149" s="332"/>
      <c r="AM149" s="332"/>
      <c r="AN149" s="332"/>
      <c r="AO149" s="332"/>
    </row>
    <row r="150" spans="1:41">
      <c r="A150" s="332"/>
      <c r="B150" s="332"/>
      <c r="C150" s="332"/>
      <c r="D150" s="332"/>
      <c r="E150" s="332"/>
      <c r="F150" s="332"/>
      <c r="G150" s="332"/>
      <c r="H150" s="332"/>
      <c r="I150" s="332"/>
      <c r="J150" s="332"/>
      <c r="K150" s="332"/>
      <c r="L150" s="332"/>
      <c r="M150" s="332"/>
      <c r="N150" s="332"/>
      <c r="O150" s="332"/>
      <c r="P150" s="332"/>
      <c r="Q150" s="332"/>
      <c r="R150" s="332"/>
      <c r="S150" s="332"/>
      <c r="T150" s="332"/>
      <c r="U150" s="332"/>
      <c r="V150" s="332"/>
      <c r="W150" s="332"/>
      <c r="X150" s="332"/>
      <c r="Y150" s="156"/>
      <c r="Z150" s="332"/>
      <c r="AA150" s="332"/>
      <c r="AB150" s="332"/>
      <c r="AC150" s="332"/>
      <c r="AD150" s="332"/>
      <c r="AE150" s="332"/>
      <c r="AF150" s="332"/>
      <c r="AG150" s="332"/>
      <c r="AH150" s="332"/>
      <c r="AI150" s="332"/>
      <c r="AJ150" s="332"/>
      <c r="AK150" s="332"/>
      <c r="AL150" s="332"/>
      <c r="AM150" s="332"/>
      <c r="AN150" s="332"/>
      <c r="AO150" s="332"/>
    </row>
    <row r="151" spans="1:41">
      <c r="A151" s="332"/>
      <c r="B151" s="332"/>
      <c r="C151" s="332"/>
      <c r="D151" s="332"/>
      <c r="E151" s="332"/>
      <c r="F151" s="332"/>
      <c r="G151" s="332"/>
      <c r="H151" s="332"/>
      <c r="I151" s="332"/>
      <c r="J151" s="332"/>
      <c r="K151" s="332"/>
      <c r="L151" s="332"/>
      <c r="M151" s="332"/>
      <c r="N151" s="156"/>
      <c r="O151" s="332"/>
      <c r="P151" s="332"/>
      <c r="Q151" s="332"/>
      <c r="R151" s="332"/>
      <c r="S151" s="332"/>
      <c r="T151" s="332"/>
      <c r="U151" s="332"/>
      <c r="V151" s="332"/>
      <c r="W151" s="332"/>
      <c r="X151" s="332"/>
      <c r="Y151" s="156"/>
      <c r="Z151" s="332"/>
      <c r="AA151" s="332"/>
      <c r="AB151" s="156"/>
      <c r="AC151" s="332"/>
      <c r="AD151" s="332"/>
      <c r="AE151" s="332"/>
      <c r="AF151" s="156"/>
      <c r="AG151" s="332"/>
      <c r="AH151" s="332"/>
      <c r="AI151" s="332"/>
      <c r="AJ151" s="332"/>
      <c r="AK151" s="332"/>
      <c r="AL151" s="332"/>
      <c r="AM151" s="332"/>
      <c r="AN151" s="332"/>
      <c r="AO151" s="332"/>
    </row>
    <row r="152" spans="1:41">
      <c r="A152" s="332"/>
      <c r="B152" s="332"/>
      <c r="C152" s="332"/>
      <c r="D152" s="332"/>
      <c r="E152" s="332"/>
      <c r="F152" s="332"/>
      <c r="G152" s="332"/>
      <c r="H152" s="332"/>
      <c r="I152" s="332"/>
      <c r="J152" s="332"/>
      <c r="K152" s="332"/>
      <c r="L152" s="332"/>
      <c r="M152" s="332"/>
      <c r="N152" s="156"/>
      <c r="O152" s="332"/>
      <c r="P152" s="332"/>
      <c r="Q152" s="332"/>
      <c r="R152" s="332"/>
      <c r="S152" s="332"/>
      <c r="T152" s="332"/>
      <c r="U152" s="332"/>
      <c r="V152" s="332"/>
      <c r="W152" s="332"/>
      <c r="X152" s="332"/>
      <c r="Y152" s="156"/>
      <c r="Z152" s="332"/>
      <c r="AA152" s="332"/>
      <c r="AB152" s="332"/>
      <c r="AC152" s="332"/>
      <c r="AD152" s="332"/>
      <c r="AE152" s="332"/>
      <c r="AF152" s="156"/>
      <c r="AG152" s="332"/>
      <c r="AH152" s="332"/>
      <c r="AI152" s="332"/>
      <c r="AJ152" s="332"/>
      <c r="AK152" s="332"/>
      <c r="AL152" s="332"/>
      <c r="AM152" s="332"/>
      <c r="AN152" s="332"/>
      <c r="AO152" s="332"/>
    </row>
    <row r="153" spans="1:41">
      <c r="A153" s="332"/>
      <c r="B153" s="332"/>
      <c r="C153" s="332"/>
      <c r="D153" s="332"/>
      <c r="E153" s="332"/>
      <c r="F153" s="332"/>
      <c r="G153" s="332"/>
      <c r="H153" s="332"/>
      <c r="I153" s="332"/>
      <c r="J153" s="332"/>
      <c r="K153" s="332"/>
      <c r="L153" s="332"/>
      <c r="M153" s="332"/>
      <c r="N153" s="332"/>
      <c r="O153" s="332"/>
      <c r="P153" s="332"/>
      <c r="Q153" s="332"/>
      <c r="R153" s="332"/>
      <c r="S153" s="332"/>
      <c r="T153" s="332"/>
      <c r="U153" s="332"/>
      <c r="V153" s="332"/>
      <c r="W153" s="332"/>
      <c r="X153" s="332"/>
      <c r="Y153" s="156"/>
      <c r="Z153" s="332"/>
      <c r="AA153" s="332"/>
      <c r="AB153" s="156"/>
      <c r="AC153" s="156"/>
      <c r="AD153" s="332"/>
      <c r="AE153" s="332"/>
      <c r="AF153" s="156"/>
      <c r="AG153" s="332"/>
      <c r="AH153" s="332"/>
      <c r="AI153" s="332"/>
      <c r="AJ153" s="332"/>
      <c r="AK153" s="332"/>
      <c r="AL153" s="332"/>
      <c r="AM153" s="332"/>
      <c r="AN153" s="332"/>
      <c r="AO153" s="332"/>
    </row>
    <row r="154" spans="1:41">
      <c r="A154" s="332"/>
      <c r="B154" s="332"/>
      <c r="C154" s="156"/>
      <c r="D154" s="332"/>
      <c r="E154" s="332"/>
      <c r="F154" s="332"/>
      <c r="G154" s="332"/>
      <c r="H154" s="332"/>
      <c r="I154" s="332"/>
      <c r="J154" s="332"/>
      <c r="K154" s="332"/>
      <c r="L154" s="332"/>
      <c r="M154" s="332"/>
      <c r="N154" s="156"/>
      <c r="O154" s="332"/>
      <c r="P154" s="332"/>
      <c r="Q154" s="332"/>
      <c r="R154" s="332"/>
      <c r="S154" s="332"/>
      <c r="T154" s="332"/>
      <c r="U154" s="332"/>
      <c r="V154" s="332"/>
      <c r="W154" s="332"/>
      <c r="X154" s="332"/>
      <c r="Y154" s="156"/>
      <c r="Z154" s="332"/>
      <c r="AA154" s="332"/>
      <c r="AB154" s="156"/>
      <c r="AC154" s="156"/>
      <c r="AD154" s="332"/>
      <c r="AE154" s="156"/>
      <c r="AF154" s="156"/>
      <c r="AG154" s="332"/>
      <c r="AH154" s="332"/>
      <c r="AI154" s="332"/>
      <c r="AJ154" s="332"/>
      <c r="AK154" s="332"/>
      <c r="AL154" s="332"/>
      <c r="AM154" s="332"/>
      <c r="AN154" s="332"/>
      <c r="AO154" s="332"/>
    </row>
    <row r="155" spans="1:41">
      <c r="A155" s="332"/>
      <c r="B155" s="332"/>
      <c r="C155" s="332"/>
      <c r="D155" s="332"/>
      <c r="E155" s="332"/>
      <c r="F155" s="332"/>
      <c r="G155" s="332"/>
      <c r="H155" s="332"/>
      <c r="I155" s="332"/>
      <c r="J155" s="332"/>
      <c r="K155" s="332"/>
      <c r="L155" s="332"/>
      <c r="M155" s="332"/>
      <c r="N155" s="156"/>
      <c r="O155" s="332"/>
      <c r="P155" s="332"/>
      <c r="Q155" s="332"/>
      <c r="R155" s="332"/>
      <c r="S155" s="332"/>
      <c r="T155" s="332"/>
      <c r="U155" s="332"/>
      <c r="V155" s="332"/>
      <c r="W155" s="332"/>
      <c r="X155" s="332"/>
      <c r="Y155" s="156"/>
      <c r="Z155" s="332"/>
      <c r="AA155" s="332"/>
      <c r="AB155" s="156"/>
      <c r="AC155" s="332"/>
      <c r="AD155" s="332"/>
      <c r="AE155" s="332"/>
      <c r="AF155" s="332"/>
      <c r="AG155" s="332"/>
      <c r="AH155" s="332"/>
      <c r="AI155" s="332"/>
      <c r="AJ155" s="332"/>
      <c r="AK155" s="332"/>
      <c r="AL155" s="332"/>
      <c r="AM155" s="332"/>
      <c r="AN155" s="332"/>
      <c r="AO155" s="332"/>
    </row>
    <row r="156" spans="1:41">
      <c r="A156" s="332"/>
      <c r="B156" s="332"/>
      <c r="C156" s="332"/>
      <c r="D156" s="332"/>
      <c r="E156" s="332"/>
      <c r="F156" s="332"/>
      <c r="G156" s="156"/>
      <c r="H156" s="332"/>
      <c r="I156" s="332"/>
      <c r="J156" s="332"/>
      <c r="K156" s="332"/>
      <c r="L156" s="332"/>
      <c r="M156" s="332"/>
      <c r="N156" s="156"/>
      <c r="O156" s="332"/>
      <c r="P156" s="332"/>
      <c r="Q156" s="332"/>
      <c r="R156" s="332"/>
      <c r="S156" s="332"/>
      <c r="T156" s="332"/>
      <c r="U156" s="332"/>
      <c r="V156" s="332"/>
      <c r="W156" s="332"/>
      <c r="X156" s="332"/>
      <c r="Y156" s="332"/>
      <c r="Z156" s="332"/>
      <c r="AA156" s="332"/>
      <c r="AB156" s="156"/>
      <c r="AC156" s="156"/>
      <c r="AD156" s="332"/>
      <c r="AE156" s="332"/>
      <c r="AF156" s="156"/>
      <c r="AG156" s="332"/>
      <c r="AH156" s="332"/>
      <c r="AI156" s="332"/>
      <c r="AJ156" s="332"/>
      <c r="AK156" s="332"/>
      <c r="AL156" s="332"/>
      <c r="AM156" s="332"/>
      <c r="AN156" s="332"/>
      <c r="AO156" s="332"/>
    </row>
    <row r="157" spans="1:41">
      <c r="A157" s="332"/>
      <c r="B157" s="332"/>
      <c r="C157" s="332"/>
      <c r="D157" s="332"/>
      <c r="E157" s="332"/>
      <c r="F157" s="332"/>
      <c r="G157" s="332"/>
      <c r="H157" s="332"/>
      <c r="I157" s="332"/>
      <c r="J157" s="332"/>
      <c r="K157" s="332"/>
      <c r="L157" s="332"/>
      <c r="M157" s="332"/>
      <c r="N157" s="156"/>
      <c r="O157" s="332"/>
      <c r="P157" s="332"/>
      <c r="Q157" s="332"/>
      <c r="R157" s="332"/>
      <c r="S157" s="332"/>
      <c r="T157" s="332"/>
      <c r="U157" s="332"/>
      <c r="V157" s="332"/>
      <c r="W157" s="332"/>
      <c r="X157" s="332"/>
      <c r="Y157" s="156"/>
      <c r="Z157" s="332"/>
      <c r="AA157" s="332"/>
      <c r="AB157" s="156"/>
      <c r="AC157" s="332"/>
      <c r="AD157" s="332"/>
      <c r="AE157" s="332"/>
      <c r="AF157" s="156"/>
      <c r="AG157" s="332"/>
      <c r="AH157" s="332"/>
      <c r="AI157" s="332"/>
      <c r="AJ157" s="332"/>
      <c r="AK157" s="332"/>
      <c r="AL157" s="332"/>
      <c r="AM157" s="332"/>
      <c r="AN157" s="332"/>
      <c r="AO157" s="332"/>
    </row>
    <row r="158" spans="1:41">
      <c r="A158" s="332"/>
      <c r="B158" s="332"/>
      <c r="C158" s="332"/>
      <c r="D158" s="332"/>
      <c r="E158" s="332"/>
      <c r="F158" s="332"/>
      <c r="G158" s="332"/>
      <c r="H158" s="332"/>
      <c r="I158" s="332"/>
      <c r="J158" s="332"/>
      <c r="K158" s="332"/>
      <c r="L158" s="332"/>
      <c r="M158" s="332"/>
      <c r="N158" s="156"/>
      <c r="O158" s="332"/>
      <c r="P158" s="332"/>
      <c r="Q158" s="332"/>
      <c r="R158" s="332"/>
      <c r="S158" s="332"/>
      <c r="T158" s="332"/>
      <c r="U158" s="332"/>
      <c r="V158" s="332"/>
      <c r="W158" s="332"/>
      <c r="X158" s="332"/>
      <c r="Y158" s="332"/>
      <c r="Z158" s="332"/>
      <c r="AA158" s="332"/>
      <c r="AB158" s="156"/>
      <c r="AC158" s="332"/>
      <c r="AD158" s="332"/>
      <c r="AE158" s="332"/>
      <c r="AF158" s="156"/>
      <c r="AG158" s="332"/>
      <c r="AH158" s="332"/>
      <c r="AI158" s="332"/>
      <c r="AJ158" s="332"/>
      <c r="AK158" s="332"/>
      <c r="AL158" s="332"/>
      <c r="AM158" s="332"/>
      <c r="AN158" s="332"/>
      <c r="AO158" s="332"/>
    </row>
    <row r="159" spans="1:41">
      <c r="A159" s="332"/>
      <c r="B159" s="332"/>
      <c r="C159" s="332"/>
      <c r="D159" s="332"/>
      <c r="E159" s="332"/>
      <c r="F159" s="332"/>
      <c r="G159" s="156"/>
      <c r="H159" s="332"/>
      <c r="I159" s="332"/>
      <c r="J159" s="332"/>
      <c r="K159" s="332"/>
      <c r="L159" s="332"/>
      <c r="M159" s="332"/>
      <c r="N159" s="156"/>
      <c r="O159" s="332"/>
      <c r="P159" s="332"/>
      <c r="Q159" s="332"/>
      <c r="R159" s="156"/>
      <c r="S159" s="332"/>
      <c r="T159" s="332"/>
      <c r="U159" s="332"/>
      <c r="V159" s="332"/>
      <c r="W159" s="332"/>
      <c r="X159" s="332"/>
      <c r="Y159" s="156"/>
      <c r="Z159" s="332"/>
      <c r="AA159" s="332"/>
      <c r="AB159" s="156"/>
      <c r="AC159" s="156"/>
      <c r="AD159" s="332"/>
      <c r="AE159" s="156"/>
      <c r="AF159" s="156"/>
      <c r="AG159" s="332"/>
      <c r="AH159" s="332"/>
      <c r="AI159" s="332"/>
      <c r="AJ159" s="332"/>
      <c r="AK159" s="332"/>
      <c r="AL159" s="332"/>
      <c r="AM159" s="332"/>
      <c r="AN159" s="332"/>
      <c r="AO159" s="332"/>
    </row>
    <row r="160" spans="1:41">
      <c r="A160" s="332"/>
      <c r="B160" s="332"/>
      <c r="C160" s="332"/>
      <c r="D160" s="332"/>
      <c r="E160" s="332"/>
      <c r="F160" s="332"/>
      <c r="G160" s="332"/>
      <c r="H160" s="332"/>
      <c r="I160" s="332"/>
      <c r="J160" s="332"/>
      <c r="K160" s="332"/>
      <c r="L160" s="332"/>
      <c r="M160" s="332"/>
      <c r="N160" s="332"/>
      <c r="O160" s="332"/>
      <c r="P160" s="332"/>
      <c r="Q160" s="332"/>
      <c r="R160" s="332"/>
      <c r="S160" s="332"/>
      <c r="T160" s="332"/>
      <c r="U160" s="332"/>
      <c r="V160" s="332"/>
      <c r="W160" s="332"/>
      <c r="X160" s="332"/>
      <c r="Y160" s="156"/>
      <c r="Z160" s="332"/>
      <c r="AA160" s="332"/>
      <c r="AB160" s="156"/>
      <c r="AC160" s="332"/>
      <c r="AD160" s="332"/>
      <c r="AE160" s="156"/>
      <c r="AF160" s="156"/>
      <c r="AG160" s="332"/>
      <c r="AH160" s="332"/>
      <c r="AI160" s="332"/>
      <c r="AJ160" s="332"/>
      <c r="AK160" s="332"/>
      <c r="AL160" s="332"/>
      <c r="AM160" s="332"/>
      <c r="AN160" s="332"/>
      <c r="AO160" s="332"/>
    </row>
    <row r="161" spans="1:41">
      <c r="A161" s="332"/>
      <c r="B161" s="332"/>
      <c r="C161" s="332"/>
      <c r="D161" s="332"/>
      <c r="E161" s="332"/>
      <c r="F161" s="332"/>
      <c r="G161" s="332"/>
      <c r="H161" s="332"/>
      <c r="I161" s="332"/>
      <c r="J161" s="332"/>
      <c r="K161" s="332"/>
      <c r="L161" s="332"/>
      <c r="M161" s="332"/>
      <c r="N161" s="156"/>
      <c r="O161" s="332"/>
      <c r="P161" s="332"/>
      <c r="Q161" s="332"/>
      <c r="R161" s="332"/>
      <c r="S161" s="332"/>
      <c r="T161" s="332"/>
      <c r="U161" s="332"/>
      <c r="V161" s="332"/>
      <c r="W161" s="332"/>
      <c r="X161" s="332"/>
      <c r="Y161" s="156"/>
      <c r="Z161" s="332"/>
      <c r="AA161" s="332"/>
      <c r="AB161" s="156"/>
      <c r="AC161" s="156"/>
      <c r="AD161" s="332"/>
      <c r="AE161" s="332"/>
      <c r="AF161" s="332"/>
      <c r="AG161" s="332"/>
      <c r="AH161" s="332"/>
      <c r="AI161" s="332"/>
      <c r="AJ161" s="332"/>
      <c r="AK161" s="332"/>
      <c r="AL161" s="332"/>
      <c r="AM161" s="332"/>
      <c r="AN161" s="332"/>
      <c r="AO161" s="332"/>
    </row>
    <row r="162" spans="1:41">
      <c r="A162" s="332"/>
      <c r="B162" s="332"/>
      <c r="C162" s="332"/>
      <c r="D162" s="332"/>
      <c r="E162" s="332"/>
      <c r="F162" s="332"/>
      <c r="G162" s="332"/>
      <c r="H162" s="332"/>
      <c r="I162" s="332"/>
      <c r="J162" s="332"/>
      <c r="K162" s="332"/>
      <c r="L162" s="332"/>
      <c r="M162" s="332"/>
      <c r="N162" s="156"/>
      <c r="O162" s="332"/>
      <c r="P162" s="332"/>
      <c r="Q162" s="332"/>
      <c r="R162" s="332"/>
      <c r="S162" s="332"/>
      <c r="T162" s="332"/>
      <c r="U162" s="332"/>
      <c r="V162" s="332"/>
      <c r="W162" s="332"/>
      <c r="X162" s="332"/>
      <c r="Y162" s="156"/>
      <c r="Z162" s="332"/>
      <c r="AA162" s="332"/>
      <c r="AB162" s="156"/>
      <c r="AC162" s="332"/>
      <c r="AD162" s="332"/>
      <c r="AE162" s="332"/>
      <c r="AF162" s="156"/>
      <c r="AG162" s="332"/>
      <c r="AH162" s="332"/>
      <c r="AI162" s="332"/>
      <c r="AJ162" s="332"/>
      <c r="AK162" s="332"/>
      <c r="AL162" s="332"/>
      <c r="AM162" s="332"/>
      <c r="AN162" s="332"/>
      <c r="AO162" s="332"/>
    </row>
    <row r="163" spans="1:41">
      <c r="A163" s="332"/>
      <c r="B163" s="332"/>
      <c r="C163" s="156"/>
      <c r="D163" s="332"/>
      <c r="E163" s="332"/>
      <c r="F163" s="332"/>
      <c r="G163" s="332"/>
      <c r="H163" s="332"/>
      <c r="I163" s="332"/>
      <c r="J163" s="332"/>
      <c r="K163" s="332"/>
      <c r="L163" s="332"/>
      <c r="M163" s="332"/>
      <c r="N163" s="156"/>
      <c r="O163" s="332"/>
      <c r="P163" s="332"/>
      <c r="Q163" s="332"/>
      <c r="R163" s="332"/>
      <c r="S163" s="332"/>
      <c r="T163" s="332"/>
      <c r="U163" s="332"/>
      <c r="V163" s="332"/>
      <c r="W163" s="332"/>
      <c r="X163" s="332"/>
      <c r="Y163" s="332"/>
      <c r="Z163" s="332"/>
      <c r="AA163" s="332"/>
      <c r="AB163" s="156"/>
      <c r="AC163" s="156"/>
      <c r="AD163" s="332"/>
      <c r="AE163" s="156"/>
      <c r="AF163" s="156"/>
      <c r="AG163" s="332"/>
      <c r="AH163" s="332"/>
      <c r="AI163" s="332"/>
      <c r="AJ163" s="332"/>
      <c r="AK163" s="332"/>
      <c r="AL163" s="332"/>
      <c r="AM163" s="332"/>
      <c r="AN163" s="332"/>
      <c r="AO163" s="332"/>
    </row>
    <row r="164" spans="1:41">
      <c r="A164" s="332"/>
      <c r="B164" s="332"/>
      <c r="C164" s="332"/>
      <c r="D164" s="332"/>
      <c r="E164" s="332"/>
      <c r="F164" s="332"/>
      <c r="G164" s="332"/>
      <c r="H164" s="332"/>
      <c r="I164" s="332"/>
      <c r="J164" s="332"/>
      <c r="K164" s="332"/>
      <c r="L164" s="332"/>
      <c r="M164" s="332"/>
      <c r="N164" s="332"/>
      <c r="O164" s="332"/>
      <c r="P164" s="332"/>
      <c r="Q164" s="332"/>
      <c r="R164" s="332"/>
      <c r="S164" s="332"/>
      <c r="T164" s="332"/>
      <c r="U164" s="332"/>
      <c r="V164" s="332"/>
      <c r="W164" s="332"/>
      <c r="X164" s="332"/>
      <c r="Y164" s="156"/>
      <c r="Z164" s="332"/>
      <c r="AA164" s="332"/>
      <c r="AB164" s="156"/>
      <c r="AC164" s="332"/>
      <c r="AD164" s="332"/>
      <c r="AE164" s="332"/>
      <c r="AF164" s="332"/>
      <c r="AG164" s="332"/>
      <c r="AH164" s="332"/>
      <c r="AI164" s="332"/>
      <c r="AJ164" s="332"/>
      <c r="AK164" s="332"/>
      <c r="AL164" s="332"/>
      <c r="AM164" s="332"/>
      <c r="AN164" s="332"/>
      <c r="AO164" s="332"/>
    </row>
    <row r="165" spans="1:41">
      <c r="A165" s="332"/>
      <c r="B165" s="332"/>
      <c r="C165" s="332"/>
      <c r="D165" s="332"/>
      <c r="E165" s="332"/>
      <c r="F165" s="332"/>
      <c r="G165" s="332"/>
      <c r="H165" s="332"/>
      <c r="I165" s="332"/>
      <c r="J165" s="332"/>
      <c r="K165" s="332"/>
      <c r="L165" s="332"/>
      <c r="M165" s="332"/>
      <c r="N165" s="332"/>
      <c r="O165" s="332"/>
      <c r="P165" s="332"/>
      <c r="Q165" s="332"/>
      <c r="R165" s="332"/>
      <c r="S165" s="332"/>
      <c r="T165" s="332"/>
      <c r="U165" s="332"/>
      <c r="V165" s="332"/>
      <c r="W165" s="332"/>
      <c r="X165" s="332"/>
      <c r="Y165" s="156"/>
      <c r="Z165" s="332"/>
      <c r="AA165" s="332"/>
      <c r="AB165" s="332"/>
      <c r="AC165" s="156"/>
      <c r="AD165" s="332"/>
      <c r="AE165" s="156"/>
      <c r="AF165" s="156"/>
      <c r="AG165" s="332"/>
      <c r="AH165" s="332"/>
      <c r="AI165" s="332"/>
      <c r="AJ165" s="332"/>
      <c r="AK165" s="332"/>
      <c r="AL165" s="332"/>
      <c r="AM165" s="332"/>
      <c r="AN165" s="332"/>
      <c r="AO165" s="332"/>
    </row>
    <row r="166" spans="1:41">
      <c r="A166" s="332"/>
      <c r="B166" s="332"/>
      <c r="C166" s="156"/>
      <c r="D166" s="332"/>
      <c r="E166" s="332"/>
      <c r="F166" s="332"/>
      <c r="G166" s="332"/>
      <c r="H166" s="332"/>
      <c r="I166" s="332"/>
      <c r="J166" s="332"/>
      <c r="K166" s="332"/>
      <c r="L166" s="332"/>
      <c r="M166" s="332"/>
      <c r="N166" s="156"/>
      <c r="O166" s="332"/>
      <c r="P166" s="332"/>
      <c r="Q166" s="332"/>
      <c r="R166" s="156"/>
      <c r="S166" s="332"/>
      <c r="T166" s="332"/>
      <c r="U166" s="332"/>
      <c r="V166" s="332"/>
      <c r="W166" s="332"/>
      <c r="X166" s="332"/>
      <c r="Y166" s="156"/>
      <c r="Z166" s="332"/>
      <c r="AA166" s="332"/>
      <c r="AB166" s="156"/>
      <c r="AC166" s="156"/>
      <c r="AD166" s="332"/>
      <c r="AE166" s="156"/>
      <c r="AF166" s="156"/>
      <c r="AG166" s="332"/>
      <c r="AH166" s="332"/>
      <c r="AI166" s="332"/>
      <c r="AJ166" s="332"/>
      <c r="AK166" s="332"/>
      <c r="AL166" s="332"/>
      <c r="AM166" s="332"/>
      <c r="AN166" s="332"/>
      <c r="AO166" s="332"/>
    </row>
    <row r="167" spans="1:41">
      <c r="A167" s="332"/>
      <c r="B167" s="332"/>
      <c r="C167" s="156"/>
      <c r="D167" s="332"/>
      <c r="E167" s="332"/>
      <c r="F167" s="332"/>
      <c r="G167" s="332"/>
      <c r="H167" s="332"/>
      <c r="I167" s="332"/>
      <c r="J167" s="332"/>
      <c r="K167" s="332"/>
      <c r="L167" s="332"/>
      <c r="M167" s="332"/>
      <c r="N167" s="156"/>
      <c r="O167" s="332"/>
      <c r="P167" s="332"/>
      <c r="Q167" s="332"/>
      <c r="R167" s="332"/>
      <c r="S167" s="332"/>
      <c r="T167" s="332"/>
      <c r="U167" s="332"/>
      <c r="V167" s="332"/>
      <c r="W167" s="332"/>
      <c r="X167" s="332"/>
      <c r="Y167" s="156"/>
      <c r="Z167" s="332"/>
      <c r="AA167" s="332"/>
      <c r="AB167" s="156"/>
      <c r="AC167" s="156"/>
      <c r="AD167" s="332"/>
      <c r="AE167" s="156"/>
      <c r="AF167" s="156"/>
      <c r="AG167" s="332"/>
      <c r="AH167" s="332"/>
      <c r="AI167" s="332"/>
      <c r="AJ167" s="332"/>
      <c r="AK167" s="332"/>
      <c r="AL167" s="332"/>
      <c r="AM167" s="332"/>
      <c r="AN167" s="332"/>
      <c r="AO167" s="332"/>
    </row>
    <row r="168" spans="1:41">
      <c r="A168" s="332"/>
      <c r="B168" s="332"/>
      <c r="C168" s="156"/>
      <c r="D168" s="332"/>
      <c r="E168" s="332"/>
      <c r="F168" s="332"/>
      <c r="G168" s="156"/>
      <c r="H168" s="332"/>
      <c r="I168" s="332"/>
      <c r="J168" s="332"/>
      <c r="K168" s="332"/>
      <c r="L168" s="332"/>
      <c r="M168" s="332"/>
      <c r="N168" s="156"/>
      <c r="O168" s="332"/>
      <c r="P168" s="332"/>
      <c r="Q168" s="332"/>
      <c r="R168" s="156"/>
      <c r="S168" s="332"/>
      <c r="T168" s="332"/>
      <c r="U168" s="332"/>
      <c r="V168" s="332"/>
      <c r="W168" s="332"/>
      <c r="X168" s="332"/>
      <c r="Y168" s="156"/>
      <c r="Z168" s="332"/>
      <c r="AA168" s="332"/>
      <c r="AB168" s="156"/>
      <c r="AC168" s="156"/>
      <c r="AD168" s="332"/>
      <c r="AE168" s="156"/>
      <c r="AF168" s="156"/>
      <c r="AG168" s="332"/>
      <c r="AH168" s="332"/>
      <c r="AI168" s="332"/>
      <c r="AJ168" s="332"/>
      <c r="AK168" s="332"/>
      <c r="AL168" s="332"/>
      <c r="AM168" s="332"/>
      <c r="AN168" s="332"/>
      <c r="AO168" s="332"/>
    </row>
    <row r="169" spans="1:41">
      <c r="A169" s="332"/>
      <c r="B169" s="332"/>
      <c r="C169" s="156"/>
      <c r="D169" s="332"/>
      <c r="E169" s="332"/>
      <c r="F169" s="332"/>
      <c r="G169" s="332"/>
      <c r="H169" s="332"/>
      <c r="I169" s="332"/>
      <c r="J169" s="332"/>
      <c r="K169" s="332"/>
      <c r="L169" s="332"/>
      <c r="M169" s="332"/>
      <c r="N169" s="332"/>
      <c r="O169" s="332"/>
      <c r="P169" s="332"/>
      <c r="Q169" s="332"/>
      <c r="R169" s="156"/>
      <c r="S169" s="332"/>
      <c r="T169" s="332"/>
      <c r="U169" s="332"/>
      <c r="V169" s="332"/>
      <c r="W169" s="332"/>
      <c r="X169" s="332"/>
      <c r="Y169" s="156"/>
      <c r="Z169" s="332"/>
      <c r="AA169" s="332"/>
      <c r="AB169" s="156"/>
      <c r="AC169" s="156"/>
      <c r="AD169" s="332"/>
      <c r="AE169" s="332"/>
      <c r="AF169" s="156"/>
      <c r="AG169" s="332"/>
      <c r="AH169" s="332"/>
      <c r="AI169" s="332"/>
      <c r="AJ169" s="332"/>
      <c r="AK169" s="332"/>
      <c r="AL169" s="332"/>
      <c r="AM169" s="332"/>
      <c r="AN169" s="332"/>
      <c r="AO169" s="332"/>
    </row>
    <row r="170" spans="1:41">
      <c r="A170" s="332"/>
      <c r="B170" s="332"/>
      <c r="C170" s="156"/>
      <c r="D170" s="332"/>
      <c r="E170" s="332"/>
      <c r="F170" s="332"/>
      <c r="G170" s="156"/>
      <c r="H170" s="332"/>
      <c r="I170" s="332"/>
      <c r="J170" s="332"/>
      <c r="K170" s="332"/>
      <c r="L170" s="332"/>
      <c r="M170" s="332"/>
      <c r="N170" s="156"/>
      <c r="O170" s="332"/>
      <c r="P170" s="332"/>
      <c r="Q170" s="332"/>
      <c r="R170" s="332"/>
      <c r="S170" s="332"/>
      <c r="T170" s="332"/>
      <c r="U170" s="332"/>
      <c r="V170" s="332"/>
      <c r="W170" s="332"/>
      <c r="X170" s="332"/>
      <c r="Y170" s="156"/>
      <c r="Z170" s="332"/>
      <c r="AA170" s="332"/>
      <c r="AB170" s="156"/>
      <c r="AC170" s="156"/>
      <c r="AD170" s="332"/>
      <c r="AE170" s="156"/>
      <c r="AF170" s="156"/>
      <c r="AG170" s="332"/>
      <c r="AH170" s="332"/>
      <c r="AI170" s="332"/>
      <c r="AJ170" s="332"/>
      <c r="AK170" s="332"/>
      <c r="AL170" s="332"/>
      <c r="AM170" s="332"/>
      <c r="AN170" s="332"/>
      <c r="AO170" s="332"/>
    </row>
    <row r="171" spans="1:41">
      <c r="A171" s="332"/>
      <c r="B171" s="332"/>
      <c r="C171" s="156"/>
      <c r="D171" s="332"/>
      <c r="E171" s="332"/>
      <c r="F171" s="332"/>
      <c r="G171" s="332"/>
      <c r="H171" s="332"/>
      <c r="I171" s="332"/>
      <c r="J171" s="332"/>
      <c r="K171" s="332"/>
      <c r="L171" s="332"/>
      <c r="M171" s="332"/>
      <c r="N171" s="156"/>
      <c r="O171" s="332"/>
      <c r="P171" s="332"/>
      <c r="Q171" s="332"/>
      <c r="R171" s="156"/>
      <c r="S171" s="332"/>
      <c r="T171" s="332"/>
      <c r="U171" s="332"/>
      <c r="V171" s="332"/>
      <c r="W171" s="332"/>
      <c r="X171" s="332"/>
      <c r="Y171" s="156"/>
      <c r="Z171" s="332"/>
      <c r="AA171" s="332"/>
      <c r="AB171" s="156"/>
      <c r="AC171" s="156"/>
      <c r="AD171" s="332"/>
      <c r="AE171" s="156"/>
      <c r="AF171" s="156"/>
      <c r="AG171" s="332"/>
      <c r="AH171" s="332"/>
      <c r="AI171" s="332"/>
      <c r="AJ171" s="332"/>
      <c r="AK171" s="332"/>
      <c r="AL171" s="332"/>
      <c r="AM171" s="332"/>
      <c r="AN171" s="332"/>
      <c r="AO171" s="332"/>
    </row>
    <row r="172" spans="1:41">
      <c r="A172" s="332"/>
      <c r="B172" s="332"/>
      <c r="C172" s="332"/>
      <c r="D172" s="332"/>
      <c r="E172" s="332"/>
      <c r="F172" s="332"/>
      <c r="G172" s="332"/>
      <c r="H172" s="332"/>
      <c r="I172" s="332"/>
      <c r="J172" s="332"/>
      <c r="K172" s="332"/>
      <c r="L172" s="332"/>
      <c r="M172" s="332"/>
      <c r="N172" s="156"/>
      <c r="O172" s="332"/>
      <c r="P172" s="332"/>
      <c r="Q172" s="332"/>
      <c r="R172" s="332"/>
      <c r="S172" s="332"/>
      <c r="T172" s="332"/>
      <c r="U172" s="332"/>
      <c r="V172" s="332"/>
      <c r="W172" s="332"/>
      <c r="X172" s="332"/>
      <c r="Y172" s="156"/>
      <c r="Z172" s="332"/>
      <c r="AA172" s="332"/>
      <c r="AB172" s="156"/>
      <c r="AC172" s="332"/>
      <c r="AD172" s="332"/>
      <c r="AE172" s="332"/>
      <c r="AF172" s="156"/>
      <c r="AG172" s="332"/>
      <c r="AH172" s="332"/>
      <c r="AI172" s="332"/>
      <c r="AJ172" s="332"/>
      <c r="AK172" s="332"/>
      <c r="AL172" s="332"/>
      <c r="AM172" s="332"/>
      <c r="AN172" s="332"/>
      <c r="AO172" s="332"/>
    </row>
    <row r="173" spans="1:41">
      <c r="A173" s="332"/>
      <c r="B173" s="332"/>
      <c r="C173" s="156"/>
      <c r="D173" s="332"/>
      <c r="E173" s="332"/>
      <c r="F173" s="332"/>
      <c r="G173" s="332"/>
      <c r="H173" s="332"/>
      <c r="I173" s="332"/>
      <c r="J173" s="332"/>
      <c r="K173" s="332"/>
      <c r="L173" s="332"/>
      <c r="M173" s="332"/>
      <c r="N173" s="156"/>
      <c r="O173" s="332"/>
      <c r="P173" s="332"/>
      <c r="Q173" s="332"/>
      <c r="R173" s="332"/>
      <c r="S173" s="332"/>
      <c r="T173" s="332"/>
      <c r="U173" s="332"/>
      <c r="V173" s="332"/>
      <c r="W173" s="332"/>
      <c r="X173" s="332"/>
      <c r="Y173" s="156"/>
      <c r="Z173" s="332"/>
      <c r="AA173" s="332"/>
      <c r="AB173" s="156"/>
      <c r="AC173" s="156"/>
      <c r="AD173" s="332"/>
      <c r="AE173" s="156"/>
      <c r="AF173" s="156"/>
      <c r="AG173" s="332"/>
      <c r="AH173" s="332"/>
      <c r="AI173" s="332"/>
      <c r="AJ173" s="332"/>
      <c r="AK173" s="332"/>
      <c r="AL173" s="332"/>
      <c r="AM173" s="332"/>
      <c r="AN173" s="332"/>
      <c r="AO173" s="332"/>
    </row>
    <row r="174" spans="1:41">
      <c r="A174" s="332"/>
      <c r="B174" s="332"/>
      <c r="C174" s="332"/>
      <c r="D174" s="332"/>
      <c r="E174" s="332"/>
      <c r="F174" s="332"/>
      <c r="G174" s="332"/>
      <c r="H174" s="332"/>
      <c r="I174" s="332"/>
      <c r="J174" s="332"/>
      <c r="K174" s="332"/>
      <c r="L174" s="332"/>
      <c r="M174" s="332"/>
      <c r="N174" s="156"/>
      <c r="O174" s="332"/>
      <c r="P174" s="332"/>
      <c r="Q174" s="332"/>
      <c r="R174" s="332"/>
      <c r="S174" s="332"/>
      <c r="T174" s="332"/>
      <c r="U174" s="332"/>
      <c r="V174" s="332"/>
      <c r="W174" s="332"/>
      <c r="X174" s="332"/>
      <c r="Y174" s="156"/>
      <c r="Z174" s="332"/>
      <c r="AA174" s="332"/>
      <c r="AB174" s="156"/>
      <c r="AC174" s="156"/>
      <c r="AD174" s="332"/>
      <c r="AE174" s="332"/>
      <c r="AF174" s="156"/>
      <c r="AG174" s="332"/>
      <c r="AH174" s="332"/>
      <c r="AI174" s="332"/>
      <c r="AJ174" s="332"/>
      <c r="AK174" s="332"/>
      <c r="AL174" s="332"/>
      <c r="AM174" s="332"/>
      <c r="AN174" s="332"/>
      <c r="AO174" s="332"/>
    </row>
    <row r="175" spans="1:41">
      <c r="A175" s="332"/>
      <c r="B175" s="332"/>
      <c r="C175" s="156"/>
      <c r="D175" s="332"/>
      <c r="E175" s="332"/>
      <c r="F175" s="332"/>
      <c r="G175" s="156"/>
      <c r="H175" s="332"/>
      <c r="I175" s="332"/>
      <c r="J175" s="332"/>
      <c r="K175" s="332"/>
      <c r="L175" s="332"/>
      <c r="M175" s="332"/>
      <c r="N175" s="156"/>
      <c r="O175" s="332"/>
      <c r="P175" s="332"/>
      <c r="Q175" s="332"/>
      <c r="R175" s="156"/>
      <c r="S175" s="332"/>
      <c r="T175" s="332"/>
      <c r="U175" s="332"/>
      <c r="V175" s="332"/>
      <c r="W175" s="332"/>
      <c r="X175" s="332"/>
      <c r="Y175" s="156"/>
      <c r="Z175" s="332"/>
      <c r="AA175" s="332"/>
      <c r="AB175" s="156"/>
      <c r="AC175" s="156"/>
      <c r="AD175" s="332"/>
      <c r="AE175" s="332"/>
      <c r="AF175" s="156"/>
      <c r="AG175" s="332"/>
      <c r="AH175" s="332"/>
      <c r="AI175" s="332"/>
      <c r="AJ175" s="332"/>
      <c r="AK175" s="332"/>
      <c r="AL175" s="332"/>
      <c r="AM175" s="332"/>
      <c r="AN175" s="332"/>
      <c r="AO175" s="332"/>
    </row>
    <row r="176" spans="1:41">
      <c r="A176" s="332"/>
      <c r="B176" s="332"/>
      <c r="C176" s="156"/>
      <c r="D176" s="332"/>
      <c r="E176" s="332"/>
      <c r="F176" s="332"/>
      <c r="G176" s="156"/>
      <c r="H176" s="332"/>
      <c r="I176" s="332"/>
      <c r="J176" s="332"/>
      <c r="K176" s="332"/>
      <c r="L176" s="332"/>
      <c r="M176" s="332"/>
      <c r="N176" s="156"/>
      <c r="O176" s="332"/>
      <c r="P176" s="332"/>
      <c r="Q176" s="332"/>
      <c r="R176" s="332"/>
      <c r="S176" s="332"/>
      <c r="T176" s="332"/>
      <c r="U176" s="332"/>
      <c r="V176" s="332"/>
      <c r="W176" s="332"/>
      <c r="X176" s="332"/>
      <c r="Y176" s="156"/>
      <c r="Z176" s="332"/>
      <c r="AA176" s="332"/>
      <c r="AB176" s="156"/>
      <c r="AC176" s="156"/>
      <c r="AD176" s="332"/>
      <c r="AE176" s="332"/>
      <c r="AF176" s="156"/>
      <c r="AG176" s="332"/>
      <c r="AH176" s="332"/>
      <c r="AI176" s="332"/>
      <c r="AJ176" s="332"/>
      <c r="AK176" s="332"/>
      <c r="AL176" s="332"/>
      <c r="AM176" s="332"/>
      <c r="AN176" s="332"/>
      <c r="AO176" s="332"/>
    </row>
    <row r="177" spans="1:41">
      <c r="A177" s="332"/>
      <c r="B177" s="332"/>
      <c r="C177" s="332"/>
      <c r="D177" s="332"/>
      <c r="E177" s="332"/>
      <c r="F177" s="332"/>
      <c r="G177" s="156"/>
      <c r="H177" s="332"/>
      <c r="I177" s="332"/>
      <c r="J177" s="332"/>
      <c r="K177" s="332"/>
      <c r="L177" s="332"/>
      <c r="M177" s="332"/>
      <c r="N177" s="156"/>
      <c r="O177" s="332"/>
      <c r="P177" s="332"/>
      <c r="Q177" s="332"/>
      <c r="R177" s="332"/>
      <c r="S177" s="332"/>
      <c r="T177" s="332"/>
      <c r="U177" s="332"/>
      <c r="V177" s="332"/>
      <c r="W177" s="332"/>
      <c r="X177" s="332"/>
      <c r="Y177" s="156"/>
      <c r="Z177" s="332"/>
      <c r="AA177" s="332"/>
      <c r="AB177" s="156"/>
      <c r="AC177" s="156"/>
      <c r="AD177" s="332"/>
      <c r="AE177" s="332"/>
      <c r="AF177" s="156"/>
      <c r="AG177" s="332"/>
      <c r="AH177" s="332"/>
      <c r="AI177" s="332"/>
      <c r="AJ177" s="332"/>
      <c r="AK177" s="332"/>
      <c r="AL177" s="332"/>
      <c r="AM177" s="332"/>
      <c r="AN177" s="332"/>
      <c r="AO177" s="332"/>
    </row>
    <row r="178" spans="1:41">
      <c r="A178" s="332"/>
      <c r="B178" s="332"/>
      <c r="C178" s="332"/>
      <c r="D178" s="332"/>
      <c r="E178" s="332"/>
      <c r="F178" s="332"/>
      <c r="G178" s="332"/>
      <c r="H178" s="332"/>
      <c r="I178" s="332"/>
      <c r="J178" s="332"/>
      <c r="K178" s="332"/>
      <c r="L178" s="332"/>
      <c r="M178" s="332"/>
      <c r="N178" s="332"/>
      <c r="O178" s="332"/>
      <c r="P178" s="332"/>
      <c r="Q178" s="332"/>
      <c r="R178" s="332"/>
      <c r="S178" s="332"/>
      <c r="T178" s="332"/>
      <c r="U178" s="332"/>
      <c r="V178" s="332"/>
      <c r="W178" s="332"/>
      <c r="X178" s="332"/>
      <c r="Y178" s="156"/>
      <c r="Z178" s="332"/>
      <c r="AA178" s="332"/>
      <c r="AB178" s="156"/>
      <c r="AC178" s="156"/>
      <c r="AD178" s="332"/>
      <c r="AE178" s="332"/>
      <c r="AF178" s="332"/>
      <c r="AG178" s="332"/>
      <c r="AH178" s="332"/>
      <c r="AI178" s="332"/>
      <c r="AJ178" s="332"/>
      <c r="AK178" s="332"/>
      <c r="AL178" s="332"/>
      <c r="AM178" s="332"/>
      <c r="AN178" s="332"/>
      <c r="AO178" s="332"/>
    </row>
    <row r="179" spans="1:41">
      <c r="A179" s="332"/>
      <c r="B179" s="332"/>
      <c r="C179" s="156"/>
      <c r="D179" s="332"/>
      <c r="E179" s="332"/>
      <c r="F179" s="332"/>
      <c r="G179" s="156"/>
      <c r="H179" s="332"/>
      <c r="I179" s="332"/>
      <c r="J179" s="332"/>
      <c r="K179" s="332"/>
      <c r="L179" s="332"/>
      <c r="M179" s="332"/>
      <c r="N179" s="156"/>
      <c r="O179" s="332"/>
      <c r="P179" s="332"/>
      <c r="Q179" s="332"/>
      <c r="R179" s="156"/>
      <c r="S179" s="332"/>
      <c r="T179" s="332"/>
      <c r="U179" s="332"/>
      <c r="V179" s="332"/>
      <c r="W179" s="332"/>
      <c r="X179" s="332"/>
      <c r="Y179" s="156"/>
      <c r="Z179" s="332"/>
      <c r="AA179" s="332"/>
      <c r="AB179" s="156"/>
      <c r="AC179" s="156"/>
      <c r="AD179" s="332"/>
      <c r="AE179" s="156"/>
      <c r="AF179" s="156"/>
      <c r="AG179" s="332"/>
      <c r="AH179" s="332"/>
      <c r="AI179" s="332"/>
      <c r="AJ179" s="332"/>
      <c r="AK179" s="332"/>
      <c r="AL179" s="332"/>
      <c r="AM179" s="332"/>
      <c r="AN179" s="332"/>
      <c r="AO179" s="332"/>
    </row>
    <row r="180" spans="1:41">
      <c r="A180" s="332"/>
      <c r="B180" s="332"/>
      <c r="C180" s="156"/>
      <c r="D180" s="332"/>
      <c r="E180" s="332"/>
      <c r="F180" s="332"/>
      <c r="G180" s="156"/>
      <c r="H180" s="332"/>
      <c r="I180" s="332"/>
      <c r="J180" s="332"/>
      <c r="K180" s="332"/>
      <c r="L180" s="332"/>
      <c r="M180" s="332"/>
      <c r="N180" s="156"/>
      <c r="O180" s="332"/>
      <c r="P180" s="332"/>
      <c r="Q180" s="332"/>
      <c r="R180" s="156"/>
      <c r="S180" s="332"/>
      <c r="T180" s="332"/>
      <c r="U180" s="332"/>
      <c r="V180" s="332"/>
      <c r="W180" s="332"/>
      <c r="X180" s="332"/>
      <c r="Y180" s="156"/>
      <c r="Z180" s="332"/>
      <c r="AA180" s="332"/>
      <c r="AB180" s="156"/>
      <c r="AC180" s="156"/>
      <c r="AD180" s="332"/>
      <c r="AE180" s="156"/>
      <c r="AF180" s="156"/>
      <c r="AG180" s="332"/>
      <c r="AH180" s="332"/>
      <c r="AI180" s="332"/>
      <c r="AJ180" s="332"/>
      <c r="AK180" s="332"/>
      <c r="AL180" s="332"/>
      <c r="AM180" s="332"/>
      <c r="AN180" s="332"/>
      <c r="AO180" s="332"/>
    </row>
    <row r="181" spans="1:41">
      <c r="A181" s="332"/>
      <c r="B181" s="332"/>
      <c r="C181" s="156"/>
      <c r="D181" s="332"/>
      <c r="E181" s="332"/>
      <c r="F181" s="332"/>
      <c r="G181" s="332"/>
      <c r="H181" s="332"/>
      <c r="I181" s="332"/>
      <c r="J181" s="332"/>
      <c r="K181" s="332"/>
      <c r="L181" s="332"/>
      <c r="M181" s="332"/>
      <c r="N181" s="332"/>
      <c r="O181" s="332"/>
      <c r="P181" s="332"/>
      <c r="Q181" s="332"/>
      <c r="R181" s="156"/>
      <c r="S181" s="332"/>
      <c r="T181" s="332"/>
      <c r="U181" s="332"/>
      <c r="V181" s="332"/>
      <c r="W181" s="332"/>
      <c r="X181" s="332"/>
      <c r="Y181" s="156"/>
      <c r="Z181" s="332"/>
      <c r="AA181" s="332"/>
      <c r="AB181" s="156"/>
      <c r="AC181" s="156"/>
      <c r="AD181" s="332"/>
      <c r="AE181" s="156"/>
      <c r="AF181" s="156"/>
      <c r="AG181" s="332"/>
      <c r="AH181" s="332"/>
      <c r="AI181" s="332"/>
      <c r="AJ181" s="332"/>
      <c r="AK181" s="332"/>
      <c r="AL181" s="332"/>
      <c r="AM181" s="332"/>
      <c r="AN181" s="332"/>
      <c r="AO181" s="332"/>
    </row>
    <row r="182" spans="1:41">
      <c r="A182" s="332"/>
      <c r="B182" s="332"/>
      <c r="C182" s="156"/>
      <c r="D182" s="332"/>
      <c r="E182" s="332"/>
      <c r="F182" s="332"/>
      <c r="G182" s="332"/>
      <c r="H182" s="332"/>
      <c r="I182" s="332"/>
      <c r="J182" s="332"/>
      <c r="K182" s="332"/>
      <c r="L182" s="332"/>
      <c r="M182" s="332"/>
      <c r="N182" s="332"/>
      <c r="O182" s="332"/>
      <c r="P182" s="332"/>
      <c r="Q182" s="332"/>
      <c r="R182" s="156"/>
      <c r="S182" s="332"/>
      <c r="T182" s="332"/>
      <c r="U182" s="332"/>
      <c r="V182" s="332"/>
      <c r="W182" s="332"/>
      <c r="X182" s="332"/>
      <c r="Y182" s="156"/>
      <c r="Z182" s="332"/>
      <c r="AA182" s="332"/>
      <c r="AB182" s="156"/>
      <c r="AC182" s="156"/>
      <c r="AD182" s="332"/>
      <c r="AE182" s="332"/>
      <c r="AF182" s="156"/>
      <c r="AG182" s="332"/>
      <c r="AH182" s="332"/>
      <c r="AI182" s="332"/>
      <c r="AJ182" s="332"/>
      <c r="AK182" s="332"/>
      <c r="AL182" s="332"/>
      <c r="AM182" s="332"/>
      <c r="AN182" s="332"/>
      <c r="AO182" s="332"/>
    </row>
    <row r="183" spans="1:41">
      <c r="A183" s="332"/>
      <c r="B183" s="332"/>
      <c r="C183" s="156"/>
      <c r="D183" s="332"/>
      <c r="E183" s="332"/>
      <c r="F183" s="332"/>
      <c r="G183" s="156"/>
      <c r="H183" s="332"/>
      <c r="I183" s="332"/>
      <c r="J183" s="332"/>
      <c r="K183" s="332"/>
      <c r="L183" s="332"/>
      <c r="M183" s="332"/>
      <c r="N183" s="156"/>
      <c r="O183" s="332"/>
      <c r="P183" s="332"/>
      <c r="Q183" s="332"/>
      <c r="R183" s="332"/>
      <c r="S183" s="332"/>
      <c r="T183" s="332"/>
      <c r="U183" s="332"/>
      <c r="V183" s="332"/>
      <c r="W183" s="332"/>
      <c r="X183" s="332"/>
      <c r="Y183" s="156"/>
      <c r="Z183" s="332"/>
      <c r="AA183" s="332"/>
      <c r="AB183" s="156"/>
      <c r="AC183" s="332"/>
      <c r="AD183" s="332"/>
      <c r="AE183" s="332"/>
      <c r="AF183" s="156"/>
      <c r="AG183" s="332"/>
      <c r="AH183" s="332"/>
      <c r="AI183" s="332"/>
      <c r="AJ183" s="332"/>
      <c r="AK183" s="332"/>
      <c r="AL183" s="332"/>
      <c r="AM183" s="332"/>
      <c r="AN183" s="332"/>
      <c r="AO183" s="332"/>
    </row>
    <row r="184" spans="1:41">
      <c r="A184" s="332"/>
      <c r="B184" s="332"/>
      <c r="C184" s="332"/>
      <c r="D184" s="332"/>
      <c r="E184" s="332"/>
      <c r="F184" s="332"/>
      <c r="G184" s="332"/>
      <c r="H184" s="332"/>
      <c r="I184" s="332"/>
      <c r="J184" s="332"/>
      <c r="K184" s="332"/>
      <c r="L184" s="332"/>
      <c r="M184" s="332"/>
      <c r="N184" s="156"/>
      <c r="O184" s="332"/>
      <c r="P184" s="332"/>
      <c r="Q184" s="332"/>
      <c r="R184" s="332"/>
      <c r="S184" s="332"/>
      <c r="T184" s="332"/>
      <c r="U184" s="332"/>
      <c r="V184" s="332"/>
      <c r="W184" s="332"/>
      <c r="X184" s="332"/>
      <c r="Y184" s="332"/>
      <c r="Z184" s="332"/>
      <c r="AA184" s="332"/>
      <c r="AB184" s="332"/>
      <c r="AC184" s="156"/>
      <c r="AD184" s="332"/>
      <c r="AE184" s="332"/>
      <c r="AF184" s="156"/>
      <c r="AG184" s="332"/>
      <c r="AH184" s="332"/>
      <c r="AI184" s="332"/>
      <c r="AJ184" s="332"/>
      <c r="AK184" s="332"/>
      <c r="AL184" s="332"/>
      <c r="AM184" s="332"/>
      <c r="AN184" s="332"/>
      <c r="AO184" s="332"/>
    </row>
    <row r="185" spans="1:41">
      <c r="A185" s="332"/>
      <c r="B185" s="332"/>
      <c r="C185" s="332"/>
      <c r="D185" s="332"/>
      <c r="E185" s="332"/>
      <c r="F185" s="332"/>
      <c r="G185" s="332"/>
      <c r="H185" s="332"/>
      <c r="I185" s="332"/>
      <c r="J185" s="332"/>
      <c r="K185" s="332"/>
      <c r="L185" s="332"/>
      <c r="M185" s="332"/>
      <c r="N185" s="332"/>
      <c r="O185" s="332"/>
      <c r="P185" s="332"/>
      <c r="Q185" s="332"/>
      <c r="R185" s="332"/>
      <c r="S185" s="332"/>
      <c r="T185" s="332"/>
      <c r="U185" s="332"/>
      <c r="V185" s="332"/>
      <c r="W185" s="332"/>
      <c r="X185" s="332"/>
      <c r="Y185" s="332"/>
      <c r="Z185" s="332"/>
      <c r="AA185" s="332"/>
      <c r="AB185" s="332"/>
      <c r="AC185" s="332"/>
      <c r="AD185" s="332"/>
      <c r="AE185" s="156"/>
      <c r="AF185" s="332"/>
      <c r="AG185" s="332"/>
      <c r="AH185" s="332"/>
      <c r="AI185" s="332"/>
      <c r="AJ185" s="332"/>
      <c r="AK185" s="332"/>
      <c r="AL185" s="332"/>
      <c r="AM185" s="332"/>
      <c r="AN185" s="332"/>
      <c r="AO185" s="332"/>
    </row>
    <row r="186" spans="1:41">
      <c r="A186" s="332"/>
      <c r="B186" s="332"/>
      <c r="C186" s="156"/>
      <c r="D186" s="332"/>
      <c r="E186" s="332"/>
      <c r="F186" s="332"/>
      <c r="G186" s="332"/>
      <c r="H186" s="332"/>
      <c r="I186" s="332"/>
      <c r="J186" s="332"/>
      <c r="K186" s="332"/>
      <c r="L186" s="332"/>
      <c r="M186" s="332"/>
      <c r="N186" s="332"/>
      <c r="O186" s="332"/>
      <c r="P186" s="332"/>
      <c r="Q186" s="332"/>
      <c r="R186" s="332"/>
      <c r="S186" s="332"/>
      <c r="T186" s="332"/>
      <c r="U186" s="332"/>
      <c r="V186" s="332"/>
      <c r="W186" s="332"/>
      <c r="X186" s="332"/>
      <c r="Y186" s="156"/>
      <c r="Z186" s="332"/>
      <c r="AA186" s="332"/>
      <c r="AB186" s="332"/>
      <c r="AC186" s="332"/>
      <c r="AD186" s="332"/>
      <c r="AE186" s="332"/>
      <c r="AF186" s="332"/>
      <c r="AG186" s="332"/>
      <c r="AH186" s="332"/>
      <c r="AI186" s="332"/>
      <c r="AJ186" s="332"/>
      <c r="AK186" s="332"/>
      <c r="AL186" s="332"/>
      <c r="AM186" s="332"/>
      <c r="AN186" s="332"/>
      <c r="AO186" s="332"/>
    </row>
    <row r="187" spans="1:41">
      <c r="A187" s="332"/>
      <c r="B187" s="332"/>
      <c r="C187" s="332"/>
      <c r="D187" s="332"/>
      <c r="E187" s="332"/>
      <c r="F187" s="332"/>
      <c r="G187" s="156"/>
      <c r="H187" s="332"/>
      <c r="I187" s="332"/>
      <c r="J187" s="332"/>
      <c r="K187" s="332"/>
      <c r="L187" s="332"/>
      <c r="M187" s="332"/>
      <c r="N187" s="156"/>
      <c r="O187" s="332"/>
      <c r="P187" s="332"/>
      <c r="Q187" s="332"/>
      <c r="R187" s="332"/>
      <c r="S187" s="332"/>
      <c r="T187" s="332"/>
      <c r="U187" s="332"/>
      <c r="V187" s="332"/>
      <c r="W187" s="332"/>
      <c r="X187" s="332"/>
      <c r="Y187" s="156"/>
      <c r="Z187" s="332"/>
      <c r="AA187" s="332"/>
      <c r="AB187" s="332"/>
      <c r="AC187" s="156"/>
      <c r="AD187" s="332"/>
      <c r="AE187" s="332"/>
      <c r="AF187" s="156"/>
      <c r="AG187" s="332"/>
      <c r="AH187" s="332"/>
      <c r="AI187" s="332"/>
      <c r="AJ187" s="332"/>
      <c r="AK187" s="332"/>
      <c r="AL187" s="332"/>
      <c r="AM187" s="332"/>
      <c r="AN187" s="332"/>
      <c r="AO187" s="332"/>
    </row>
    <row r="188" spans="1:41">
      <c r="A188" s="332"/>
      <c r="B188" s="332"/>
      <c r="C188" s="332"/>
      <c r="D188" s="332"/>
      <c r="E188" s="332"/>
      <c r="F188" s="332"/>
      <c r="G188" s="156"/>
      <c r="H188" s="332"/>
      <c r="I188" s="332"/>
      <c r="J188" s="332"/>
      <c r="K188" s="332"/>
      <c r="L188" s="332"/>
      <c r="M188" s="332"/>
      <c r="N188" s="156"/>
      <c r="O188" s="332"/>
      <c r="P188" s="332"/>
      <c r="Q188" s="332"/>
      <c r="R188" s="332"/>
      <c r="S188" s="332"/>
      <c r="T188" s="332"/>
      <c r="U188" s="332"/>
      <c r="V188" s="332"/>
      <c r="W188" s="332"/>
      <c r="X188" s="332"/>
      <c r="Y188" s="156"/>
      <c r="Z188" s="332"/>
      <c r="AA188" s="332"/>
      <c r="AB188" s="156"/>
      <c r="AC188" s="156"/>
      <c r="AD188" s="332"/>
      <c r="AE188" s="332"/>
      <c r="AF188" s="332"/>
      <c r="AG188" s="332"/>
      <c r="AH188" s="332"/>
      <c r="AI188" s="332"/>
      <c r="AJ188" s="332"/>
      <c r="AK188" s="332"/>
      <c r="AL188" s="332"/>
      <c r="AM188" s="332"/>
      <c r="AN188" s="332"/>
      <c r="AO188" s="332"/>
    </row>
    <row r="189" spans="1:41">
      <c r="A189" s="332"/>
      <c r="B189" s="332"/>
      <c r="C189" s="156"/>
      <c r="D189" s="332"/>
      <c r="E189" s="332"/>
      <c r="F189" s="332"/>
      <c r="G189" s="332"/>
      <c r="H189" s="332"/>
      <c r="I189" s="332"/>
      <c r="J189" s="332"/>
      <c r="K189" s="332"/>
      <c r="L189" s="332"/>
      <c r="M189" s="332"/>
      <c r="N189" s="332"/>
      <c r="O189" s="332"/>
      <c r="P189" s="332"/>
      <c r="Q189" s="332"/>
      <c r="R189" s="156"/>
      <c r="S189" s="332"/>
      <c r="T189" s="332"/>
      <c r="U189" s="332"/>
      <c r="V189" s="332"/>
      <c r="W189" s="332"/>
      <c r="X189" s="332"/>
      <c r="Y189" s="156"/>
      <c r="Z189" s="332"/>
      <c r="AA189" s="332"/>
      <c r="AB189" s="156"/>
      <c r="AC189" s="156"/>
      <c r="AD189" s="332"/>
      <c r="AE189" s="332"/>
      <c r="AF189" s="156"/>
      <c r="AG189" s="332"/>
      <c r="AH189" s="332"/>
      <c r="AI189" s="332"/>
      <c r="AJ189" s="332"/>
      <c r="AK189" s="332"/>
      <c r="AL189" s="332"/>
      <c r="AM189" s="332"/>
      <c r="AN189" s="332"/>
      <c r="AO189" s="332"/>
    </row>
    <row r="190" spans="1:41">
      <c r="A190" s="332"/>
      <c r="B190" s="332"/>
      <c r="C190" s="156"/>
      <c r="D190" s="332"/>
      <c r="E190" s="332"/>
      <c r="F190" s="332"/>
      <c r="G190" s="332"/>
      <c r="H190" s="332"/>
      <c r="I190" s="332"/>
      <c r="J190" s="332"/>
      <c r="K190" s="332"/>
      <c r="L190" s="332"/>
      <c r="M190" s="332"/>
      <c r="N190" s="156"/>
      <c r="O190" s="332"/>
      <c r="P190" s="332"/>
      <c r="Q190" s="332"/>
      <c r="R190" s="156"/>
      <c r="S190" s="332"/>
      <c r="T190" s="156"/>
      <c r="U190" s="332"/>
      <c r="V190" s="332"/>
      <c r="W190" s="332"/>
      <c r="X190" s="332"/>
      <c r="Y190" s="156"/>
      <c r="Z190" s="332"/>
      <c r="AA190" s="332"/>
      <c r="AB190" s="156"/>
      <c r="AC190" s="156"/>
      <c r="AD190" s="332"/>
      <c r="AE190" s="156"/>
      <c r="AF190" s="332"/>
      <c r="AG190" s="332"/>
      <c r="AH190" s="332"/>
      <c r="AI190" s="332"/>
      <c r="AJ190" s="332"/>
      <c r="AK190" s="332"/>
      <c r="AL190" s="332"/>
      <c r="AM190" s="332"/>
      <c r="AN190" s="332"/>
      <c r="AO190" s="332"/>
    </row>
    <row r="191" spans="1:41">
      <c r="A191" s="332"/>
      <c r="B191" s="332"/>
      <c r="C191" s="332"/>
      <c r="D191" s="332"/>
      <c r="E191" s="332"/>
      <c r="F191" s="332"/>
      <c r="G191" s="332"/>
      <c r="H191" s="332"/>
      <c r="I191" s="332"/>
      <c r="J191" s="332"/>
      <c r="K191" s="332"/>
      <c r="L191" s="332"/>
      <c r="M191" s="332"/>
      <c r="N191" s="156"/>
      <c r="O191" s="332"/>
      <c r="P191" s="332"/>
      <c r="Q191" s="332"/>
      <c r="R191" s="332"/>
      <c r="S191" s="332"/>
      <c r="T191" s="332"/>
      <c r="U191" s="332"/>
      <c r="V191" s="332"/>
      <c r="W191" s="332"/>
      <c r="X191" s="332"/>
      <c r="Y191" s="156"/>
      <c r="Z191" s="332"/>
      <c r="AA191" s="332"/>
      <c r="AB191" s="156"/>
      <c r="AC191" s="156"/>
      <c r="AD191" s="332"/>
      <c r="AE191" s="332"/>
      <c r="AF191" s="156"/>
      <c r="AG191" s="332"/>
      <c r="AH191" s="332"/>
      <c r="AI191" s="332"/>
      <c r="AJ191" s="332"/>
      <c r="AK191" s="332"/>
      <c r="AL191" s="332"/>
      <c r="AM191" s="332"/>
      <c r="AN191" s="332"/>
      <c r="AO191" s="332"/>
    </row>
    <row r="192" spans="1:41">
      <c r="A192" s="332"/>
      <c r="B192" s="332"/>
      <c r="C192" s="332"/>
      <c r="D192" s="332"/>
      <c r="E192" s="332"/>
      <c r="F192" s="332"/>
      <c r="G192" s="156"/>
      <c r="H192" s="332"/>
      <c r="I192" s="332"/>
      <c r="J192" s="332"/>
      <c r="K192" s="332"/>
      <c r="L192" s="332"/>
      <c r="M192" s="332"/>
      <c r="N192" s="156"/>
      <c r="O192" s="332"/>
      <c r="P192" s="332"/>
      <c r="Q192" s="332"/>
      <c r="R192" s="332"/>
      <c r="S192" s="332"/>
      <c r="T192" s="332"/>
      <c r="U192" s="332"/>
      <c r="V192" s="332"/>
      <c r="W192" s="332"/>
      <c r="X192" s="332"/>
      <c r="Y192" s="156"/>
      <c r="Z192" s="332"/>
      <c r="AA192" s="332"/>
      <c r="AB192" s="156"/>
      <c r="AC192" s="156"/>
      <c r="AD192" s="332"/>
      <c r="AE192" s="332"/>
      <c r="AF192" s="156"/>
      <c r="AG192" s="332"/>
      <c r="AH192" s="332"/>
      <c r="AI192" s="332"/>
      <c r="AJ192" s="332"/>
      <c r="AK192" s="332"/>
      <c r="AL192" s="332"/>
      <c r="AM192" s="332"/>
      <c r="AN192" s="332"/>
      <c r="AO192" s="332"/>
    </row>
    <row r="193" spans="1:41">
      <c r="A193" s="332"/>
      <c r="B193" s="332"/>
      <c r="C193" s="156"/>
      <c r="D193" s="332"/>
      <c r="E193" s="332"/>
      <c r="F193" s="332"/>
      <c r="G193" s="156"/>
      <c r="H193" s="332"/>
      <c r="I193" s="332"/>
      <c r="J193" s="332"/>
      <c r="K193" s="332"/>
      <c r="L193" s="332"/>
      <c r="M193" s="332"/>
      <c r="N193" s="156"/>
      <c r="O193" s="332"/>
      <c r="P193" s="332"/>
      <c r="Q193" s="332"/>
      <c r="R193" s="332"/>
      <c r="S193" s="332"/>
      <c r="T193" s="332"/>
      <c r="U193" s="332"/>
      <c r="V193" s="332"/>
      <c r="W193" s="332"/>
      <c r="X193" s="332"/>
      <c r="Y193" s="156"/>
      <c r="Z193" s="332"/>
      <c r="AA193" s="332"/>
      <c r="AB193" s="156"/>
      <c r="AC193" s="156"/>
      <c r="AD193" s="332"/>
      <c r="AE193" s="156"/>
      <c r="AF193" s="156"/>
      <c r="AG193" s="332"/>
      <c r="AH193" s="332"/>
      <c r="AI193" s="332"/>
      <c r="AJ193" s="332"/>
      <c r="AK193" s="332"/>
      <c r="AL193" s="332"/>
      <c r="AM193" s="332"/>
      <c r="AN193" s="332"/>
      <c r="AO193" s="332"/>
    </row>
    <row r="194" spans="1:41">
      <c r="A194" s="332"/>
      <c r="B194" s="332"/>
      <c r="C194" s="332"/>
      <c r="D194" s="332"/>
      <c r="E194" s="332"/>
      <c r="F194" s="332"/>
      <c r="G194" s="332"/>
      <c r="H194" s="332"/>
      <c r="I194" s="332"/>
      <c r="J194" s="332"/>
      <c r="K194" s="332"/>
      <c r="L194" s="332"/>
      <c r="M194" s="332"/>
      <c r="N194" s="332"/>
      <c r="O194" s="332"/>
      <c r="P194" s="332"/>
      <c r="Q194" s="332"/>
      <c r="R194" s="332"/>
      <c r="S194" s="332"/>
      <c r="T194" s="332"/>
      <c r="U194" s="332"/>
      <c r="V194" s="156"/>
      <c r="W194" s="332"/>
      <c r="X194" s="332"/>
      <c r="Y194" s="156"/>
      <c r="Z194" s="332"/>
      <c r="AA194" s="332"/>
      <c r="AB194" s="332"/>
      <c r="AC194" s="332"/>
      <c r="AD194" s="332"/>
      <c r="AE194" s="332"/>
      <c r="AF194" s="332"/>
      <c r="AG194" s="332"/>
      <c r="AH194" s="332"/>
      <c r="AI194" s="332"/>
      <c r="AJ194" s="332"/>
      <c r="AK194" s="332"/>
      <c r="AL194" s="332"/>
      <c r="AM194" s="332"/>
      <c r="AN194" s="332"/>
      <c r="AO194" s="332"/>
    </row>
    <row r="195" spans="1:41">
      <c r="A195" s="332"/>
      <c r="B195" s="332"/>
      <c r="C195" s="156"/>
      <c r="D195" s="332"/>
      <c r="E195" s="332"/>
      <c r="F195" s="332"/>
      <c r="G195" s="332"/>
      <c r="H195" s="332"/>
      <c r="I195" s="332"/>
      <c r="J195" s="332"/>
      <c r="K195" s="332"/>
      <c r="L195" s="332"/>
      <c r="M195" s="332"/>
      <c r="N195" s="156"/>
      <c r="O195" s="332"/>
      <c r="P195" s="332"/>
      <c r="Q195" s="332"/>
      <c r="R195" s="332"/>
      <c r="S195" s="332"/>
      <c r="T195" s="332"/>
      <c r="U195" s="332"/>
      <c r="V195" s="332"/>
      <c r="W195" s="332"/>
      <c r="X195" s="332"/>
      <c r="Y195" s="156"/>
      <c r="Z195" s="332"/>
      <c r="AA195" s="332"/>
      <c r="AB195" s="156"/>
      <c r="AC195" s="332"/>
      <c r="AD195" s="332"/>
      <c r="AE195" s="156"/>
      <c r="AF195" s="156"/>
      <c r="AG195" s="332"/>
      <c r="AH195" s="332"/>
      <c r="AI195" s="332"/>
      <c r="AJ195" s="332"/>
      <c r="AK195" s="332"/>
      <c r="AL195" s="332"/>
      <c r="AM195" s="332"/>
      <c r="AN195" s="332"/>
      <c r="AO195" s="332"/>
    </row>
    <row r="196" spans="1:41">
      <c r="A196" s="332"/>
      <c r="B196" s="332"/>
      <c r="C196" s="156"/>
      <c r="D196" s="332"/>
      <c r="E196" s="332"/>
      <c r="F196" s="332"/>
      <c r="G196" s="332"/>
      <c r="H196" s="332"/>
      <c r="I196" s="332"/>
      <c r="J196" s="332"/>
      <c r="K196" s="332"/>
      <c r="L196" s="332"/>
      <c r="M196" s="332"/>
      <c r="N196" s="332"/>
      <c r="O196" s="332"/>
      <c r="P196" s="332"/>
      <c r="Q196" s="332"/>
      <c r="R196" s="156"/>
      <c r="S196" s="332"/>
      <c r="T196" s="332"/>
      <c r="U196" s="332"/>
      <c r="V196" s="332"/>
      <c r="W196" s="332"/>
      <c r="X196" s="332"/>
      <c r="Y196" s="156"/>
      <c r="Z196" s="332"/>
      <c r="AA196" s="332"/>
      <c r="AB196" s="156"/>
      <c r="AC196" s="156"/>
      <c r="AD196" s="332"/>
      <c r="AE196" s="156"/>
      <c r="AF196" s="156"/>
      <c r="AG196" s="332"/>
      <c r="AH196" s="332"/>
      <c r="AI196" s="332"/>
      <c r="AJ196" s="332"/>
      <c r="AK196" s="332"/>
      <c r="AL196" s="332"/>
      <c r="AM196" s="332"/>
      <c r="AN196" s="332"/>
      <c r="AO196" s="332"/>
    </row>
    <row r="197" spans="1:41">
      <c r="A197" s="332"/>
      <c r="B197" s="332"/>
      <c r="C197" s="332"/>
      <c r="D197" s="332"/>
      <c r="E197" s="332"/>
      <c r="F197" s="332"/>
      <c r="G197" s="156"/>
      <c r="H197" s="332"/>
      <c r="I197" s="332"/>
      <c r="J197" s="332"/>
      <c r="K197" s="332"/>
      <c r="L197" s="332"/>
      <c r="M197" s="332"/>
      <c r="N197" s="156"/>
      <c r="O197" s="332"/>
      <c r="P197" s="332"/>
      <c r="Q197" s="332"/>
      <c r="R197" s="332"/>
      <c r="S197" s="332"/>
      <c r="T197" s="332"/>
      <c r="U197" s="332"/>
      <c r="V197" s="332"/>
      <c r="W197" s="332"/>
      <c r="X197" s="332"/>
      <c r="Y197" s="156"/>
      <c r="Z197" s="332"/>
      <c r="AA197" s="332"/>
      <c r="AB197" s="332"/>
      <c r="AC197" s="332"/>
      <c r="AD197" s="332"/>
      <c r="AE197" s="332"/>
      <c r="AF197" s="332"/>
      <c r="AG197" s="332"/>
      <c r="AH197" s="332"/>
      <c r="AI197" s="332"/>
      <c r="AJ197" s="332"/>
      <c r="AK197" s="332"/>
      <c r="AL197" s="332"/>
      <c r="AM197" s="332"/>
      <c r="AN197" s="332"/>
      <c r="AO197" s="332"/>
    </row>
    <row r="198" spans="1:41">
      <c r="A198" s="332"/>
      <c r="B198" s="332"/>
      <c r="C198" s="156"/>
      <c r="D198" s="332"/>
      <c r="E198" s="332"/>
      <c r="F198" s="332"/>
      <c r="G198" s="332"/>
      <c r="H198" s="332"/>
      <c r="I198" s="332"/>
      <c r="J198" s="332"/>
      <c r="K198" s="332"/>
      <c r="L198" s="332"/>
      <c r="M198" s="332"/>
      <c r="N198" s="156"/>
      <c r="O198" s="332"/>
      <c r="P198" s="332"/>
      <c r="Q198" s="332"/>
      <c r="R198" s="332"/>
      <c r="S198" s="332"/>
      <c r="T198" s="332"/>
      <c r="U198" s="332"/>
      <c r="V198" s="332"/>
      <c r="W198" s="332"/>
      <c r="X198" s="332"/>
      <c r="Y198" s="156"/>
      <c r="Z198" s="332"/>
      <c r="AA198" s="332"/>
      <c r="AB198" s="332"/>
      <c r="AC198" s="156"/>
      <c r="AD198" s="332"/>
      <c r="AE198" s="332"/>
      <c r="AF198" s="156"/>
      <c r="AG198" s="332"/>
      <c r="AH198" s="332"/>
      <c r="AI198" s="332"/>
      <c r="AJ198" s="332"/>
      <c r="AK198" s="332"/>
      <c r="AL198" s="332"/>
      <c r="AM198" s="332"/>
      <c r="AN198" s="332"/>
      <c r="AO198" s="332"/>
    </row>
    <row r="199" spans="1:41">
      <c r="A199" s="332"/>
      <c r="B199" s="332"/>
      <c r="C199" s="156"/>
      <c r="D199" s="332"/>
      <c r="E199" s="332"/>
      <c r="F199" s="332"/>
      <c r="G199" s="156"/>
      <c r="H199" s="332"/>
      <c r="I199" s="332"/>
      <c r="J199" s="332"/>
      <c r="K199" s="332"/>
      <c r="L199" s="332"/>
      <c r="M199" s="332"/>
      <c r="N199" s="156"/>
      <c r="O199" s="332"/>
      <c r="P199" s="332"/>
      <c r="Q199" s="332"/>
      <c r="R199" s="332"/>
      <c r="S199" s="332"/>
      <c r="T199" s="332"/>
      <c r="U199" s="332"/>
      <c r="V199" s="332"/>
      <c r="W199" s="332"/>
      <c r="X199" s="332"/>
      <c r="Y199" s="156"/>
      <c r="Z199" s="332"/>
      <c r="AA199" s="332"/>
      <c r="AB199" s="156"/>
      <c r="AC199" s="156"/>
      <c r="AD199" s="332"/>
      <c r="AE199" s="332"/>
      <c r="AF199" s="332"/>
      <c r="AG199" s="332"/>
      <c r="AH199" s="332"/>
      <c r="AI199" s="332"/>
      <c r="AJ199" s="332"/>
      <c r="AK199" s="332"/>
      <c r="AL199" s="332"/>
      <c r="AM199" s="332"/>
      <c r="AN199" s="332"/>
      <c r="AO199" s="332"/>
    </row>
    <row r="200" spans="1:41">
      <c r="A200" s="332"/>
      <c r="B200" s="332"/>
      <c r="C200" s="156"/>
      <c r="D200" s="332"/>
      <c r="E200" s="332"/>
      <c r="F200" s="332"/>
      <c r="G200" s="332"/>
      <c r="H200" s="332"/>
      <c r="I200" s="332"/>
      <c r="J200" s="332"/>
      <c r="K200" s="332"/>
      <c r="L200" s="332"/>
      <c r="M200" s="332"/>
      <c r="N200" s="332"/>
      <c r="O200" s="332"/>
      <c r="P200" s="332"/>
      <c r="Q200" s="332"/>
      <c r="R200" s="332"/>
      <c r="S200" s="332"/>
      <c r="T200" s="332"/>
      <c r="U200" s="332"/>
      <c r="V200" s="332"/>
      <c r="W200" s="332"/>
      <c r="X200" s="332"/>
      <c r="Y200" s="156"/>
      <c r="Z200" s="332"/>
      <c r="AA200" s="332"/>
      <c r="AB200" s="156"/>
      <c r="AC200" s="156"/>
      <c r="AD200" s="332"/>
      <c r="AE200" s="156"/>
      <c r="AF200" s="332"/>
      <c r="AG200" s="332"/>
      <c r="AH200" s="332"/>
      <c r="AI200" s="332"/>
      <c r="AJ200" s="332"/>
      <c r="AK200" s="332"/>
      <c r="AL200" s="332"/>
      <c r="AM200" s="332"/>
      <c r="AN200" s="332"/>
      <c r="AO200" s="332"/>
    </row>
    <row r="201" spans="1:41">
      <c r="A201" s="332"/>
      <c r="B201" s="332"/>
      <c r="C201" s="332"/>
      <c r="D201" s="332"/>
      <c r="E201" s="332"/>
      <c r="F201" s="332"/>
      <c r="G201" s="332"/>
      <c r="H201" s="332"/>
      <c r="I201" s="332"/>
      <c r="J201" s="332"/>
      <c r="K201" s="332"/>
      <c r="L201" s="332"/>
      <c r="M201" s="332"/>
      <c r="N201" s="156"/>
      <c r="O201" s="332"/>
      <c r="P201" s="332"/>
      <c r="Q201" s="332"/>
      <c r="R201" s="332"/>
      <c r="S201" s="332"/>
      <c r="T201" s="332"/>
      <c r="U201" s="332"/>
      <c r="V201" s="332"/>
      <c r="W201" s="332"/>
      <c r="X201" s="332"/>
      <c r="Y201" s="156"/>
      <c r="Z201" s="332"/>
      <c r="AA201" s="332"/>
      <c r="AB201" s="332"/>
      <c r="AC201" s="332"/>
      <c r="AD201" s="332"/>
      <c r="AE201" s="332"/>
      <c r="AF201" s="156"/>
      <c r="AG201" s="332"/>
      <c r="AH201" s="332"/>
      <c r="AI201" s="332"/>
      <c r="AJ201" s="332"/>
      <c r="AK201" s="332"/>
      <c r="AL201" s="332"/>
      <c r="AM201" s="332"/>
      <c r="AN201" s="332"/>
      <c r="AO201" s="332"/>
    </row>
    <row r="202" spans="1:41">
      <c r="A202" s="332"/>
      <c r="B202" s="332"/>
      <c r="C202" s="332"/>
      <c r="D202" s="332"/>
      <c r="E202" s="332"/>
      <c r="F202" s="332"/>
      <c r="G202" s="332"/>
      <c r="H202" s="332"/>
      <c r="I202" s="332"/>
      <c r="J202" s="332"/>
      <c r="K202" s="332"/>
      <c r="L202" s="332"/>
      <c r="M202" s="332"/>
      <c r="N202" s="156"/>
      <c r="O202" s="332"/>
      <c r="P202" s="332"/>
      <c r="Q202" s="332"/>
      <c r="R202" s="332"/>
      <c r="S202" s="332"/>
      <c r="T202" s="332"/>
      <c r="U202" s="332"/>
      <c r="V202" s="332"/>
      <c r="W202" s="332"/>
      <c r="X202" s="332"/>
      <c r="Y202" s="156"/>
      <c r="Z202" s="332"/>
      <c r="AA202" s="332"/>
      <c r="AB202" s="332"/>
      <c r="AC202" s="332"/>
      <c r="AD202" s="332"/>
      <c r="AE202" s="156"/>
      <c r="AF202" s="156"/>
      <c r="AG202" s="332"/>
      <c r="AH202" s="332"/>
      <c r="AI202" s="332"/>
      <c r="AJ202" s="332"/>
      <c r="AK202" s="332"/>
      <c r="AL202" s="332"/>
      <c r="AM202" s="332"/>
      <c r="AN202" s="332"/>
      <c r="AO202" s="332"/>
    </row>
    <row r="203" spans="1:41">
      <c r="A203" s="332"/>
      <c r="B203" s="332"/>
      <c r="C203" s="332"/>
      <c r="D203" s="332"/>
      <c r="E203" s="332"/>
      <c r="F203" s="332"/>
      <c r="G203" s="332"/>
      <c r="H203" s="332"/>
      <c r="I203" s="332"/>
      <c r="J203" s="332"/>
      <c r="K203" s="332"/>
      <c r="L203" s="332"/>
      <c r="M203" s="332"/>
      <c r="N203" s="332"/>
      <c r="O203" s="332"/>
      <c r="P203" s="332"/>
      <c r="Q203" s="332"/>
      <c r="R203" s="332"/>
      <c r="S203" s="332"/>
      <c r="T203" s="332"/>
      <c r="U203" s="332"/>
      <c r="V203" s="332"/>
      <c r="W203" s="332"/>
      <c r="X203" s="332"/>
      <c r="Y203" s="156"/>
      <c r="Z203" s="332"/>
      <c r="AA203" s="332"/>
      <c r="AB203" s="156"/>
      <c r="AC203" s="332"/>
      <c r="AD203" s="332"/>
      <c r="AE203" s="156"/>
      <c r="AF203" s="156"/>
      <c r="AG203" s="332"/>
      <c r="AH203" s="332"/>
      <c r="AI203" s="332"/>
      <c r="AJ203" s="332"/>
      <c r="AK203" s="332"/>
      <c r="AL203" s="332"/>
      <c r="AM203" s="332"/>
      <c r="AN203" s="332"/>
      <c r="AO203" s="332"/>
    </row>
    <row r="204" spans="1:41">
      <c r="A204" s="332"/>
      <c r="B204" s="332"/>
      <c r="C204" s="332"/>
      <c r="D204" s="332"/>
      <c r="E204" s="332"/>
      <c r="F204" s="332"/>
      <c r="G204" s="332"/>
      <c r="H204" s="332"/>
      <c r="I204" s="332"/>
      <c r="J204" s="332"/>
      <c r="K204" s="332"/>
      <c r="L204" s="332"/>
      <c r="M204" s="332"/>
      <c r="N204" s="156"/>
      <c r="O204" s="332"/>
      <c r="P204" s="332"/>
      <c r="Q204" s="332"/>
      <c r="R204" s="332"/>
      <c r="S204" s="332"/>
      <c r="T204" s="332"/>
      <c r="U204" s="332"/>
      <c r="V204" s="332"/>
      <c r="W204" s="332"/>
      <c r="X204" s="332"/>
      <c r="Y204" s="156"/>
      <c r="Z204" s="332"/>
      <c r="AA204" s="332"/>
      <c r="AB204" s="156"/>
      <c r="AC204" s="156"/>
      <c r="AD204" s="332"/>
      <c r="AE204" s="332"/>
      <c r="AF204" s="156"/>
      <c r="AG204" s="332"/>
      <c r="AH204" s="332"/>
      <c r="AI204" s="332"/>
      <c r="AJ204" s="332"/>
      <c r="AK204" s="332"/>
      <c r="AL204" s="332"/>
      <c r="AM204" s="332"/>
      <c r="AN204" s="332"/>
      <c r="AO204" s="332"/>
    </row>
    <row r="205" spans="1:41">
      <c r="A205" s="332"/>
      <c r="B205" s="332"/>
      <c r="C205" s="332"/>
      <c r="D205" s="332"/>
      <c r="E205" s="332"/>
      <c r="F205" s="332"/>
      <c r="G205" s="332"/>
      <c r="H205" s="332"/>
      <c r="I205" s="332"/>
      <c r="J205" s="332"/>
      <c r="K205" s="332"/>
      <c r="L205" s="332"/>
      <c r="M205" s="332"/>
      <c r="N205" s="156"/>
      <c r="O205" s="332"/>
      <c r="P205" s="332"/>
      <c r="Q205" s="332"/>
      <c r="R205" s="332"/>
      <c r="S205" s="332"/>
      <c r="T205" s="332"/>
      <c r="U205" s="332"/>
      <c r="V205" s="156"/>
      <c r="W205" s="332"/>
      <c r="X205" s="332"/>
      <c r="Y205" s="332"/>
      <c r="Z205" s="332"/>
      <c r="AA205" s="332"/>
      <c r="AB205" s="156"/>
      <c r="AC205" s="332"/>
      <c r="AD205" s="332"/>
      <c r="AE205" s="332"/>
      <c r="AF205" s="156"/>
      <c r="AG205" s="332"/>
      <c r="AH205" s="332"/>
      <c r="AI205" s="332"/>
      <c r="AJ205" s="332"/>
      <c r="AK205" s="332"/>
      <c r="AL205" s="332"/>
      <c r="AM205" s="332"/>
      <c r="AN205" s="332"/>
      <c r="AO205" s="332"/>
    </row>
    <row r="206" spans="1:41">
      <c r="A206" s="332"/>
      <c r="B206" s="332"/>
      <c r="C206" s="332"/>
      <c r="D206" s="332"/>
      <c r="E206" s="332"/>
      <c r="F206" s="332"/>
      <c r="G206" s="332"/>
      <c r="H206" s="332"/>
      <c r="I206" s="332"/>
      <c r="J206" s="332"/>
      <c r="K206" s="332"/>
      <c r="L206" s="332"/>
      <c r="M206" s="332"/>
      <c r="N206" s="332"/>
      <c r="O206" s="332"/>
      <c r="P206" s="332"/>
      <c r="Q206" s="332"/>
      <c r="R206" s="332"/>
      <c r="S206" s="332"/>
      <c r="T206" s="332"/>
      <c r="U206" s="332"/>
      <c r="V206" s="332"/>
      <c r="W206" s="332"/>
      <c r="X206" s="332"/>
      <c r="Y206" s="156"/>
      <c r="Z206" s="332"/>
      <c r="AA206" s="332"/>
      <c r="AB206" s="156"/>
      <c r="AC206" s="156"/>
      <c r="AD206" s="332"/>
      <c r="AE206" s="332"/>
      <c r="AF206" s="156"/>
      <c r="AG206" s="332"/>
      <c r="AH206" s="332"/>
      <c r="AI206" s="332"/>
      <c r="AJ206" s="332"/>
      <c r="AK206" s="332"/>
      <c r="AL206" s="332"/>
      <c r="AM206" s="332"/>
      <c r="AN206" s="332"/>
      <c r="AO206" s="332"/>
    </row>
    <row r="207" spans="1:41">
      <c r="A207" s="332"/>
      <c r="B207" s="332"/>
      <c r="C207" s="332"/>
      <c r="D207" s="332"/>
      <c r="E207" s="332"/>
      <c r="F207" s="332"/>
      <c r="G207" s="332"/>
      <c r="H207" s="332"/>
      <c r="I207" s="332"/>
      <c r="J207" s="332"/>
      <c r="K207" s="332"/>
      <c r="L207" s="332"/>
      <c r="M207" s="332"/>
      <c r="N207" s="156"/>
      <c r="O207" s="332"/>
      <c r="P207" s="332"/>
      <c r="Q207" s="332"/>
      <c r="R207" s="156"/>
      <c r="S207" s="332"/>
      <c r="T207" s="332"/>
      <c r="U207" s="332"/>
      <c r="V207" s="332"/>
      <c r="W207" s="332"/>
      <c r="X207" s="332"/>
      <c r="Y207" s="156"/>
      <c r="Z207" s="332"/>
      <c r="AA207" s="332"/>
      <c r="AB207" s="156"/>
      <c r="AC207" s="332"/>
      <c r="AD207" s="332"/>
      <c r="AE207" s="332"/>
      <c r="AF207" s="156"/>
      <c r="AG207" s="332"/>
      <c r="AH207" s="332"/>
      <c r="AI207" s="332"/>
      <c r="AJ207" s="332"/>
      <c r="AK207" s="332"/>
      <c r="AL207" s="332"/>
      <c r="AM207" s="332"/>
      <c r="AN207" s="332"/>
      <c r="AO207" s="332"/>
    </row>
    <row r="208" spans="1:41">
      <c r="A208" s="332"/>
      <c r="B208" s="332"/>
      <c r="C208" s="332"/>
      <c r="D208" s="332"/>
      <c r="E208" s="332"/>
      <c r="F208" s="332"/>
      <c r="G208" s="156"/>
      <c r="H208" s="332"/>
      <c r="I208" s="332"/>
      <c r="J208" s="332"/>
      <c r="K208" s="332"/>
      <c r="L208" s="332"/>
      <c r="M208" s="332"/>
      <c r="N208" s="156"/>
      <c r="O208" s="332"/>
      <c r="P208" s="332"/>
      <c r="Q208" s="332"/>
      <c r="R208" s="332"/>
      <c r="S208" s="332"/>
      <c r="T208" s="332"/>
      <c r="U208" s="332"/>
      <c r="V208" s="332"/>
      <c r="W208" s="332"/>
      <c r="X208" s="332"/>
      <c r="Y208" s="156"/>
      <c r="Z208" s="332"/>
      <c r="AA208" s="332"/>
      <c r="AB208" s="156"/>
      <c r="AC208" s="156"/>
      <c r="AD208" s="332"/>
      <c r="AE208" s="332"/>
      <c r="AF208" s="156"/>
      <c r="AG208" s="332"/>
      <c r="AH208" s="332"/>
      <c r="AI208" s="332"/>
      <c r="AJ208" s="332"/>
      <c r="AK208" s="332"/>
      <c r="AL208" s="332"/>
      <c r="AM208" s="332"/>
      <c r="AN208" s="332"/>
      <c r="AO208" s="332"/>
    </row>
    <row r="209" spans="1:41">
      <c r="A209" s="332"/>
      <c r="B209" s="332"/>
      <c r="C209" s="332"/>
      <c r="D209" s="332"/>
      <c r="E209" s="332"/>
      <c r="F209" s="332"/>
      <c r="G209" s="332"/>
      <c r="H209" s="332"/>
      <c r="I209" s="332"/>
      <c r="J209" s="332"/>
      <c r="K209" s="332"/>
      <c r="L209" s="332"/>
      <c r="M209" s="332"/>
      <c r="N209" s="156"/>
      <c r="O209" s="332"/>
      <c r="P209" s="332"/>
      <c r="Q209" s="332"/>
      <c r="R209" s="332"/>
      <c r="S209" s="332"/>
      <c r="T209" s="332"/>
      <c r="U209" s="332"/>
      <c r="V209" s="332"/>
      <c r="W209" s="332"/>
      <c r="X209" s="332"/>
      <c r="Y209" s="156"/>
      <c r="Z209" s="332"/>
      <c r="AA209" s="332"/>
      <c r="AB209" s="156"/>
      <c r="AC209" s="156"/>
      <c r="AD209" s="332"/>
      <c r="AE209" s="332"/>
      <c r="AF209" s="156"/>
      <c r="AG209" s="332"/>
      <c r="AH209" s="332"/>
      <c r="AI209" s="332"/>
      <c r="AJ209" s="332"/>
      <c r="AK209" s="332"/>
      <c r="AL209" s="332"/>
      <c r="AM209" s="332"/>
      <c r="AN209" s="332"/>
      <c r="AO209" s="332"/>
    </row>
    <row r="210" spans="1:41">
      <c r="A210" s="332"/>
      <c r="B210" s="332"/>
      <c r="C210" s="156"/>
      <c r="D210" s="332"/>
      <c r="E210" s="332"/>
      <c r="F210" s="332"/>
      <c r="G210" s="332"/>
      <c r="H210" s="332"/>
      <c r="I210" s="332"/>
      <c r="J210" s="332"/>
      <c r="K210" s="332"/>
      <c r="L210" s="332"/>
      <c r="M210" s="332"/>
      <c r="N210" s="156"/>
      <c r="O210" s="332"/>
      <c r="P210" s="332"/>
      <c r="Q210" s="332"/>
      <c r="R210" s="156"/>
      <c r="S210" s="332"/>
      <c r="T210" s="332"/>
      <c r="U210" s="332"/>
      <c r="V210" s="332"/>
      <c r="W210" s="332"/>
      <c r="X210" s="332"/>
      <c r="Y210" s="156"/>
      <c r="Z210" s="332"/>
      <c r="AA210" s="332"/>
      <c r="AB210" s="156"/>
      <c r="AC210" s="156"/>
      <c r="AD210" s="332"/>
      <c r="AE210" s="156"/>
      <c r="AF210" s="156"/>
      <c r="AG210" s="332"/>
      <c r="AH210" s="332"/>
      <c r="AI210" s="332"/>
      <c r="AJ210" s="332"/>
      <c r="AK210" s="332"/>
      <c r="AL210" s="332"/>
      <c r="AM210" s="332"/>
      <c r="AN210" s="332"/>
      <c r="AO210" s="332"/>
    </row>
    <row r="211" spans="1:41">
      <c r="A211" s="332"/>
      <c r="B211" s="332"/>
      <c r="C211" s="156"/>
      <c r="D211" s="332"/>
      <c r="E211" s="332"/>
      <c r="F211" s="332"/>
      <c r="G211" s="332"/>
      <c r="H211" s="332"/>
      <c r="I211" s="332"/>
      <c r="J211" s="332"/>
      <c r="K211" s="332"/>
      <c r="L211" s="332"/>
      <c r="M211" s="332"/>
      <c r="N211" s="156"/>
      <c r="O211" s="332"/>
      <c r="P211" s="332"/>
      <c r="Q211" s="332"/>
      <c r="R211" s="332"/>
      <c r="S211" s="332"/>
      <c r="T211" s="332"/>
      <c r="U211" s="332"/>
      <c r="V211" s="332"/>
      <c r="W211" s="332"/>
      <c r="X211" s="332"/>
      <c r="Y211" s="156"/>
      <c r="Z211" s="332"/>
      <c r="AA211" s="332"/>
      <c r="AB211" s="156"/>
      <c r="AC211" s="332"/>
      <c r="AD211" s="332"/>
      <c r="AE211" s="332"/>
      <c r="AF211" s="156"/>
      <c r="AG211" s="332"/>
      <c r="AH211" s="332"/>
      <c r="AI211" s="332"/>
      <c r="AJ211" s="332"/>
      <c r="AK211" s="332"/>
      <c r="AL211" s="332"/>
      <c r="AM211" s="332"/>
      <c r="AN211" s="332"/>
      <c r="AO211" s="332"/>
    </row>
    <row r="212" spans="1:41">
      <c r="A212" s="332"/>
      <c r="B212" s="332"/>
      <c r="C212" s="156"/>
      <c r="D212" s="332"/>
      <c r="E212" s="332"/>
      <c r="F212" s="332"/>
      <c r="G212" s="156"/>
      <c r="H212" s="332"/>
      <c r="I212" s="332"/>
      <c r="J212" s="332"/>
      <c r="K212" s="332"/>
      <c r="L212" s="332"/>
      <c r="M212" s="332"/>
      <c r="N212" s="156"/>
      <c r="O212" s="332"/>
      <c r="P212" s="332"/>
      <c r="Q212" s="332"/>
      <c r="R212" s="156"/>
      <c r="S212" s="332"/>
      <c r="T212" s="332"/>
      <c r="U212" s="332"/>
      <c r="V212" s="332"/>
      <c r="W212" s="332"/>
      <c r="X212" s="332"/>
      <c r="Y212" s="156"/>
      <c r="Z212" s="332"/>
      <c r="AA212" s="332"/>
      <c r="AB212" s="156"/>
      <c r="AC212" s="156"/>
      <c r="AD212" s="332"/>
      <c r="AE212" s="156"/>
      <c r="AF212" s="156"/>
      <c r="AG212" s="332"/>
      <c r="AH212" s="332"/>
      <c r="AI212" s="332"/>
      <c r="AJ212" s="332"/>
      <c r="AK212" s="332"/>
      <c r="AL212" s="332"/>
      <c r="AM212" s="332"/>
      <c r="AN212" s="332"/>
      <c r="AO212" s="332"/>
    </row>
    <row r="213" spans="1:41">
      <c r="A213" s="332"/>
      <c r="B213" s="332"/>
      <c r="C213" s="156"/>
      <c r="D213" s="332"/>
      <c r="E213" s="332"/>
      <c r="F213" s="332"/>
      <c r="G213" s="156"/>
      <c r="H213" s="332"/>
      <c r="I213" s="332"/>
      <c r="J213" s="332"/>
      <c r="K213" s="332"/>
      <c r="L213" s="332"/>
      <c r="M213" s="332"/>
      <c r="N213" s="156"/>
      <c r="O213" s="332"/>
      <c r="P213" s="332"/>
      <c r="Q213" s="332"/>
      <c r="R213" s="156"/>
      <c r="S213" s="332"/>
      <c r="T213" s="332"/>
      <c r="U213" s="332"/>
      <c r="V213" s="332"/>
      <c r="W213" s="332"/>
      <c r="X213" s="332"/>
      <c r="Y213" s="156"/>
      <c r="Z213" s="332"/>
      <c r="AA213" s="332"/>
      <c r="AB213" s="156"/>
      <c r="AC213" s="156"/>
      <c r="AD213" s="332"/>
      <c r="AE213" s="156"/>
      <c r="AF213" s="156"/>
      <c r="AG213" s="332"/>
      <c r="AH213" s="332"/>
      <c r="AI213" s="332"/>
      <c r="AJ213" s="332"/>
      <c r="AK213" s="332"/>
      <c r="AL213" s="332"/>
      <c r="AM213" s="332"/>
      <c r="AN213" s="332"/>
      <c r="AO213" s="332"/>
    </row>
    <row r="214" spans="1:41">
      <c r="A214" s="332"/>
      <c r="B214" s="332"/>
      <c r="C214" s="156"/>
      <c r="D214" s="332"/>
      <c r="E214" s="332"/>
      <c r="F214" s="332"/>
      <c r="G214" s="332"/>
      <c r="H214" s="332"/>
      <c r="I214" s="332"/>
      <c r="J214" s="332"/>
      <c r="K214" s="332"/>
      <c r="L214" s="332"/>
      <c r="M214" s="332"/>
      <c r="N214" s="156"/>
      <c r="O214" s="332"/>
      <c r="P214" s="332"/>
      <c r="Q214" s="332"/>
      <c r="R214" s="332"/>
      <c r="S214" s="332"/>
      <c r="T214" s="332"/>
      <c r="U214" s="332"/>
      <c r="V214" s="332"/>
      <c r="W214" s="332"/>
      <c r="X214" s="332"/>
      <c r="Y214" s="156"/>
      <c r="Z214" s="332"/>
      <c r="AA214" s="332"/>
      <c r="AB214" s="156"/>
      <c r="AC214" s="332"/>
      <c r="AD214" s="332"/>
      <c r="AE214" s="156"/>
      <c r="AF214" s="156"/>
      <c r="AG214" s="332"/>
      <c r="AH214" s="332"/>
      <c r="AI214" s="332"/>
      <c r="AJ214" s="332"/>
      <c r="AK214" s="332"/>
      <c r="AL214" s="332"/>
      <c r="AM214" s="332"/>
      <c r="AN214" s="332"/>
      <c r="AO214" s="332"/>
    </row>
    <row r="215" spans="1:41">
      <c r="A215" s="332"/>
      <c r="B215" s="332"/>
      <c r="C215" s="332"/>
      <c r="D215" s="332"/>
      <c r="E215" s="332"/>
      <c r="F215" s="332"/>
      <c r="G215" s="156"/>
      <c r="H215" s="332"/>
      <c r="I215" s="332"/>
      <c r="J215" s="332"/>
      <c r="K215" s="332"/>
      <c r="L215" s="332"/>
      <c r="M215" s="332"/>
      <c r="N215" s="156"/>
      <c r="O215" s="332"/>
      <c r="P215" s="332"/>
      <c r="Q215" s="332"/>
      <c r="R215" s="332"/>
      <c r="S215" s="332"/>
      <c r="T215" s="332"/>
      <c r="U215" s="332"/>
      <c r="V215" s="332"/>
      <c r="W215" s="332"/>
      <c r="X215" s="332"/>
      <c r="Y215" s="156"/>
      <c r="Z215" s="332"/>
      <c r="AA215" s="332"/>
      <c r="AB215" s="156"/>
      <c r="AC215" s="332"/>
      <c r="AD215" s="332"/>
      <c r="AE215" s="156"/>
      <c r="AF215" s="156"/>
      <c r="AG215" s="332"/>
      <c r="AH215" s="332"/>
      <c r="AI215" s="332"/>
      <c r="AJ215" s="332"/>
      <c r="AK215" s="332"/>
      <c r="AL215" s="332"/>
      <c r="AM215" s="332"/>
      <c r="AN215" s="332"/>
      <c r="AO215" s="332"/>
    </row>
    <row r="216" spans="1:41">
      <c r="A216" s="332"/>
      <c r="B216" s="332"/>
      <c r="C216" s="332"/>
      <c r="D216" s="332"/>
      <c r="E216" s="332"/>
      <c r="F216" s="332"/>
      <c r="G216" s="332"/>
      <c r="H216" s="332"/>
      <c r="I216" s="332"/>
      <c r="J216" s="332"/>
      <c r="K216" s="332"/>
      <c r="L216" s="332"/>
      <c r="M216" s="332"/>
      <c r="N216" s="156"/>
      <c r="O216" s="332"/>
      <c r="P216" s="332"/>
      <c r="Q216" s="332"/>
      <c r="R216" s="332"/>
      <c r="S216" s="332"/>
      <c r="T216" s="332"/>
      <c r="U216" s="332"/>
      <c r="V216" s="332"/>
      <c r="W216" s="332"/>
      <c r="X216" s="332"/>
      <c r="Y216" s="156"/>
      <c r="Z216" s="332"/>
      <c r="AA216" s="332"/>
      <c r="AB216" s="156"/>
      <c r="AC216" s="332"/>
      <c r="AD216" s="332"/>
      <c r="AE216" s="156"/>
      <c r="AF216" s="156"/>
      <c r="AG216" s="332"/>
      <c r="AH216" s="332"/>
      <c r="AI216" s="332"/>
      <c r="AJ216" s="332"/>
      <c r="AK216" s="332"/>
      <c r="AL216" s="332"/>
      <c r="AM216" s="332"/>
      <c r="AN216" s="332"/>
      <c r="AO216" s="332"/>
    </row>
    <row r="217" spans="1:41">
      <c r="A217" s="332"/>
      <c r="B217" s="332"/>
      <c r="C217" s="332"/>
      <c r="D217" s="332"/>
      <c r="E217" s="332"/>
      <c r="F217" s="332"/>
      <c r="G217" s="332"/>
      <c r="H217" s="332"/>
      <c r="I217" s="332"/>
      <c r="J217" s="332"/>
      <c r="K217" s="332"/>
      <c r="L217" s="332"/>
      <c r="M217" s="332"/>
      <c r="N217" s="156"/>
      <c r="O217" s="332"/>
      <c r="P217" s="332"/>
      <c r="Q217" s="332"/>
      <c r="R217" s="332"/>
      <c r="S217" s="332"/>
      <c r="T217" s="332"/>
      <c r="U217" s="332"/>
      <c r="V217" s="332"/>
      <c r="W217" s="332"/>
      <c r="X217" s="332"/>
      <c r="Y217" s="156"/>
      <c r="Z217" s="332"/>
      <c r="AA217" s="332"/>
      <c r="AB217" s="156"/>
      <c r="AC217" s="156"/>
      <c r="AD217" s="332"/>
      <c r="AE217" s="156"/>
      <c r="AF217" s="156"/>
      <c r="AG217" s="332"/>
      <c r="AH217" s="332"/>
      <c r="AI217" s="332"/>
      <c r="AJ217" s="332"/>
      <c r="AK217" s="332"/>
      <c r="AL217" s="332"/>
      <c r="AM217" s="332"/>
      <c r="AN217" s="332"/>
      <c r="AO217" s="332"/>
    </row>
    <row r="218" spans="1:41">
      <c r="A218" s="332"/>
      <c r="B218" s="332"/>
      <c r="C218" s="332"/>
      <c r="D218" s="332"/>
      <c r="E218" s="332"/>
      <c r="F218" s="332"/>
      <c r="G218" s="332"/>
      <c r="H218" s="332"/>
      <c r="I218" s="332"/>
      <c r="J218" s="332"/>
      <c r="K218" s="332"/>
      <c r="L218" s="332"/>
      <c r="M218" s="332"/>
      <c r="N218" s="156"/>
      <c r="O218" s="332"/>
      <c r="P218" s="332"/>
      <c r="Q218" s="332"/>
      <c r="R218" s="332"/>
      <c r="S218" s="332"/>
      <c r="T218" s="332"/>
      <c r="U218" s="332"/>
      <c r="V218" s="332"/>
      <c r="W218" s="332"/>
      <c r="X218" s="332"/>
      <c r="Y218" s="156"/>
      <c r="Z218" s="332"/>
      <c r="AA218" s="332"/>
      <c r="AB218" s="156"/>
      <c r="AC218" s="156"/>
      <c r="AD218" s="332"/>
      <c r="AE218" s="332"/>
      <c r="AF218" s="156"/>
      <c r="AG218" s="332"/>
      <c r="AH218" s="332"/>
      <c r="AI218" s="332"/>
      <c r="AJ218" s="332"/>
      <c r="AK218" s="332"/>
      <c r="AL218" s="332"/>
      <c r="AM218" s="332"/>
      <c r="AN218" s="332"/>
      <c r="AO218" s="332"/>
    </row>
    <row r="219" spans="1:41">
      <c r="A219" s="332"/>
      <c r="B219" s="332"/>
      <c r="C219" s="156"/>
      <c r="D219" s="332"/>
      <c r="E219" s="332"/>
      <c r="F219" s="332"/>
      <c r="G219" s="332"/>
      <c r="H219" s="332"/>
      <c r="I219" s="332"/>
      <c r="J219" s="332"/>
      <c r="K219" s="332"/>
      <c r="L219" s="332"/>
      <c r="M219" s="332"/>
      <c r="N219" s="156"/>
      <c r="O219" s="332"/>
      <c r="P219" s="332"/>
      <c r="Q219" s="332"/>
      <c r="R219" s="332"/>
      <c r="S219" s="332"/>
      <c r="T219" s="332"/>
      <c r="U219" s="332"/>
      <c r="V219" s="332"/>
      <c r="W219" s="332"/>
      <c r="X219" s="332"/>
      <c r="Y219" s="156"/>
      <c r="Z219" s="332"/>
      <c r="AA219" s="332"/>
      <c r="AB219" s="332"/>
      <c r="AC219" s="332"/>
      <c r="AD219" s="332"/>
      <c r="AE219" s="156"/>
      <c r="AF219" s="156"/>
      <c r="AG219" s="332"/>
      <c r="AH219" s="332"/>
      <c r="AI219" s="332"/>
      <c r="AJ219" s="332"/>
      <c r="AK219" s="332"/>
      <c r="AL219" s="332"/>
      <c r="AM219" s="332"/>
      <c r="AN219" s="332"/>
      <c r="AO219" s="332"/>
    </row>
    <row r="220" spans="1:41">
      <c r="A220" s="332"/>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156"/>
      <c r="Z220" s="332"/>
      <c r="AA220" s="332"/>
      <c r="AB220" s="332"/>
      <c r="AC220" s="332"/>
      <c r="AD220" s="332"/>
      <c r="AE220" s="156"/>
      <c r="AF220" s="156"/>
      <c r="AG220" s="332"/>
      <c r="AH220" s="332"/>
      <c r="AI220" s="332"/>
      <c r="AJ220" s="332"/>
      <c r="AK220" s="332"/>
      <c r="AL220" s="332"/>
      <c r="AM220" s="332"/>
      <c r="AN220" s="332"/>
      <c r="AO220" s="332"/>
    </row>
    <row r="221" spans="1:41">
      <c r="A221" s="332"/>
      <c r="B221" s="332"/>
      <c r="C221" s="156"/>
      <c r="D221" s="332"/>
      <c r="E221" s="332"/>
      <c r="F221" s="332"/>
      <c r="G221" s="332"/>
      <c r="H221" s="332"/>
      <c r="I221" s="332"/>
      <c r="J221" s="332"/>
      <c r="K221" s="332"/>
      <c r="L221" s="332"/>
      <c r="M221" s="332"/>
      <c r="N221" s="156"/>
      <c r="O221" s="332"/>
      <c r="P221" s="332"/>
      <c r="Q221" s="332"/>
      <c r="R221" s="332"/>
      <c r="S221" s="332"/>
      <c r="T221" s="332"/>
      <c r="U221" s="332"/>
      <c r="V221" s="332"/>
      <c r="W221" s="332"/>
      <c r="X221" s="332"/>
      <c r="Y221" s="156"/>
      <c r="Z221" s="332"/>
      <c r="AA221" s="332"/>
      <c r="AB221" s="156"/>
      <c r="AC221" s="156"/>
      <c r="AD221" s="332"/>
      <c r="AE221" s="156"/>
      <c r="AF221" s="156"/>
      <c r="AG221" s="332"/>
      <c r="AH221" s="332"/>
      <c r="AI221" s="332"/>
      <c r="AJ221" s="332"/>
      <c r="AK221" s="332"/>
      <c r="AL221" s="332"/>
      <c r="AM221" s="332"/>
      <c r="AN221" s="332"/>
      <c r="AO221" s="332"/>
    </row>
    <row r="222" spans="1:41">
      <c r="A222" s="332"/>
      <c r="B222" s="332"/>
      <c r="C222" s="332"/>
      <c r="D222" s="332"/>
      <c r="E222" s="332"/>
      <c r="F222" s="332"/>
      <c r="G222" s="332"/>
      <c r="H222" s="332"/>
      <c r="I222" s="332"/>
      <c r="J222" s="332"/>
      <c r="K222" s="332"/>
      <c r="L222" s="332"/>
      <c r="M222" s="332"/>
      <c r="N222" s="156"/>
      <c r="O222" s="332"/>
      <c r="P222" s="332"/>
      <c r="Q222" s="332"/>
      <c r="R222" s="332"/>
      <c r="S222" s="332"/>
      <c r="T222" s="332"/>
      <c r="U222" s="332"/>
      <c r="V222" s="332"/>
      <c r="W222" s="332"/>
      <c r="X222" s="332"/>
      <c r="Y222" s="156"/>
      <c r="Z222" s="332"/>
      <c r="AA222" s="332"/>
      <c r="AB222" s="156"/>
      <c r="AC222" s="332"/>
      <c r="AD222" s="332"/>
      <c r="AE222" s="332"/>
      <c r="AF222" s="332"/>
      <c r="AG222" s="332"/>
      <c r="AH222" s="332"/>
      <c r="AI222" s="332"/>
      <c r="AJ222" s="332"/>
      <c r="AK222" s="332"/>
      <c r="AL222" s="332"/>
      <c r="AM222" s="332"/>
      <c r="AN222" s="332"/>
      <c r="AO222" s="332"/>
    </row>
    <row r="223" spans="1:41">
      <c r="A223" s="332"/>
      <c r="B223" s="332"/>
      <c r="C223" s="332"/>
      <c r="D223" s="332"/>
      <c r="E223" s="332"/>
      <c r="F223" s="332"/>
      <c r="G223" s="332"/>
      <c r="H223" s="332"/>
      <c r="I223" s="332"/>
      <c r="J223" s="332"/>
      <c r="K223" s="332"/>
      <c r="L223" s="332"/>
      <c r="M223" s="332"/>
      <c r="N223" s="156"/>
      <c r="O223" s="332"/>
      <c r="P223" s="332"/>
      <c r="Q223" s="332"/>
      <c r="R223" s="332"/>
      <c r="S223" s="332"/>
      <c r="T223" s="332"/>
      <c r="U223" s="332"/>
      <c r="V223" s="332"/>
      <c r="W223" s="332"/>
      <c r="X223" s="332"/>
      <c r="Y223" s="156"/>
      <c r="Z223" s="332"/>
      <c r="AA223" s="332"/>
      <c r="AB223" s="156"/>
      <c r="AC223" s="156"/>
      <c r="AD223" s="332"/>
      <c r="AE223" s="156"/>
      <c r="AF223" s="156"/>
      <c r="AG223" s="332"/>
      <c r="AH223" s="332"/>
      <c r="AI223" s="332"/>
      <c r="AJ223" s="332"/>
      <c r="AK223" s="332"/>
      <c r="AL223" s="332"/>
      <c r="AM223" s="332"/>
      <c r="AN223" s="332"/>
      <c r="AO223" s="332"/>
    </row>
    <row r="224" spans="1:41">
      <c r="A224" s="332"/>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156"/>
      <c r="Z224" s="332"/>
      <c r="AA224" s="332"/>
      <c r="AB224" s="156"/>
      <c r="AC224" s="156"/>
      <c r="AD224" s="332"/>
      <c r="AE224" s="332"/>
      <c r="AF224" s="332"/>
      <c r="AG224" s="332"/>
      <c r="AH224" s="332"/>
      <c r="AI224" s="332"/>
      <c r="AJ224" s="332"/>
      <c r="AK224" s="332"/>
      <c r="AL224" s="332"/>
      <c r="AM224" s="332"/>
      <c r="AN224" s="332"/>
      <c r="AO224" s="332"/>
    </row>
    <row r="225" spans="1:41">
      <c r="A225" s="332"/>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156"/>
      <c r="Z225" s="332"/>
      <c r="AA225" s="332"/>
      <c r="AB225" s="156"/>
      <c r="AC225" s="156"/>
      <c r="AD225" s="332"/>
      <c r="AE225" s="332"/>
      <c r="AF225" s="156"/>
      <c r="AG225" s="332"/>
      <c r="AH225" s="332"/>
      <c r="AI225" s="332"/>
      <c r="AJ225" s="332"/>
      <c r="AK225" s="332"/>
      <c r="AL225" s="332"/>
      <c r="AM225" s="332"/>
      <c r="AN225" s="332"/>
      <c r="AO225" s="332"/>
    </row>
    <row r="226" spans="1:41">
      <c r="A226" s="332"/>
      <c r="B226" s="332"/>
      <c r="C226" s="332"/>
      <c r="D226" s="332"/>
      <c r="E226" s="332"/>
      <c r="F226" s="332"/>
      <c r="G226" s="332"/>
      <c r="H226" s="332"/>
      <c r="I226" s="332"/>
      <c r="J226" s="332"/>
      <c r="K226" s="332"/>
      <c r="L226" s="332"/>
      <c r="M226" s="332"/>
      <c r="N226" s="156"/>
      <c r="O226" s="332"/>
      <c r="P226" s="332"/>
      <c r="Q226" s="332"/>
      <c r="R226" s="332"/>
      <c r="S226" s="332"/>
      <c r="T226" s="332"/>
      <c r="U226" s="332"/>
      <c r="V226" s="332"/>
      <c r="W226" s="332"/>
      <c r="X226" s="332"/>
      <c r="Y226" s="156"/>
      <c r="Z226" s="332"/>
      <c r="AA226" s="332"/>
      <c r="AB226" s="156"/>
      <c r="AC226" s="156"/>
      <c r="AD226" s="332"/>
      <c r="AE226" s="332"/>
      <c r="AF226" s="156"/>
      <c r="AG226" s="332"/>
      <c r="AH226" s="332"/>
      <c r="AI226" s="332"/>
      <c r="AJ226" s="332"/>
      <c r="AK226" s="332"/>
      <c r="AL226" s="332"/>
      <c r="AM226" s="332"/>
      <c r="AN226" s="332"/>
      <c r="AO226" s="332"/>
    </row>
    <row r="227" spans="1:41">
      <c r="A227" s="332"/>
      <c r="B227" s="332"/>
      <c r="C227" s="156"/>
      <c r="D227" s="332"/>
      <c r="E227" s="332"/>
      <c r="F227" s="332"/>
      <c r="G227" s="156"/>
      <c r="H227" s="332"/>
      <c r="I227" s="332"/>
      <c r="J227" s="332"/>
      <c r="K227" s="332"/>
      <c r="L227" s="332"/>
      <c r="M227" s="332"/>
      <c r="N227" s="156"/>
      <c r="O227" s="332"/>
      <c r="P227" s="332"/>
      <c r="Q227" s="332"/>
      <c r="R227" s="156"/>
      <c r="S227" s="332"/>
      <c r="T227" s="156"/>
      <c r="U227" s="332"/>
      <c r="V227" s="332"/>
      <c r="W227" s="332"/>
      <c r="X227" s="332"/>
      <c r="Y227" s="156"/>
      <c r="Z227" s="332"/>
      <c r="AA227" s="332"/>
      <c r="AB227" s="156"/>
      <c r="AC227" s="156"/>
      <c r="AD227" s="332"/>
      <c r="AE227" s="156"/>
      <c r="AF227" s="156"/>
      <c r="AG227" s="332"/>
      <c r="AH227" s="332"/>
      <c r="AI227" s="332"/>
      <c r="AJ227" s="332"/>
      <c r="AK227" s="332"/>
      <c r="AL227" s="332"/>
      <c r="AM227" s="332"/>
      <c r="AN227" s="332"/>
      <c r="AO227" s="332"/>
    </row>
    <row r="228" spans="1:41">
      <c r="A228" s="332"/>
      <c r="B228" s="332"/>
      <c r="C228" s="332"/>
      <c r="D228" s="332"/>
      <c r="E228" s="332"/>
      <c r="F228" s="332"/>
      <c r="G228" s="332"/>
      <c r="H228" s="332"/>
      <c r="I228" s="332"/>
      <c r="J228" s="332"/>
      <c r="K228" s="332"/>
      <c r="L228" s="332"/>
      <c r="M228" s="332"/>
      <c r="N228" s="156"/>
      <c r="O228" s="332"/>
      <c r="P228" s="332"/>
      <c r="Q228" s="332"/>
      <c r="R228" s="332"/>
      <c r="S228" s="332"/>
      <c r="T228" s="332"/>
      <c r="U228" s="332"/>
      <c r="V228" s="332"/>
      <c r="W228" s="332"/>
      <c r="X228" s="332"/>
      <c r="Y228" s="156"/>
      <c r="Z228" s="332"/>
      <c r="AA228" s="332"/>
      <c r="AB228" s="156"/>
      <c r="AC228" s="156"/>
      <c r="AD228" s="332"/>
      <c r="AE228" s="156"/>
      <c r="AF228" s="156"/>
      <c r="AG228" s="332"/>
      <c r="AH228" s="332"/>
      <c r="AI228" s="332"/>
      <c r="AJ228" s="332"/>
      <c r="AK228" s="332"/>
      <c r="AL228" s="332"/>
      <c r="AM228" s="332"/>
      <c r="AN228" s="332"/>
      <c r="AO228" s="332"/>
    </row>
    <row r="229" spans="1:41">
      <c r="A229" s="332"/>
      <c r="B229" s="332"/>
      <c r="C229" s="156"/>
      <c r="D229" s="332"/>
      <c r="E229" s="332"/>
      <c r="F229" s="332"/>
      <c r="G229" s="156"/>
      <c r="H229" s="332"/>
      <c r="I229" s="332"/>
      <c r="J229" s="332"/>
      <c r="K229" s="332"/>
      <c r="L229" s="332"/>
      <c r="M229" s="332"/>
      <c r="N229" s="156"/>
      <c r="O229" s="332"/>
      <c r="P229" s="332"/>
      <c r="Q229" s="332"/>
      <c r="R229" s="156"/>
      <c r="S229" s="332"/>
      <c r="T229" s="332"/>
      <c r="U229" s="332"/>
      <c r="V229" s="332"/>
      <c r="W229" s="332"/>
      <c r="X229" s="332"/>
      <c r="Y229" s="156"/>
      <c r="Z229" s="332"/>
      <c r="AA229" s="332"/>
      <c r="AB229" s="156"/>
      <c r="AC229" s="156"/>
      <c r="AD229" s="332"/>
      <c r="AE229" s="156"/>
      <c r="AF229" s="156"/>
      <c r="AG229" s="332"/>
      <c r="AH229" s="332"/>
      <c r="AI229" s="332"/>
      <c r="AJ229" s="332"/>
      <c r="AK229" s="332"/>
      <c r="AL229" s="332"/>
      <c r="AM229" s="332"/>
      <c r="AN229" s="332"/>
      <c r="AO229" s="332"/>
    </row>
    <row r="230" spans="1:41">
      <c r="A230" s="332"/>
      <c r="B230" s="332"/>
      <c r="C230" s="156"/>
      <c r="D230" s="332"/>
      <c r="E230" s="332"/>
      <c r="F230" s="332"/>
      <c r="G230" s="156"/>
      <c r="H230" s="332"/>
      <c r="I230" s="332"/>
      <c r="J230" s="332"/>
      <c r="K230" s="332"/>
      <c r="L230" s="332"/>
      <c r="M230" s="332"/>
      <c r="N230" s="156"/>
      <c r="O230" s="332"/>
      <c r="P230" s="332"/>
      <c r="Q230" s="332"/>
      <c r="R230" s="332"/>
      <c r="S230" s="332"/>
      <c r="T230" s="332"/>
      <c r="U230" s="332"/>
      <c r="V230" s="332"/>
      <c r="W230" s="332"/>
      <c r="X230" s="332"/>
      <c r="Y230" s="156"/>
      <c r="Z230" s="332"/>
      <c r="AA230" s="332"/>
      <c r="AB230" s="156"/>
      <c r="AC230" s="332"/>
      <c r="AD230" s="332"/>
      <c r="AE230" s="156"/>
      <c r="AF230" s="156"/>
      <c r="AG230" s="332"/>
      <c r="AH230" s="332"/>
      <c r="AI230" s="332"/>
      <c r="AJ230" s="332"/>
      <c r="AK230" s="332"/>
      <c r="AL230" s="332"/>
      <c r="AM230" s="332"/>
      <c r="AN230" s="332"/>
      <c r="AO230" s="332"/>
    </row>
    <row r="231" spans="1:41">
      <c r="A231" s="332"/>
      <c r="B231" s="332"/>
      <c r="C231" s="332"/>
      <c r="D231" s="332"/>
      <c r="E231" s="332"/>
      <c r="F231" s="332"/>
      <c r="G231" s="156"/>
      <c r="H231" s="332"/>
      <c r="I231" s="332"/>
      <c r="J231" s="332"/>
      <c r="K231" s="332"/>
      <c r="L231" s="332"/>
      <c r="M231" s="332"/>
      <c r="N231" s="156"/>
      <c r="O231" s="332"/>
      <c r="P231" s="332"/>
      <c r="Q231" s="332"/>
      <c r="R231" s="156"/>
      <c r="S231" s="332"/>
      <c r="T231" s="156"/>
      <c r="U231" s="332"/>
      <c r="V231" s="332"/>
      <c r="W231" s="332"/>
      <c r="X231" s="332"/>
      <c r="Y231" s="332"/>
      <c r="Z231" s="332"/>
      <c r="AA231" s="332"/>
      <c r="AB231" s="156"/>
      <c r="AC231" s="156"/>
      <c r="AD231" s="332"/>
      <c r="AE231" s="156"/>
      <c r="AF231" s="156"/>
      <c r="AG231" s="332"/>
      <c r="AH231" s="332"/>
      <c r="AI231" s="332"/>
      <c r="AJ231" s="332"/>
      <c r="AK231" s="332"/>
      <c r="AL231" s="332"/>
      <c r="AM231" s="332"/>
      <c r="AN231" s="332"/>
      <c r="AO231" s="332"/>
    </row>
    <row r="232" spans="1:41">
      <c r="A232" s="332"/>
      <c r="B232" s="332"/>
      <c r="C232" s="332"/>
      <c r="D232" s="332"/>
      <c r="E232" s="332"/>
      <c r="F232" s="332"/>
      <c r="G232" s="332"/>
      <c r="H232" s="332"/>
      <c r="I232" s="332"/>
      <c r="J232" s="332"/>
      <c r="K232" s="332"/>
      <c r="L232" s="332"/>
      <c r="M232" s="332"/>
      <c r="N232" s="332"/>
      <c r="O232" s="332"/>
      <c r="P232" s="332"/>
      <c r="Q232" s="332"/>
      <c r="R232" s="156"/>
      <c r="S232" s="332"/>
      <c r="T232" s="156"/>
      <c r="U232" s="332"/>
      <c r="V232" s="332"/>
      <c r="W232" s="332"/>
      <c r="X232" s="332"/>
      <c r="Y232" s="156"/>
      <c r="Z232" s="332"/>
      <c r="AA232" s="332"/>
      <c r="AB232" s="156"/>
      <c r="AC232" s="156"/>
      <c r="AD232" s="332"/>
      <c r="AE232" s="156"/>
      <c r="AF232" s="156"/>
      <c r="AG232" s="332"/>
      <c r="AH232" s="332"/>
      <c r="AI232" s="332"/>
      <c r="AJ232" s="332"/>
      <c r="AK232" s="332"/>
      <c r="AL232" s="332"/>
      <c r="AM232" s="332"/>
      <c r="AN232" s="332"/>
      <c r="AO232" s="332"/>
    </row>
    <row r="233" spans="1:41">
      <c r="A233" s="332"/>
      <c r="B233" s="332"/>
      <c r="C233" s="332"/>
      <c r="D233" s="332"/>
      <c r="E233" s="332"/>
      <c r="F233" s="332"/>
      <c r="G233" s="332"/>
      <c r="H233" s="332"/>
      <c r="I233" s="332"/>
      <c r="J233" s="332"/>
      <c r="K233" s="332"/>
      <c r="L233" s="332"/>
      <c r="M233" s="332"/>
      <c r="N233" s="156"/>
      <c r="O233" s="332"/>
      <c r="P233" s="332"/>
      <c r="Q233" s="332"/>
      <c r="R233" s="332"/>
      <c r="S233" s="332"/>
      <c r="T233" s="332"/>
      <c r="U233" s="332"/>
      <c r="V233" s="332"/>
      <c r="W233" s="332"/>
      <c r="X233" s="332"/>
      <c r="Y233" s="156"/>
      <c r="Z233" s="332"/>
      <c r="AA233" s="332"/>
      <c r="AB233" s="156"/>
      <c r="AC233" s="332"/>
      <c r="AD233" s="332"/>
      <c r="AE233" s="332"/>
      <c r="AF233" s="156"/>
      <c r="AG233" s="332"/>
      <c r="AH233" s="332"/>
      <c r="AI233" s="332"/>
      <c r="AJ233" s="332"/>
      <c r="AK233" s="332"/>
      <c r="AL233" s="332"/>
      <c r="AM233" s="332"/>
      <c r="AN233" s="332"/>
      <c r="AO233" s="332"/>
    </row>
    <row r="234" spans="1:41">
      <c r="A234" s="332"/>
      <c r="B234" s="332"/>
      <c r="C234" s="156"/>
      <c r="D234" s="332"/>
      <c r="E234" s="332"/>
      <c r="F234" s="332"/>
      <c r="G234" s="332"/>
      <c r="H234" s="332"/>
      <c r="I234" s="332"/>
      <c r="J234" s="332"/>
      <c r="K234" s="332"/>
      <c r="L234" s="332"/>
      <c r="M234" s="332"/>
      <c r="N234" s="156"/>
      <c r="O234" s="332"/>
      <c r="P234" s="332"/>
      <c r="Q234" s="332"/>
      <c r="R234" s="156"/>
      <c r="S234" s="332"/>
      <c r="T234" s="156"/>
      <c r="U234" s="332"/>
      <c r="V234" s="332"/>
      <c r="W234" s="332"/>
      <c r="X234" s="332"/>
      <c r="Y234" s="156"/>
      <c r="Z234" s="332"/>
      <c r="AA234" s="332"/>
      <c r="AB234" s="156"/>
      <c r="AC234" s="156"/>
      <c r="AD234" s="332"/>
      <c r="AE234" s="156"/>
      <c r="AF234" s="156"/>
      <c r="AG234" s="332"/>
      <c r="AH234" s="332"/>
      <c r="AI234" s="332"/>
      <c r="AJ234" s="332"/>
      <c r="AK234" s="332"/>
      <c r="AL234" s="332"/>
      <c r="AM234" s="332"/>
      <c r="AN234" s="332"/>
      <c r="AO234" s="332"/>
    </row>
    <row r="235" spans="1:41">
      <c r="A235" s="332"/>
      <c r="B235" s="332"/>
      <c r="C235" s="156"/>
      <c r="D235" s="332"/>
      <c r="E235" s="332"/>
      <c r="F235" s="332"/>
      <c r="G235" s="332"/>
      <c r="H235" s="332"/>
      <c r="I235" s="332"/>
      <c r="J235" s="332"/>
      <c r="K235" s="332"/>
      <c r="L235" s="332"/>
      <c r="M235" s="332"/>
      <c r="N235" s="156"/>
      <c r="O235" s="332"/>
      <c r="P235" s="332"/>
      <c r="Q235" s="332"/>
      <c r="R235" s="332"/>
      <c r="S235" s="332"/>
      <c r="T235" s="332"/>
      <c r="U235" s="332"/>
      <c r="V235" s="332"/>
      <c r="W235" s="332"/>
      <c r="X235" s="332"/>
      <c r="Y235" s="156"/>
      <c r="Z235" s="332"/>
      <c r="AA235" s="332"/>
      <c r="AB235" s="156"/>
      <c r="AC235" s="156"/>
      <c r="AD235" s="332"/>
      <c r="AE235" s="156"/>
      <c r="AF235" s="156"/>
      <c r="AG235" s="332"/>
      <c r="AH235" s="332"/>
      <c r="AI235" s="332"/>
      <c r="AJ235" s="332"/>
      <c r="AK235" s="332"/>
      <c r="AL235" s="332"/>
      <c r="AM235" s="332"/>
      <c r="AN235" s="332"/>
      <c r="AO235" s="332"/>
    </row>
    <row r="236" spans="1:41">
      <c r="A236" s="332"/>
      <c r="B236" s="332"/>
      <c r="C236" s="156"/>
      <c r="D236" s="332"/>
      <c r="E236" s="332"/>
      <c r="F236" s="332"/>
      <c r="G236" s="156"/>
      <c r="H236" s="332"/>
      <c r="I236" s="332"/>
      <c r="J236" s="332"/>
      <c r="K236" s="332"/>
      <c r="L236" s="332"/>
      <c r="M236" s="332"/>
      <c r="N236" s="156"/>
      <c r="O236" s="332"/>
      <c r="P236" s="332"/>
      <c r="Q236" s="332"/>
      <c r="R236" s="156"/>
      <c r="S236" s="332"/>
      <c r="T236" s="156"/>
      <c r="U236" s="332"/>
      <c r="V236" s="332"/>
      <c r="W236" s="332"/>
      <c r="X236" s="332"/>
      <c r="Y236" s="332"/>
      <c r="Z236" s="332"/>
      <c r="AA236" s="332"/>
      <c r="AB236" s="156"/>
      <c r="AC236" s="156"/>
      <c r="AD236" s="332"/>
      <c r="AE236" s="156"/>
      <c r="AF236" s="156"/>
      <c r="AG236" s="332"/>
      <c r="AH236" s="332"/>
      <c r="AI236" s="332"/>
      <c r="AJ236" s="332"/>
      <c r="AK236" s="332"/>
      <c r="AL236" s="332"/>
      <c r="AM236" s="332"/>
      <c r="AN236" s="332"/>
      <c r="AO236" s="332"/>
    </row>
    <row r="237" spans="1:41">
      <c r="A237" s="332"/>
      <c r="B237" s="332"/>
      <c r="C237" s="156"/>
      <c r="D237" s="332"/>
      <c r="E237" s="332"/>
      <c r="F237" s="332"/>
      <c r="G237" s="332"/>
      <c r="H237" s="332"/>
      <c r="I237" s="332"/>
      <c r="J237" s="332"/>
      <c r="K237" s="332"/>
      <c r="L237" s="332"/>
      <c r="M237" s="332"/>
      <c r="N237" s="332"/>
      <c r="O237" s="332"/>
      <c r="P237" s="332"/>
      <c r="Q237" s="332"/>
      <c r="R237" s="156"/>
      <c r="S237" s="332"/>
      <c r="T237" s="332"/>
      <c r="U237" s="332"/>
      <c r="V237" s="332"/>
      <c r="W237" s="332"/>
      <c r="X237" s="332"/>
      <c r="Y237" s="156"/>
      <c r="Z237" s="332"/>
      <c r="AA237" s="332"/>
      <c r="AB237" s="156"/>
      <c r="AC237" s="156"/>
      <c r="AD237" s="332"/>
      <c r="AE237" s="156"/>
      <c r="AF237" s="156"/>
      <c r="AG237" s="332"/>
      <c r="AH237" s="332"/>
      <c r="AI237" s="332"/>
      <c r="AJ237" s="332"/>
      <c r="AK237" s="332"/>
      <c r="AL237" s="332"/>
      <c r="AM237" s="332"/>
      <c r="AN237" s="332"/>
      <c r="AO237" s="332"/>
    </row>
    <row r="238" spans="1:41">
      <c r="A238" s="332"/>
      <c r="B238" s="332"/>
      <c r="C238" s="332"/>
      <c r="D238" s="332"/>
      <c r="E238" s="332"/>
      <c r="F238" s="332"/>
      <c r="G238" s="332"/>
      <c r="H238" s="332"/>
      <c r="I238" s="332"/>
      <c r="J238" s="332"/>
      <c r="K238" s="332"/>
      <c r="L238" s="332"/>
      <c r="M238" s="332"/>
      <c r="N238" s="332"/>
      <c r="O238" s="332"/>
      <c r="P238" s="332"/>
      <c r="Q238" s="332"/>
      <c r="R238" s="332"/>
      <c r="S238" s="332"/>
      <c r="T238" s="156"/>
      <c r="U238" s="332"/>
      <c r="V238" s="332"/>
      <c r="W238" s="332"/>
      <c r="X238" s="332"/>
      <c r="Y238" s="332"/>
      <c r="Z238" s="332"/>
      <c r="AA238" s="332"/>
      <c r="AB238" s="156"/>
      <c r="AC238" s="156"/>
      <c r="AD238" s="332"/>
      <c r="AE238" s="156"/>
      <c r="AF238" s="156"/>
      <c r="AG238" s="332"/>
      <c r="AH238" s="332"/>
      <c r="AI238" s="332"/>
      <c r="AJ238" s="332"/>
      <c r="AK238" s="332"/>
      <c r="AL238" s="332"/>
      <c r="AM238" s="332"/>
      <c r="AN238" s="332"/>
      <c r="AO238" s="332"/>
    </row>
    <row r="239" spans="1:41">
      <c r="A239" s="332"/>
      <c r="B239" s="332"/>
      <c r="C239" s="156"/>
      <c r="D239" s="332"/>
      <c r="E239" s="332"/>
      <c r="F239" s="332"/>
      <c r="G239" s="332"/>
      <c r="H239" s="332"/>
      <c r="I239" s="332"/>
      <c r="J239" s="332"/>
      <c r="K239" s="332"/>
      <c r="L239" s="332"/>
      <c r="M239" s="332"/>
      <c r="N239" s="332"/>
      <c r="O239" s="332"/>
      <c r="P239" s="332"/>
      <c r="Q239" s="332"/>
      <c r="R239" s="156"/>
      <c r="S239" s="332"/>
      <c r="T239" s="156"/>
      <c r="U239" s="332"/>
      <c r="V239" s="332"/>
      <c r="W239" s="332"/>
      <c r="X239" s="332"/>
      <c r="Y239" s="156"/>
      <c r="Z239" s="332"/>
      <c r="AA239" s="332"/>
      <c r="AB239" s="156"/>
      <c r="AC239" s="156"/>
      <c r="AD239" s="332"/>
      <c r="AE239" s="332"/>
      <c r="AF239" s="156"/>
      <c r="AG239" s="332"/>
      <c r="AH239" s="332"/>
      <c r="AI239" s="332"/>
      <c r="AJ239" s="332"/>
      <c r="AK239" s="332"/>
      <c r="AL239" s="332"/>
      <c r="AM239" s="332"/>
      <c r="AN239" s="332"/>
      <c r="AO239" s="332"/>
    </row>
    <row r="240" spans="1:41">
      <c r="A240" s="332"/>
      <c r="B240" s="332"/>
      <c r="C240" s="332"/>
      <c r="D240" s="332"/>
      <c r="E240" s="332"/>
      <c r="F240" s="332"/>
      <c r="G240" s="156"/>
      <c r="H240" s="332"/>
      <c r="I240" s="332"/>
      <c r="J240" s="332"/>
      <c r="K240" s="332"/>
      <c r="L240" s="332"/>
      <c r="M240" s="332"/>
      <c r="N240" s="156"/>
      <c r="O240" s="332"/>
      <c r="P240" s="332"/>
      <c r="Q240" s="332"/>
      <c r="R240" s="332"/>
      <c r="S240" s="332"/>
      <c r="T240" s="332"/>
      <c r="U240" s="332"/>
      <c r="V240" s="332"/>
      <c r="W240" s="332"/>
      <c r="X240" s="332"/>
      <c r="Y240" s="156"/>
      <c r="Z240" s="332"/>
      <c r="AA240" s="332"/>
      <c r="AB240" s="332"/>
      <c r="AC240" s="332"/>
      <c r="AD240" s="332"/>
      <c r="AE240" s="156"/>
      <c r="AF240" s="156"/>
      <c r="AG240" s="332"/>
      <c r="AH240" s="332"/>
      <c r="AI240" s="332"/>
      <c r="AJ240" s="332"/>
      <c r="AK240" s="332"/>
      <c r="AL240" s="332"/>
      <c r="AM240" s="332"/>
      <c r="AN240" s="332"/>
      <c r="AO240" s="332"/>
    </row>
    <row r="241" spans="1:41">
      <c r="A241" s="332"/>
      <c r="B241" s="332"/>
      <c r="C241" s="156"/>
      <c r="D241" s="332"/>
      <c r="E241" s="332"/>
      <c r="F241" s="332"/>
      <c r="G241" s="156"/>
      <c r="H241" s="332"/>
      <c r="I241" s="332"/>
      <c r="J241" s="332"/>
      <c r="K241" s="332"/>
      <c r="L241" s="332"/>
      <c r="M241" s="332"/>
      <c r="N241" s="156"/>
      <c r="O241" s="332"/>
      <c r="P241" s="332"/>
      <c r="Q241" s="332"/>
      <c r="R241" s="332"/>
      <c r="S241" s="332"/>
      <c r="T241" s="332"/>
      <c r="U241" s="332"/>
      <c r="V241" s="332"/>
      <c r="W241" s="332"/>
      <c r="X241" s="332"/>
      <c r="Y241" s="156"/>
      <c r="Z241" s="332"/>
      <c r="AA241" s="332"/>
      <c r="AB241" s="156"/>
      <c r="AC241" s="156"/>
      <c r="AD241" s="332"/>
      <c r="AE241" s="156"/>
      <c r="AF241" s="156"/>
      <c r="AG241" s="332"/>
      <c r="AH241" s="332"/>
      <c r="AI241" s="332"/>
      <c r="AJ241" s="332"/>
      <c r="AK241" s="332"/>
      <c r="AL241" s="332"/>
      <c r="AM241" s="332"/>
      <c r="AN241" s="332"/>
      <c r="AO241" s="332"/>
    </row>
    <row r="242" spans="1:41">
      <c r="A242" s="332"/>
      <c r="B242" s="332"/>
      <c r="C242" s="156"/>
      <c r="D242" s="332"/>
      <c r="E242" s="332"/>
      <c r="F242" s="332"/>
      <c r="G242" s="332"/>
      <c r="H242" s="332"/>
      <c r="I242" s="332"/>
      <c r="J242" s="332"/>
      <c r="K242" s="332"/>
      <c r="L242" s="332"/>
      <c r="M242" s="332"/>
      <c r="N242" s="156"/>
      <c r="O242" s="332"/>
      <c r="P242" s="332"/>
      <c r="Q242" s="332"/>
      <c r="R242" s="156"/>
      <c r="S242" s="332"/>
      <c r="T242" s="332"/>
      <c r="U242" s="332"/>
      <c r="V242" s="332"/>
      <c r="W242" s="332"/>
      <c r="X242" s="332"/>
      <c r="Y242" s="156"/>
      <c r="Z242" s="332"/>
      <c r="AA242" s="332"/>
      <c r="AB242" s="156"/>
      <c r="AC242" s="156"/>
      <c r="AD242" s="332"/>
      <c r="AE242" s="156"/>
      <c r="AF242" s="156"/>
      <c r="AG242" s="332"/>
      <c r="AH242" s="332"/>
      <c r="AI242" s="332"/>
      <c r="AJ242" s="332"/>
      <c r="AK242" s="332"/>
      <c r="AL242" s="332"/>
      <c r="AM242" s="332"/>
      <c r="AN242" s="332"/>
      <c r="AO242" s="332"/>
    </row>
    <row r="243" spans="1:41">
      <c r="A243" s="332"/>
      <c r="B243" s="332"/>
      <c r="C243" s="156"/>
      <c r="D243" s="332"/>
      <c r="E243" s="332"/>
      <c r="F243" s="332"/>
      <c r="G243" s="156"/>
      <c r="H243" s="332"/>
      <c r="I243" s="332"/>
      <c r="J243" s="332"/>
      <c r="K243" s="332"/>
      <c r="L243" s="332"/>
      <c r="M243" s="332"/>
      <c r="N243" s="156"/>
      <c r="O243" s="332"/>
      <c r="P243" s="332"/>
      <c r="Q243" s="332"/>
      <c r="R243" s="156"/>
      <c r="S243" s="332"/>
      <c r="T243" s="332"/>
      <c r="U243" s="332"/>
      <c r="V243" s="332"/>
      <c r="W243" s="332"/>
      <c r="X243" s="332"/>
      <c r="Y243" s="156"/>
      <c r="Z243" s="332"/>
      <c r="AA243" s="332"/>
      <c r="AB243" s="156"/>
      <c r="AC243" s="156"/>
      <c r="AD243" s="332"/>
      <c r="AE243" s="156"/>
      <c r="AF243" s="156"/>
      <c r="AG243" s="332"/>
      <c r="AH243" s="332"/>
      <c r="AI243" s="332"/>
      <c r="AJ243" s="332"/>
      <c r="AK243" s="332"/>
      <c r="AL243" s="332"/>
      <c r="AM243" s="332"/>
      <c r="AN243" s="332"/>
      <c r="AO243" s="332"/>
    </row>
    <row r="244" spans="1:41">
      <c r="A244" s="332"/>
      <c r="B244" s="332"/>
      <c r="C244" s="332"/>
      <c r="D244" s="332"/>
      <c r="E244" s="332"/>
      <c r="F244" s="332"/>
      <c r="G244" s="156"/>
      <c r="H244" s="332"/>
      <c r="I244" s="332"/>
      <c r="J244" s="332"/>
      <c r="K244" s="332"/>
      <c r="L244" s="332"/>
      <c r="M244" s="332"/>
      <c r="N244" s="156"/>
      <c r="O244" s="332"/>
      <c r="P244" s="332"/>
      <c r="Q244" s="332"/>
      <c r="R244" s="332"/>
      <c r="S244" s="332"/>
      <c r="T244" s="332"/>
      <c r="U244" s="332"/>
      <c r="V244" s="332"/>
      <c r="W244" s="332"/>
      <c r="X244" s="332"/>
      <c r="Y244" s="156"/>
      <c r="Z244" s="332"/>
      <c r="AA244" s="332"/>
      <c r="AB244" s="156"/>
      <c r="AC244" s="156"/>
      <c r="AD244" s="332"/>
      <c r="AE244" s="332"/>
      <c r="AF244" s="156"/>
      <c r="AG244" s="332"/>
      <c r="AH244" s="332"/>
      <c r="AI244" s="332"/>
      <c r="AJ244" s="332"/>
      <c r="AK244" s="332"/>
      <c r="AL244" s="332"/>
      <c r="AM244" s="332"/>
      <c r="AN244" s="332"/>
      <c r="AO244" s="332"/>
    </row>
    <row r="245" spans="1:41">
      <c r="A245" s="332"/>
      <c r="B245" s="332"/>
      <c r="C245" s="156"/>
      <c r="D245" s="332"/>
      <c r="E245" s="332"/>
      <c r="F245" s="332"/>
      <c r="G245" s="156"/>
      <c r="H245" s="332"/>
      <c r="I245" s="332"/>
      <c r="J245" s="332"/>
      <c r="K245" s="332"/>
      <c r="L245" s="332"/>
      <c r="M245" s="332"/>
      <c r="N245" s="156"/>
      <c r="O245" s="332"/>
      <c r="P245" s="332"/>
      <c r="Q245" s="332"/>
      <c r="R245" s="156"/>
      <c r="S245" s="332"/>
      <c r="T245" s="156"/>
      <c r="U245" s="332"/>
      <c r="V245" s="332"/>
      <c r="W245" s="332"/>
      <c r="X245" s="332"/>
      <c r="Y245" s="156"/>
      <c r="Z245" s="332"/>
      <c r="AA245" s="332"/>
      <c r="AB245" s="156"/>
      <c r="AC245" s="156"/>
      <c r="AD245" s="332"/>
      <c r="AE245" s="156"/>
      <c r="AF245" s="156"/>
      <c r="AG245" s="332"/>
      <c r="AH245" s="332"/>
      <c r="AI245" s="332"/>
      <c r="AJ245" s="332"/>
      <c r="AK245" s="332"/>
      <c r="AL245" s="332"/>
      <c r="AM245" s="332"/>
      <c r="AN245" s="332"/>
      <c r="AO245" s="332"/>
    </row>
    <row r="246" spans="1:41">
      <c r="A246" s="332"/>
      <c r="B246" s="332"/>
      <c r="C246" s="332"/>
      <c r="D246" s="332"/>
      <c r="E246" s="332"/>
      <c r="F246" s="332"/>
      <c r="G246" s="332"/>
      <c r="H246" s="332"/>
      <c r="I246" s="332"/>
      <c r="J246" s="332"/>
      <c r="K246" s="332"/>
      <c r="L246" s="332"/>
      <c r="M246" s="332"/>
      <c r="N246" s="332"/>
      <c r="O246" s="332"/>
      <c r="P246" s="332"/>
      <c r="Q246" s="332"/>
      <c r="R246" s="156"/>
      <c r="S246" s="332"/>
      <c r="T246" s="332"/>
      <c r="U246" s="332"/>
      <c r="V246" s="332"/>
      <c r="W246" s="332"/>
      <c r="X246" s="332"/>
      <c r="Y246" s="156"/>
      <c r="Z246" s="332"/>
      <c r="AA246" s="332"/>
      <c r="AB246" s="156"/>
      <c r="AC246" s="156"/>
      <c r="AD246" s="332"/>
      <c r="AE246" s="156"/>
      <c r="AF246" s="156"/>
      <c r="AG246" s="332"/>
      <c r="AH246" s="332"/>
      <c r="AI246" s="332"/>
      <c r="AJ246" s="332"/>
      <c r="AK246" s="332"/>
      <c r="AL246" s="332"/>
      <c r="AM246" s="332"/>
      <c r="AN246" s="332"/>
      <c r="AO246" s="332"/>
    </row>
    <row r="247" spans="1:41">
      <c r="A247" s="332"/>
      <c r="B247" s="332"/>
      <c r="C247" s="332"/>
      <c r="D247" s="332"/>
      <c r="E247" s="332"/>
      <c r="F247" s="332"/>
      <c r="G247" s="332"/>
      <c r="H247" s="332"/>
      <c r="I247" s="332"/>
      <c r="J247" s="332"/>
      <c r="K247" s="332"/>
      <c r="L247" s="332"/>
      <c r="M247" s="332"/>
      <c r="N247" s="156"/>
      <c r="O247" s="332"/>
      <c r="P247" s="332"/>
      <c r="Q247" s="332"/>
      <c r="R247" s="332"/>
      <c r="S247" s="332"/>
      <c r="T247" s="332"/>
      <c r="U247" s="332"/>
      <c r="V247" s="332"/>
      <c r="W247" s="332"/>
      <c r="X247" s="332"/>
      <c r="Y247" s="156"/>
      <c r="Z247" s="332"/>
      <c r="AA247" s="332"/>
      <c r="AB247" s="332"/>
      <c r="AC247" s="332"/>
      <c r="AD247" s="332"/>
      <c r="AE247" s="332"/>
      <c r="AF247" s="156"/>
      <c r="AG247" s="332"/>
      <c r="AH247" s="332"/>
      <c r="AI247" s="332"/>
      <c r="AJ247" s="332"/>
      <c r="AK247" s="332"/>
      <c r="AL247" s="332"/>
      <c r="AM247" s="332"/>
      <c r="AN247" s="332"/>
      <c r="AO247" s="332"/>
    </row>
    <row r="248" spans="1:41">
      <c r="A248" s="332"/>
      <c r="B248" s="332"/>
      <c r="C248" s="332"/>
      <c r="D248" s="332"/>
      <c r="E248" s="332"/>
      <c r="F248" s="332"/>
      <c r="G248" s="332"/>
      <c r="H248" s="332"/>
      <c r="I248" s="332"/>
      <c r="J248" s="332"/>
      <c r="K248" s="332"/>
      <c r="L248" s="332"/>
      <c r="M248" s="332"/>
      <c r="N248" s="156"/>
      <c r="O248" s="332"/>
      <c r="P248" s="332"/>
      <c r="Q248" s="332"/>
      <c r="R248" s="332"/>
      <c r="S248" s="332"/>
      <c r="T248" s="156"/>
      <c r="U248" s="332"/>
      <c r="V248" s="332"/>
      <c r="W248" s="332"/>
      <c r="X248" s="332"/>
      <c r="Y248" s="156"/>
      <c r="Z248" s="332"/>
      <c r="AA248" s="332"/>
      <c r="AB248" s="156"/>
      <c r="AC248" s="156"/>
      <c r="AD248" s="332"/>
      <c r="AE248" s="156"/>
      <c r="AF248" s="156"/>
      <c r="AG248" s="332"/>
      <c r="AH248" s="332"/>
      <c r="AI248" s="332"/>
      <c r="AJ248" s="332"/>
      <c r="AK248" s="332"/>
      <c r="AL248" s="332"/>
      <c r="AM248" s="332"/>
      <c r="AN248" s="332"/>
      <c r="AO248" s="332"/>
    </row>
    <row r="249" spans="1:41">
      <c r="A249" s="332"/>
      <c r="B249" s="332"/>
      <c r="C249" s="332"/>
      <c r="D249" s="332"/>
      <c r="E249" s="332"/>
      <c r="F249" s="332"/>
      <c r="G249" s="332"/>
      <c r="H249" s="332"/>
      <c r="I249" s="332"/>
      <c r="J249" s="332"/>
      <c r="K249" s="332"/>
      <c r="L249" s="332"/>
      <c r="M249" s="332"/>
      <c r="N249" s="156"/>
      <c r="O249" s="332"/>
      <c r="P249" s="332"/>
      <c r="Q249" s="332"/>
      <c r="R249" s="332"/>
      <c r="S249" s="332"/>
      <c r="T249" s="332"/>
      <c r="U249" s="332"/>
      <c r="V249" s="332"/>
      <c r="W249" s="332"/>
      <c r="X249" s="332"/>
      <c r="Y249" s="156"/>
      <c r="Z249" s="332"/>
      <c r="AA249" s="332"/>
      <c r="AB249" s="156"/>
      <c r="AC249" s="332"/>
      <c r="AD249" s="332"/>
      <c r="AE249" s="332"/>
      <c r="AF249" s="156"/>
      <c r="AG249" s="332"/>
      <c r="AH249" s="332"/>
      <c r="AI249" s="332"/>
      <c r="AJ249" s="332"/>
      <c r="AK249" s="332"/>
      <c r="AL249" s="332"/>
      <c r="AM249" s="332"/>
      <c r="AN249" s="332"/>
      <c r="AO249" s="332"/>
    </row>
    <row r="250" spans="1:41">
      <c r="A250" s="332"/>
      <c r="B250" s="332"/>
      <c r="C250" s="332"/>
      <c r="D250" s="332"/>
      <c r="E250" s="332"/>
      <c r="F250" s="332"/>
      <c r="G250" s="332"/>
      <c r="H250" s="332"/>
      <c r="I250" s="332"/>
      <c r="J250" s="332"/>
      <c r="K250" s="332"/>
      <c r="L250" s="332"/>
      <c r="M250" s="332"/>
      <c r="N250" s="156"/>
      <c r="O250" s="332"/>
      <c r="P250" s="332"/>
      <c r="Q250" s="332"/>
      <c r="R250" s="332"/>
      <c r="S250" s="332"/>
      <c r="T250" s="332"/>
      <c r="U250" s="332"/>
      <c r="V250" s="332"/>
      <c r="W250" s="332"/>
      <c r="X250" s="332"/>
      <c r="Y250" s="156"/>
      <c r="Z250" s="332"/>
      <c r="AA250" s="332"/>
      <c r="AB250" s="156"/>
      <c r="AC250" s="156"/>
      <c r="AD250" s="332"/>
      <c r="AE250" s="332"/>
      <c r="AF250" s="156"/>
      <c r="AG250" s="332"/>
      <c r="AH250" s="332"/>
      <c r="AI250" s="332"/>
      <c r="AJ250" s="332"/>
      <c r="AK250" s="332"/>
      <c r="AL250" s="332"/>
      <c r="AM250" s="332"/>
      <c r="AN250" s="332"/>
      <c r="AO250" s="332"/>
    </row>
    <row r="251" spans="1:41">
      <c r="A251" s="332"/>
      <c r="B251" s="332"/>
      <c r="C251" s="332"/>
      <c r="D251" s="332"/>
      <c r="E251" s="332"/>
      <c r="F251" s="332"/>
      <c r="G251" s="332"/>
      <c r="H251" s="332"/>
      <c r="I251" s="332"/>
      <c r="J251" s="332"/>
      <c r="K251" s="332"/>
      <c r="L251" s="332"/>
      <c r="M251" s="332"/>
      <c r="N251" s="332"/>
      <c r="O251" s="332"/>
      <c r="P251" s="332"/>
      <c r="Q251" s="332"/>
      <c r="R251" s="332"/>
      <c r="S251" s="332"/>
      <c r="T251" s="332"/>
      <c r="U251" s="332"/>
      <c r="V251" s="156"/>
      <c r="W251" s="332"/>
      <c r="X251" s="332"/>
      <c r="Y251" s="156"/>
      <c r="Z251" s="332"/>
      <c r="AA251" s="332"/>
      <c r="AB251" s="156"/>
      <c r="AC251" s="332"/>
      <c r="AD251" s="332"/>
      <c r="AE251" s="332"/>
      <c r="AF251" s="156"/>
      <c r="AG251" s="332"/>
      <c r="AH251" s="332"/>
      <c r="AI251" s="332"/>
      <c r="AJ251" s="332"/>
      <c r="AK251" s="332"/>
      <c r="AL251" s="332"/>
      <c r="AM251" s="332"/>
      <c r="AN251" s="332"/>
      <c r="AO251" s="332"/>
    </row>
    <row r="252" spans="1:41">
      <c r="A252" s="332"/>
      <c r="B252" s="332"/>
      <c r="C252" s="156"/>
      <c r="D252" s="332"/>
      <c r="E252" s="332"/>
      <c r="F252" s="332"/>
      <c r="G252" s="156"/>
      <c r="H252" s="332"/>
      <c r="I252" s="332"/>
      <c r="J252" s="332"/>
      <c r="K252" s="332"/>
      <c r="L252" s="332"/>
      <c r="M252" s="332"/>
      <c r="N252" s="156"/>
      <c r="O252" s="332"/>
      <c r="P252" s="332"/>
      <c r="Q252" s="332"/>
      <c r="R252" s="156"/>
      <c r="S252" s="332"/>
      <c r="T252" s="332"/>
      <c r="U252" s="332"/>
      <c r="V252" s="332"/>
      <c r="W252" s="332"/>
      <c r="X252" s="332"/>
      <c r="Y252" s="156"/>
      <c r="Z252" s="332"/>
      <c r="AA252" s="332"/>
      <c r="AB252" s="156"/>
      <c r="AC252" s="156"/>
      <c r="AD252" s="332"/>
      <c r="AE252" s="156"/>
      <c r="AF252" s="156"/>
      <c r="AG252" s="332"/>
      <c r="AH252" s="332"/>
      <c r="AI252" s="332"/>
      <c r="AJ252" s="332"/>
      <c r="AK252" s="332"/>
      <c r="AL252" s="332"/>
      <c r="AM252" s="332"/>
      <c r="AN252" s="332"/>
      <c r="AO252" s="332"/>
    </row>
    <row r="253" spans="1:41">
      <c r="A253" s="332"/>
      <c r="B253" s="332"/>
      <c r="C253" s="156"/>
      <c r="D253" s="332"/>
      <c r="E253" s="332"/>
      <c r="F253" s="332"/>
      <c r="G253" s="156"/>
      <c r="H253" s="332"/>
      <c r="I253" s="332"/>
      <c r="J253" s="332"/>
      <c r="K253" s="332"/>
      <c r="L253" s="332"/>
      <c r="M253" s="332"/>
      <c r="N253" s="156"/>
      <c r="O253" s="332"/>
      <c r="P253" s="332"/>
      <c r="Q253" s="332"/>
      <c r="R253" s="332"/>
      <c r="S253" s="332"/>
      <c r="T253" s="332"/>
      <c r="U253" s="332"/>
      <c r="V253" s="332"/>
      <c r="W253" s="332"/>
      <c r="X253" s="332"/>
      <c r="Y253" s="156"/>
      <c r="Z253" s="332"/>
      <c r="AA253" s="332"/>
      <c r="AB253" s="156"/>
      <c r="AC253" s="156"/>
      <c r="AD253" s="332"/>
      <c r="AE253" s="156"/>
      <c r="AF253" s="156"/>
      <c r="AG253" s="332"/>
      <c r="AH253" s="332"/>
      <c r="AI253" s="332"/>
      <c r="AJ253" s="332"/>
      <c r="AK253" s="332"/>
      <c r="AL253" s="332"/>
      <c r="AM253" s="332"/>
      <c r="AN253" s="332"/>
      <c r="AO253" s="332"/>
    </row>
    <row r="254" spans="1:41">
      <c r="A254" s="332"/>
      <c r="B254" s="332"/>
      <c r="C254" s="332"/>
      <c r="D254" s="332"/>
      <c r="E254" s="332"/>
      <c r="F254" s="332"/>
      <c r="G254" s="332"/>
      <c r="H254" s="332"/>
      <c r="I254" s="332"/>
      <c r="J254" s="332"/>
      <c r="K254" s="332"/>
      <c r="L254" s="332"/>
      <c r="M254" s="332"/>
      <c r="N254" s="156"/>
      <c r="O254" s="332"/>
      <c r="P254" s="332"/>
      <c r="Q254" s="332"/>
      <c r="R254" s="332"/>
      <c r="S254" s="332"/>
      <c r="T254" s="332"/>
      <c r="U254" s="332"/>
      <c r="V254" s="332"/>
      <c r="W254" s="332"/>
      <c r="X254" s="332"/>
      <c r="Y254" s="156"/>
      <c r="Z254" s="332"/>
      <c r="AA254" s="332"/>
      <c r="AB254" s="156"/>
      <c r="AC254" s="156"/>
      <c r="AD254" s="332"/>
      <c r="AE254" s="156"/>
      <c r="AF254" s="156"/>
      <c r="AG254" s="332"/>
      <c r="AH254" s="332"/>
      <c r="AI254" s="332"/>
      <c r="AJ254" s="332"/>
      <c r="AK254" s="332"/>
      <c r="AL254" s="332"/>
      <c r="AM254" s="332"/>
      <c r="AN254" s="332"/>
      <c r="AO254" s="332"/>
    </row>
    <row r="255" spans="1:41">
      <c r="A255" s="332"/>
      <c r="B255" s="332"/>
      <c r="C255" s="156"/>
      <c r="D255" s="332"/>
      <c r="E255" s="332"/>
      <c r="F255" s="332"/>
      <c r="G255" s="156"/>
      <c r="H255" s="332"/>
      <c r="I255" s="332"/>
      <c r="J255" s="332"/>
      <c r="K255" s="332"/>
      <c r="L255" s="332"/>
      <c r="M255" s="332"/>
      <c r="N255" s="156"/>
      <c r="O255" s="332"/>
      <c r="P255" s="332"/>
      <c r="Q255" s="332"/>
      <c r="R255" s="332"/>
      <c r="S255" s="332"/>
      <c r="T255" s="332"/>
      <c r="U255" s="332"/>
      <c r="V255" s="332"/>
      <c r="W255" s="332"/>
      <c r="X255" s="332"/>
      <c r="Y255" s="156"/>
      <c r="Z255" s="332"/>
      <c r="AA255" s="332"/>
      <c r="AB255" s="156"/>
      <c r="AC255" s="156"/>
      <c r="AD255" s="332"/>
      <c r="AE255" s="156"/>
      <c r="AF255" s="156"/>
      <c r="AG255" s="332"/>
      <c r="AH255" s="332"/>
      <c r="AI255" s="332"/>
      <c r="AJ255" s="332"/>
      <c r="AK255" s="332"/>
      <c r="AL255" s="332"/>
      <c r="AM255" s="332"/>
      <c r="AN255" s="332"/>
      <c r="AO255" s="332"/>
    </row>
    <row r="256" spans="1:41">
      <c r="A256" s="332"/>
      <c r="B256" s="332"/>
      <c r="C256" s="156"/>
      <c r="D256" s="332"/>
      <c r="E256" s="332"/>
      <c r="F256" s="332"/>
      <c r="G256" s="332"/>
      <c r="H256" s="332"/>
      <c r="I256" s="332"/>
      <c r="J256" s="332"/>
      <c r="K256" s="332"/>
      <c r="L256" s="332"/>
      <c r="M256" s="332"/>
      <c r="N256" s="156"/>
      <c r="O256" s="332"/>
      <c r="P256" s="332"/>
      <c r="Q256" s="332"/>
      <c r="R256" s="332"/>
      <c r="S256" s="332"/>
      <c r="T256" s="332"/>
      <c r="U256" s="332"/>
      <c r="V256" s="332"/>
      <c r="W256" s="332"/>
      <c r="X256" s="332"/>
      <c r="Y256" s="156"/>
      <c r="Z256" s="332"/>
      <c r="AA256" s="332"/>
      <c r="AB256" s="156"/>
      <c r="AC256" s="156"/>
      <c r="AD256" s="332"/>
      <c r="AE256" s="156"/>
      <c r="AF256" s="156"/>
      <c r="AG256" s="332"/>
      <c r="AH256" s="332"/>
      <c r="AI256" s="332"/>
      <c r="AJ256" s="332"/>
      <c r="AK256" s="332"/>
      <c r="AL256" s="332"/>
      <c r="AM256" s="332"/>
      <c r="AN256" s="332"/>
      <c r="AO256" s="332"/>
    </row>
    <row r="257" spans="1:41">
      <c r="A257" s="332"/>
      <c r="B257" s="332"/>
      <c r="C257" s="332"/>
      <c r="D257" s="332"/>
      <c r="E257" s="332"/>
      <c r="F257" s="332"/>
      <c r="G257" s="332"/>
      <c r="H257" s="332"/>
      <c r="I257" s="332"/>
      <c r="J257" s="332"/>
      <c r="K257" s="332"/>
      <c r="L257" s="332"/>
      <c r="M257" s="332"/>
      <c r="N257" s="156"/>
      <c r="O257" s="332"/>
      <c r="P257" s="332"/>
      <c r="Q257" s="332"/>
      <c r="R257" s="332"/>
      <c r="S257" s="332"/>
      <c r="T257" s="332"/>
      <c r="U257" s="332"/>
      <c r="V257" s="156"/>
      <c r="W257" s="332"/>
      <c r="X257" s="332"/>
      <c r="Y257" s="156"/>
      <c r="Z257" s="332"/>
      <c r="AA257" s="332"/>
      <c r="AB257" s="156"/>
      <c r="AC257" s="156"/>
      <c r="AD257" s="332"/>
      <c r="AE257" s="332"/>
      <c r="AF257" s="156"/>
      <c r="AG257" s="332"/>
      <c r="AH257" s="332"/>
      <c r="AI257" s="332"/>
      <c r="AJ257" s="332"/>
      <c r="AK257" s="332"/>
      <c r="AL257" s="332"/>
      <c r="AM257" s="332"/>
      <c r="AN257" s="332"/>
      <c r="AO257" s="332"/>
    </row>
    <row r="258" spans="1:41">
      <c r="A258" s="332"/>
      <c r="B258" s="332"/>
      <c r="C258" s="156"/>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156"/>
      <c r="Z258" s="332"/>
      <c r="AA258" s="332"/>
      <c r="AB258" s="156"/>
      <c r="AC258" s="332"/>
      <c r="AD258" s="332"/>
      <c r="AE258" s="332"/>
      <c r="AF258" s="156"/>
      <c r="AG258" s="332"/>
      <c r="AH258" s="332"/>
      <c r="AI258" s="332"/>
      <c r="AJ258" s="332"/>
      <c r="AK258" s="332"/>
      <c r="AL258" s="332"/>
      <c r="AM258" s="332"/>
      <c r="AN258" s="332"/>
      <c r="AO258" s="332"/>
    </row>
    <row r="259" spans="1:41">
      <c r="A259" s="332"/>
      <c r="B259" s="332"/>
      <c r="C259" s="156"/>
      <c r="D259" s="332"/>
      <c r="E259" s="332"/>
      <c r="F259" s="332"/>
      <c r="G259" s="332"/>
      <c r="H259" s="332"/>
      <c r="I259" s="332"/>
      <c r="J259" s="332"/>
      <c r="K259" s="332"/>
      <c r="L259" s="332"/>
      <c r="M259" s="332"/>
      <c r="N259" s="156"/>
      <c r="O259" s="332"/>
      <c r="P259" s="332"/>
      <c r="Q259" s="332"/>
      <c r="R259" s="332"/>
      <c r="S259" s="332"/>
      <c r="T259" s="332"/>
      <c r="U259" s="332"/>
      <c r="V259" s="332"/>
      <c r="W259" s="332"/>
      <c r="X259" s="332"/>
      <c r="Y259" s="156"/>
      <c r="Z259" s="332"/>
      <c r="AA259" s="332"/>
      <c r="AB259" s="156"/>
      <c r="AC259" s="156"/>
      <c r="AD259" s="332"/>
      <c r="AE259" s="156"/>
      <c r="AF259" s="156"/>
      <c r="AG259" s="332"/>
      <c r="AH259" s="332"/>
      <c r="AI259" s="332"/>
      <c r="AJ259" s="332"/>
      <c r="AK259" s="332"/>
      <c r="AL259" s="332"/>
      <c r="AM259" s="332"/>
      <c r="AN259" s="332"/>
      <c r="AO259" s="332"/>
    </row>
    <row r="260" spans="1:41">
      <c r="A260" s="332"/>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156"/>
      <c r="Z260" s="332"/>
      <c r="AA260" s="332"/>
      <c r="AB260" s="156"/>
      <c r="AC260" s="332"/>
      <c r="AD260" s="332"/>
      <c r="AE260" s="156"/>
      <c r="AF260" s="332"/>
      <c r="AG260" s="332"/>
      <c r="AH260" s="332"/>
      <c r="AI260" s="332"/>
      <c r="AJ260" s="332"/>
      <c r="AK260" s="332"/>
      <c r="AL260" s="332"/>
      <c r="AM260" s="332"/>
      <c r="AN260" s="332"/>
      <c r="AO260" s="332"/>
    </row>
    <row r="261" spans="1:41">
      <c r="A261" s="332"/>
      <c r="B261" s="332"/>
      <c r="C261" s="332"/>
      <c r="D261" s="332"/>
      <c r="E261" s="332"/>
      <c r="F261" s="332"/>
      <c r="G261" s="332"/>
      <c r="H261" s="332"/>
      <c r="I261" s="332"/>
      <c r="J261" s="332"/>
      <c r="K261" s="332"/>
      <c r="L261" s="332"/>
      <c r="M261" s="332"/>
      <c r="N261" s="156"/>
      <c r="O261" s="332"/>
      <c r="P261" s="332"/>
      <c r="Q261" s="332"/>
      <c r="R261" s="332"/>
      <c r="S261" s="332"/>
      <c r="T261" s="332"/>
      <c r="U261" s="332"/>
      <c r="V261" s="332"/>
      <c r="W261" s="332"/>
      <c r="X261" s="332"/>
      <c r="Y261" s="156"/>
      <c r="Z261" s="332"/>
      <c r="AA261" s="332"/>
      <c r="AB261" s="156"/>
      <c r="AC261" s="332"/>
      <c r="AD261" s="332"/>
      <c r="AE261" s="156"/>
      <c r="AF261" s="156"/>
      <c r="AG261" s="332"/>
      <c r="AH261" s="332"/>
      <c r="AI261" s="332"/>
      <c r="AJ261" s="332"/>
      <c r="AK261" s="332"/>
      <c r="AL261" s="332"/>
      <c r="AM261" s="332"/>
      <c r="AN261" s="332"/>
      <c r="AO261" s="332"/>
    </row>
    <row r="262" spans="1:41">
      <c r="A262" s="332"/>
      <c r="B262" s="332"/>
      <c r="C262" s="156"/>
      <c r="D262" s="332"/>
      <c r="E262" s="332"/>
      <c r="F262" s="332"/>
      <c r="G262" s="332"/>
      <c r="H262" s="332"/>
      <c r="I262" s="332"/>
      <c r="J262" s="332"/>
      <c r="K262" s="332"/>
      <c r="L262" s="332"/>
      <c r="M262" s="332"/>
      <c r="N262" s="156"/>
      <c r="O262" s="332"/>
      <c r="P262" s="332"/>
      <c r="Q262" s="332"/>
      <c r="R262" s="332"/>
      <c r="S262" s="332"/>
      <c r="T262" s="332"/>
      <c r="U262" s="332"/>
      <c r="V262" s="332"/>
      <c r="W262" s="332"/>
      <c r="X262" s="332"/>
      <c r="Y262" s="332"/>
      <c r="Z262" s="332"/>
      <c r="AA262" s="332"/>
      <c r="AB262" s="156"/>
      <c r="AC262" s="156"/>
      <c r="AD262" s="332"/>
      <c r="AE262" s="156"/>
      <c r="AF262" s="156"/>
      <c r="AG262" s="332"/>
      <c r="AH262" s="332"/>
      <c r="AI262" s="332"/>
      <c r="AJ262" s="332"/>
      <c r="AK262" s="332"/>
      <c r="AL262" s="332"/>
      <c r="AM262" s="332"/>
      <c r="AN262" s="332"/>
      <c r="AO262" s="332"/>
    </row>
    <row r="263" spans="1:41">
      <c r="A263" s="332"/>
      <c r="B263" s="332"/>
      <c r="C263" s="332"/>
      <c r="D263" s="332"/>
      <c r="E263" s="332"/>
      <c r="F263" s="332"/>
      <c r="G263" s="156"/>
      <c r="H263" s="332"/>
      <c r="I263" s="332"/>
      <c r="J263" s="332"/>
      <c r="K263" s="332"/>
      <c r="L263" s="332"/>
      <c r="M263" s="332"/>
      <c r="N263" s="156"/>
      <c r="O263" s="332"/>
      <c r="P263" s="332"/>
      <c r="Q263" s="332"/>
      <c r="R263" s="332"/>
      <c r="S263" s="332"/>
      <c r="T263" s="332"/>
      <c r="U263" s="332"/>
      <c r="V263" s="156"/>
      <c r="W263" s="332"/>
      <c r="X263" s="332"/>
      <c r="Y263" s="156"/>
      <c r="Z263" s="332"/>
      <c r="AA263" s="332"/>
      <c r="AB263" s="156"/>
      <c r="AC263" s="156"/>
      <c r="AD263" s="332"/>
      <c r="AE263" s="332"/>
      <c r="AF263" s="156"/>
      <c r="AG263" s="332"/>
      <c r="AH263" s="332"/>
      <c r="AI263" s="332"/>
      <c r="AJ263" s="332"/>
      <c r="AK263" s="332"/>
      <c r="AL263" s="332"/>
      <c r="AM263" s="332"/>
      <c r="AN263" s="332"/>
      <c r="AO263" s="332"/>
    </row>
    <row r="264" spans="1:41">
      <c r="A264" s="332"/>
      <c r="B264" s="332"/>
      <c r="C264" s="156"/>
      <c r="D264" s="332"/>
      <c r="E264" s="332"/>
      <c r="F264" s="332"/>
      <c r="G264" s="156"/>
      <c r="H264" s="332"/>
      <c r="I264" s="332"/>
      <c r="J264" s="332"/>
      <c r="K264" s="332"/>
      <c r="L264" s="332"/>
      <c r="M264" s="332"/>
      <c r="N264" s="156"/>
      <c r="O264" s="332"/>
      <c r="P264" s="332"/>
      <c r="Q264" s="332"/>
      <c r="R264" s="332"/>
      <c r="S264" s="332"/>
      <c r="T264" s="332"/>
      <c r="U264" s="332"/>
      <c r="V264" s="332"/>
      <c r="W264" s="332"/>
      <c r="X264" s="332"/>
      <c r="Y264" s="156"/>
      <c r="Z264" s="332"/>
      <c r="AA264" s="332"/>
      <c r="AB264" s="156"/>
      <c r="AC264" s="156"/>
      <c r="AD264" s="332"/>
      <c r="AE264" s="332"/>
      <c r="AF264" s="156"/>
      <c r="AG264" s="332"/>
      <c r="AH264" s="332"/>
      <c r="AI264" s="332"/>
      <c r="AJ264" s="332"/>
      <c r="AK264" s="332"/>
      <c r="AL264" s="332"/>
      <c r="AM264" s="332"/>
      <c r="AN264" s="332"/>
      <c r="AO264" s="332"/>
    </row>
    <row r="265" spans="1:41">
      <c r="A265" s="332"/>
      <c r="B265" s="332"/>
      <c r="C265" s="332"/>
      <c r="D265" s="332"/>
      <c r="E265" s="332"/>
      <c r="F265" s="332"/>
      <c r="G265" s="332"/>
      <c r="H265" s="332"/>
      <c r="I265" s="332"/>
      <c r="J265" s="332"/>
      <c r="K265" s="332"/>
      <c r="L265" s="332"/>
      <c r="M265" s="332"/>
      <c r="N265" s="156"/>
      <c r="O265" s="332"/>
      <c r="P265" s="332"/>
      <c r="Q265" s="332"/>
      <c r="R265" s="332"/>
      <c r="S265" s="332"/>
      <c r="T265" s="332"/>
      <c r="U265" s="332"/>
      <c r="V265" s="332"/>
      <c r="W265" s="332"/>
      <c r="X265" s="332"/>
      <c r="Y265" s="156"/>
      <c r="Z265" s="332"/>
      <c r="AA265" s="332"/>
      <c r="AB265" s="332"/>
      <c r="AC265" s="156"/>
      <c r="AD265" s="332"/>
      <c r="AE265" s="332"/>
      <c r="AF265" s="156"/>
      <c r="AG265" s="332"/>
      <c r="AH265" s="332"/>
      <c r="AI265" s="332"/>
      <c r="AJ265" s="332"/>
      <c r="AK265" s="332"/>
      <c r="AL265" s="332"/>
      <c r="AM265" s="332"/>
      <c r="AN265" s="332"/>
      <c r="AO265" s="332"/>
    </row>
    <row r="266" spans="1:41">
      <c r="A266" s="332"/>
      <c r="B266" s="332"/>
      <c r="C266" s="156"/>
      <c r="D266" s="332"/>
      <c r="E266" s="332"/>
      <c r="F266" s="332"/>
      <c r="G266" s="332"/>
      <c r="H266" s="332"/>
      <c r="I266" s="332"/>
      <c r="J266" s="332"/>
      <c r="K266" s="332"/>
      <c r="L266" s="332"/>
      <c r="M266" s="332"/>
      <c r="N266" s="156"/>
      <c r="O266" s="332"/>
      <c r="P266" s="332"/>
      <c r="Q266" s="332"/>
      <c r="R266" s="332"/>
      <c r="S266" s="332"/>
      <c r="T266" s="156"/>
      <c r="U266" s="332"/>
      <c r="V266" s="332"/>
      <c r="W266" s="332"/>
      <c r="X266" s="332"/>
      <c r="Y266" s="156"/>
      <c r="Z266" s="332"/>
      <c r="AA266" s="332"/>
      <c r="AB266" s="156"/>
      <c r="AC266" s="156"/>
      <c r="AD266" s="332"/>
      <c r="AE266" s="156"/>
      <c r="AF266" s="156"/>
      <c r="AG266" s="332"/>
      <c r="AH266" s="332"/>
      <c r="AI266" s="332"/>
      <c r="AJ266" s="332"/>
      <c r="AK266" s="332"/>
      <c r="AL266" s="332"/>
      <c r="AM266" s="332"/>
      <c r="AN266" s="332"/>
      <c r="AO266" s="332"/>
    </row>
    <row r="267" spans="1:41">
      <c r="A267" s="332"/>
      <c r="B267" s="332"/>
      <c r="C267" s="156"/>
      <c r="D267" s="332"/>
      <c r="E267" s="332"/>
      <c r="F267" s="332"/>
      <c r="G267" s="332"/>
      <c r="H267" s="332"/>
      <c r="I267" s="332"/>
      <c r="J267" s="332"/>
      <c r="K267" s="332"/>
      <c r="L267" s="332"/>
      <c r="M267" s="332"/>
      <c r="N267" s="332"/>
      <c r="O267" s="332"/>
      <c r="P267" s="332"/>
      <c r="Q267" s="332"/>
      <c r="R267" s="156"/>
      <c r="S267" s="332"/>
      <c r="T267" s="332"/>
      <c r="U267" s="332"/>
      <c r="V267" s="332"/>
      <c r="W267" s="332"/>
      <c r="X267" s="332"/>
      <c r="Y267" s="156"/>
      <c r="Z267" s="332"/>
      <c r="AA267" s="332"/>
      <c r="AB267" s="156"/>
      <c r="AC267" s="156"/>
      <c r="AD267" s="332"/>
      <c r="AE267" s="156"/>
      <c r="AF267" s="156"/>
      <c r="AG267" s="332"/>
      <c r="AH267" s="332"/>
      <c r="AI267" s="332"/>
      <c r="AJ267" s="332"/>
      <c r="AK267" s="332"/>
      <c r="AL267" s="332"/>
      <c r="AM267" s="332"/>
      <c r="AN267" s="332"/>
      <c r="AO267" s="332"/>
    </row>
    <row r="268" spans="1:41">
      <c r="A268" s="332"/>
      <c r="B268" s="332"/>
      <c r="C268" s="332"/>
      <c r="D268" s="332"/>
      <c r="E268" s="332"/>
      <c r="F268" s="332"/>
      <c r="G268" s="332"/>
      <c r="H268" s="332"/>
      <c r="I268" s="332"/>
      <c r="J268" s="332"/>
      <c r="K268" s="332"/>
      <c r="L268" s="332"/>
      <c r="M268" s="332"/>
      <c r="N268" s="156"/>
      <c r="O268" s="332"/>
      <c r="P268" s="332"/>
      <c r="Q268" s="332"/>
      <c r="R268" s="332"/>
      <c r="S268" s="332"/>
      <c r="T268" s="332"/>
      <c r="U268" s="332"/>
      <c r="V268" s="332"/>
      <c r="W268" s="332"/>
      <c r="X268" s="332"/>
      <c r="Y268" s="156"/>
      <c r="Z268" s="332"/>
      <c r="AA268" s="332"/>
      <c r="AB268" s="156"/>
      <c r="AC268" s="156"/>
      <c r="AD268" s="332"/>
      <c r="AE268" s="156"/>
      <c r="AF268" s="156"/>
      <c r="AG268" s="332"/>
      <c r="AH268" s="332"/>
      <c r="AI268" s="332"/>
      <c r="AJ268" s="332"/>
      <c r="AK268" s="332"/>
      <c r="AL268" s="332"/>
      <c r="AM268" s="332"/>
      <c r="AN268" s="332"/>
      <c r="AO268" s="332"/>
    </row>
    <row r="269" spans="1:41">
      <c r="A269" s="332"/>
      <c r="B269" s="332"/>
      <c r="C269" s="332"/>
      <c r="D269" s="332"/>
      <c r="E269" s="332"/>
      <c r="F269" s="332"/>
      <c r="G269" s="332"/>
      <c r="H269" s="332"/>
      <c r="I269" s="332"/>
      <c r="J269" s="332"/>
      <c r="K269" s="332"/>
      <c r="L269" s="332"/>
      <c r="M269" s="332"/>
      <c r="N269" s="156"/>
      <c r="O269" s="332"/>
      <c r="P269" s="332"/>
      <c r="Q269" s="332"/>
      <c r="R269" s="332"/>
      <c r="S269" s="332"/>
      <c r="T269" s="332"/>
      <c r="U269" s="332"/>
      <c r="V269" s="332"/>
      <c r="W269" s="332"/>
      <c r="X269" s="332"/>
      <c r="Y269" s="156"/>
      <c r="Z269" s="332"/>
      <c r="AA269" s="332"/>
      <c r="AB269" s="156"/>
      <c r="AC269" s="156"/>
      <c r="AD269" s="332"/>
      <c r="AE269" s="156"/>
      <c r="AF269" s="156"/>
      <c r="AG269" s="332"/>
      <c r="AH269" s="332"/>
      <c r="AI269" s="332"/>
      <c r="AJ269" s="332"/>
      <c r="AK269" s="332"/>
      <c r="AL269" s="332"/>
      <c r="AM269" s="332"/>
      <c r="AN269" s="332"/>
      <c r="AO269" s="332"/>
    </row>
    <row r="270" spans="1:41">
      <c r="A270" s="332"/>
      <c r="B270" s="332"/>
      <c r="C270" s="332"/>
      <c r="D270" s="332"/>
      <c r="E270" s="332"/>
      <c r="F270" s="332"/>
      <c r="G270" s="332"/>
      <c r="H270" s="332"/>
      <c r="I270" s="332"/>
      <c r="J270" s="332"/>
      <c r="K270" s="332"/>
      <c r="L270" s="332"/>
      <c r="M270" s="332"/>
      <c r="N270" s="156"/>
      <c r="O270" s="332"/>
      <c r="P270" s="332"/>
      <c r="Q270" s="332"/>
      <c r="R270" s="332"/>
      <c r="S270" s="332"/>
      <c r="T270" s="332"/>
      <c r="U270" s="332"/>
      <c r="V270" s="156"/>
      <c r="W270" s="332"/>
      <c r="X270" s="332"/>
      <c r="Y270" s="156"/>
      <c r="Z270" s="332"/>
      <c r="AA270" s="332"/>
      <c r="AB270" s="156"/>
      <c r="AC270" s="332"/>
      <c r="AD270" s="332"/>
      <c r="AE270" s="332"/>
      <c r="AF270" s="332"/>
      <c r="AG270" s="332"/>
      <c r="AH270" s="332"/>
      <c r="AI270" s="332"/>
      <c r="AJ270" s="332"/>
      <c r="AK270" s="332"/>
      <c r="AL270" s="332"/>
      <c r="AM270" s="332"/>
      <c r="AN270" s="332"/>
      <c r="AO270" s="332"/>
    </row>
    <row r="271" spans="1:41">
      <c r="A271" s="332"/>
      <c r="B271" s="332"/>
      <c r="C271" s="156"/>
      <c r="D271" s="332"/>
      <c r="E271" s="332"/>
      <c r="F271" s="332"/>
      <c r="G271" s="332"/>
      <c r="H271" s="332"/>
      <c r="I271" s="332"/>
      <c r="J271" s="332"/>
      <c r="K271" s="332"/>
      <c r="L271" s="332"/>
      <c r="M271" s="332"/>
      <c r="N271" s="156"/>
      <c r="O271" s="332"/>
      <c r="P271" s="332"/>
      <c r="Q271" s="332"/>
      <c r="R271" s="332"/>
      <c r="S271" s="332"/>
      <c r="T271" s="332"/>
      <c r="U271" s="332"/>
      <c r="V271" s="156"/>
      <c r="W271" s="332"/>
      <c r="X271" s="332"/>
      <c r="Y271" s="156"/>
      <c r="Z271" s="332"/>
      <c r="AA271" s="332"/>
      <c r="AB271" s="156"/>
      <c r="AC271" s="156"/>
      <c r="AD271" s="332"/>
      <c r="AE271" s="156"/>
      <c r="AF271" s="156"/>
      <c r="AG271" s="332"/>
      <c r="AH271" s="332"/>
      <c r="AI271" s="332"/>
      <c r="AJ271" s="332"/>
      <c r="AK271" s="332"/>
      <c r="AL271" s="332"/>
      <c r="AM271" s="332"/>
      <c r="AN271" s="332"/>
      <c r="AO271" s="332"/>
    </row>
    <row r="272" spans="1:41">
      <c r="A272" s="332"/>
      <c r="B272" s="332"/>
      <c r="C272" s="156"/>
      <c r="D272" s="332"/>
      <c r="E272" s="332"/>
      <c r="F272" s="332"/>
      <c r="G272" s="332"/>
      <c r="H272" s="332"/>
      <c r="I272" s="332"/>
      <c r="J272" s="332"/>
      <c r="K272" s="332"/>
      <c r="L272" s="332"/>
      <c r="M272" s="332"/>
      <c r="N272" s="332"/>
      <c r="O272" s="332"/>
      <c r="P272" s="332"/>
      <c r="Q272" s="332"/>
      <c r="R272" s="156"/>
      <c r="S272" s="332"/>
      <c r="T272" s="156"/>
      <c r="U272" s="332"/>
      <c r="V272" s="156"/>
      <c r="W272" s="332"/>
      <c r="X272" s="332"/>
      <c r="Y272" s="156"/>
      <c r="Z272" s="332"/>
      <c r="AA272" s="332"/>
      <c r="AB272" s="156"/>
      <c r="AC272" s="156"/>
      <c r="AD272" s="332"/>
      <c r="AE272" s="156"/>
      <c r="AF272" s="156"/>
      <c r="AG272" s="332"/>
      <c r="AH272" s="332"/>
      <c r="AI272" s="332"/>
      <c r="AJ272" s="332"/>
      <c r="AK272" s="332"/>
      <c r="AL272" s="332"/>
      <c r="AM272" s="332"/>
      <c r="AN272" s="332"/>
      <c r="AO272" s="332"/>
    </row>
    <row r="273" spans="1:41">
      <c r="A273" s="332"/>
      <c r="B273" s="332"/>
      <c r="C273" s="156"/>
      <c r="D273" s="332"/>
      <c r="E273" s="332"/>
      <c r="F273" s="332"/>
      <c r="G273" s="156"/>
      <c r="H273" s="332"/>
      <c r="I273" s="332"/>
      <c r="J273" s="332"/>
      <c r="K273" s="332"/>
      <c r="L273" s="332"/>
      <c r="M273" s="332"/>
      <c r="N273" s="156"/>
      <c r="O273" s="332"/>
      <c r="P273" s="332"/>
      <c r="Q273" s="332"/>
      <c r="R273" s="332"/>
      <c r="S273" s="332"/>
      <c r="T273" s="332"/>
      <c r="U273" s="332"/>
      <c r="V273" s="332"/>
      <c r="W273" s="332"/>
      <c r="X273" s="332"/>
      <c r="Y273" s="156"/>
      <c r="Z273" s="332"/>
      <c r="AA273" s="332"/>
      <c r="AB273" s="156"/>
      <c r="AC273" s="156"/>
      <c r="AD273" s="332"/>
      <c r="AE273" s="156"/>
      <c r="AF273" s="156"/>
      <c r="AG273" s="332"/>
      <c r="AH273" s="332"/>
      <c r="AI273" s="332"/>
      <c r="AJ273" s="332"/>
      <c r="AK273" s="332"/>
      <c r="AL273" s="332"/>
      <c r="AM273" s="332"/>
      <c r="AN273" s="332"/>
      <c r="AO273" s="332"/>
    </row>
    <row r="274" spans="1:41">
      <c r="A274" s="332"/>
      <c r="B274" s="332"/>
      <c r="C274" s="332"/>
      <c r="D274" s="332"/>
      <c r="E274" s="332"/>
      <c r="F274" s="332"/>
      <c r="G274" s="332"/>
      <c r="H274" s="332"/>
      <c r="I274" s="332"/>
      <c r="J274" s="332"/>
      <c r="K274" s="332"/>
      <c r="L274" s="332"/>
      <c r="M274" s="332"/>
      <c r="N274" s="156"/>
      <c r="O274" s="332"/>
      <c r="P274" s="332"/>
      <c r="Q274" s="332"/>
      <c r="R274" s="332"/>
      <c r="S274" s="332"/>
      <c r="T274" s="156"/>
      <c r="U274" s="332"/>
      <c r="V274" s="332"/>
      <c r="W274" s="332"/>
      <c r="X274" s="332"/>
      <c r="Y274" s="156"/>
      <c r="Z274" s="332"/>
      <c r="AA274" s="332"/>
      <c r="AB274" s="156"/>
      <c r="AC274" s="332"/>
      <c r="AD274" s="332"/>
      <c r="AE274" s="156"/>
      <c r="AF274" s="156"/>
      <c r="AG274" s="332"/>
      <c r="AH274" s="332"/>
      <c r="AI274" s="332"/>
      <c r="AJ274" s="332"/>
      <c r="AK274" s="332"/>
      <c r="AL274" s="332"/>
      <c r="AM274" s="332"/>
      <c r="AN274" s="332"/>
      <c r="AO274" s="332"/>
    </row>
    <row r="275" spans="1:41">
      <c r="A275" s="332"/>
      <c r="B275" s="332"/>
      <c r="C275" s="156"/>
      <c r="D275" s="332"/>
      <c r="E275" s="332"/>
      <c r="F275" s="332"/>
      <c r="G275" s="156"/>
      <c r="H275" s="332"/>
      <c r="I275" s="332"/>
      <c r="J275" s="332"/>
      <c r="K275" s="332"/>
      <c r="L275" s="332"/>
      <c r="M275" s="332"/>
      <c r="N275" s="156"/>
      <c r="O275" s="332"/>
      <c r="P275" s="332"/>
      <c r="Q275" s="332"/>
      <c r="R275" s="156"/>
      <c r="S275" s="332"/>
      <c r="T275" s="156"/>
      <c r="U275" s="332"/>
      <c r="V275" s="332"/>
      <c r="W275" s="332"/>
      <c r="X275" s="332"/>
      <c r="Y275" s="156"/>
      <c r="Z275" s="332"/>
      <c r="AA275" s="332"/>
      <c r="AB275" s="156"/>
      <c r="AC275" s="156"/>
      <c r="AD275" s="332"/>
      <c r="AE275" s="156"/>
      <c r="AF275" s="156"/>
      <c r="AG275" s="332"/>
      <c r="AH275" s="332"/>
      <c r="AI275" s="332"/>
      <c r="AJ275" s="332"/>
      <c r="AK275" s="332"/>
      <c r="AL275" s="332"/>
      <c r="AM275" s="332"/>
      <c r="AN275" s="332"/>
      <c r="AO275" s="332"/>
    </row>
    <row r="276" spans="1:41">
      <c r="A276" s="332"/>
      <c r="B276" s="332"/>
      <c r="C276" s="156"/>
      <c r="D276" s="332"/>
      <c r="E276" s="332"/>
      <c r="F276" s="332"/>
      <c r="G276" s="156"/>
      <c r="H276" s="332"/>
      <c r="I276" s="332"/>
      <c r="J276" s="332"/>
      <c r="K276" s="332"/>
      <c r="L276" s="332"/>
      <c r="M276" s="332"/>
      <c r="N276" s="156"/>
      <c r="O276" s="332"/>
      <c r="P276" s="332"/>
      <c r="Q276" s="332"/>
      <c r="R276" s="156"/>
      <c r="S276" s="332"/>
      <c r="T276" s="156"/>
      <c r="U276" s="332"/>
      <c r="V276" s="156"/>
      <c r="W276" s="332"/>
      <c r="X276" s="332"/>
      <c r="Y276" s="332"/>
      <c r="Z276" s="332"/>
      <c r="AA276" s="332"/>
      <c r="AB276" s="156"/>
      <c r="AC276" s="156"/>
      <c r="AD276" s="332"/>
      <c r="AE276" s="156"/>
      <c r="AF276" s="156"/>
      <c r="AG276" s="332"/>
      <c r="AH276" s="332"/>
      <c r="AI276" s="332"/>
      <c r="AJ276" s="332"/>
      <c r="AK276" s="332"/>
      <c r="AL276" s="332"/>
      <c r="AM276" s="332"/>
      <c r="AN276" s="332"/>
      <c r="AO276" s="332"/>
    </row>
    <row r="277" spans="1:41">
      <c r="A277" s="332"/>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156"/>
      <c r="Z277" s="332"/>
      <c r="AA277" s="332"/>
      <c r="AB277" s="156"/>
      <c r="AC277" s="156"/>
      <c r="AD277" s="332"/>
      <c r="AE277" s="332"/>
      <c r="AF277" s="156"/>
      <c r="AG277" s="332"/>
      <c r="AH277" s="332"/>
      <c r="AI277" s="332"/>
      <c r="AJ277" s="332"/>
      <c r="AK277" s="332"/>
      <c r="AL277" s="332"/>
      <c r="AM277" s="332"/>
      <c r="AN277" s="332"/>
      <c r="AO277" s="332"/>
    </row>
    <row r="278" spans="1:41">
      <c r="A278" s="332"/>
      <c r="B278" s="332"/>
      <c r="C278" s="332"/>
      <c r="D278" s="332"/>
      <c r="E278" s="332"/>
      <c r="F278" s="332"/>
      <c r="G278" s="332"/>
      <c r="H278" s="332"/>
      <c r="I278" s="332"/>
      <c r="J278" s="332"/>
      <c r="K278" s="332"/>
      <c r="L278" s="332"/>
      <c r="M278" s="332"/>
      <c r="N278" s="332"/>
      <c r="O278" s="332"/>
      <c r="P278" s="332"/>
      <c r="Q278" s="332"/>
      <c r="R278" s="332"/>
      <c r="S278" s="332"/>
      <c r="T278" s="332"/>
      <c r="U278" s="332"/>
      <c r="V278" s="156"/>
      <c r="W278" s="332"/>
      <c r="X278" s="332"/>
      <c r="Y278" s="156"/>
      <c r="Z278" s="332"/>
      <c r="AA278" s="332"/>
      <c r="AB278" s="156"/>
      <c r="AC278" s="332"/>
      <c r="AD278" s="332"/>
      <c r="AE278" s="332"/>
      <c r="AF278" s="156"/>
      <c r="AG278" s="332"/>
      <c r="AH278" s="332"/>
      <c r="AI278" s="332"/>
      <c r="AJ278" s="332"/>
      <c r="AK278" s="332"/>
      <c r="AL278" s="332"/>
      <c r="AM278" s="332"/>
      <c r="AN278" s="332"/>
      <c r="AO278" s="332"/>
    </row>
    <row r="279" spans="1:41">
      <c r="A279" s="332"/>
      <c r="B279" s="332"/>
      <c r="C279" s="332"/>
      <c r="D279" s="332"/>
      <c r="E279" s="332"/>
      <c r="F279" s="332"/>
      <c r="G279" s="332"/>
      <c r="H279" s="332"/>
      <c r="I279" s="332"/>
      <c r="J279" s="332"/>
      <c r="K279" s="332"/>
      <c r="L279" s="332"/>
      <c r="M279" s="332"/>
      <c r="N279" s="332"/>
      <c r="O279" s="332"/>
      <c r="P279" s="332"/>
      <c r="Q279" s="332"/>
      <c r="R279" s="156"/>
      <c r="S279" s="332"/>
      <c r="T279" s="332"/>
      <c r="U279" s="332"/>
      <c r="V279" s="332"/>
      <c r="W279" s="332"/>
      <c r="X279" s="332"/>
      <c r="Y279" s="156"/>
      <c r="Z279" s="332"/>
      <c r="AA279" s="332"/>
      <c r="AB279" s="156"/>
      <c r="AC279" s="156"/>
      <c r="AD279" s="332"/>
      <c r="AE279" s="156"/>
      <c r="AF279" s="156"/>
      <c r="AG279" s="332"/>
      <c r="AH279" s="332"/>
      <c r="AI279" s="332"/>
      <c r="AJ279" s="332"/>
      <c r="AK279" s="332"/>
      <c r="AL279" s="332"/>
      <c r="AM279" s="332"/>
      <c r="AN279" s="332"/>
      <c r="AO279" s="332"/>
    </row>
    <row r="280" spans="1:41">
      <c r="A280" s="332"/>
      <c r="B280" s="332"/>
      <c r="C280" s="156"/>
      <c r="D280" s="332"/>
      <c r="E280" s="332"/>
      <c r="F280" s="332"/>
      <c r="G280" s="156"/>
      <c r="H280" s="332"/>
      <c r="I280" s="332"/>
      <c r="J280" s="332"/>
      <c r="K280" s="332"/>
      <c r="L280" s="332"/>
      <c r="M280" s="332"/>
      <c r="N280" s="156"/>
      <c r="O280" s="332"/>
      <c r="P280" s="332"/>
      <c r="Q280" s="332"/>
      <c r="R280" s="156"/>
      <c r="S280" s="332"/>
      <c r="T280" s="332"/>
      <c r="U280" s="332"/>
      <c r="V280" s="332"/>
      <c r="W280" s="332"/>
      <c r="X280" s="332"/>
      <c r="Y280" s="156"/>
      <c r="Z280" s="332"/>
      <c r="AA280" s="332"/>
      <c r="AB280" s="156"/>
      <c r="AC280" s="156"/>
      <c r="AD280" s="332"/>
      <c r="AE280" s="332"/>
      <c r="AF280" s="156"/>
      <c r="AG280" s="332"/>
      <c r="AH280" s="332"/>
      <c r="AI280" s="332"/>
      <c r="AJ280" s="332"/>
      <c r="AK280" s="332"/>
      <c r="AL280" s="332"/>
      <c r="AM280" s="332"/>
      <c r="AN280" s="332"/>
      <c r="AO280" s="332"/>
    </row>
    <row r="281" spans="1:41">
      <c r="A281" s="332"/>
      <c r="B281" s="332"/>
      <c r="C281" s="156"/>
      <c r="D281" s="332"/>
      <c r="E281" s="332"/>
      <c r="F281" s="332"/>
      <c r="G281" s="156"/>
      <c r="H281" s="332"/>
      <c r="I281" s="332"/>
      <c r="J281" s="332"/>
      <c r="K281" s="332"/>
      <c r="L281" s="332"/>
      <c r="M281" s="332"/>
      <c r="N281" s="156"/>
      <c r="O281" s="332"/>
      <c r="P281" s="332"/>
      <c r="Q281" s="332"/>
      <c r="R281" s="332"/>
      <c r="S281" s="332"/>
      <c r="T281" s="332"/>
      <c r="U281" s="332"/>
      <c r="V281" s="156"/>
      <c r="W281" s="332"/>
      <c r="X281" s="332"/>
      <c r="Y281" s="156"/>
      <c r="Z281" s="332"/>
      <c r="AA281" s="332"/>
      <c r="AB281" s="156"/>
      <c r="AC281" s="156"/>
      <c r="AD281" s="332"/>
      <c r="AE281" s="156"/>
      <c r="AF281" s="156"/>
      <c r="AG281" s="332"/>
      <c r="AH281" s="332"/>
      <c r="AI281" s="332"/>
      <c r="AJ281" s="332"/>
      <c r="AK281" s="332"/>
      <c r="AL281" s="332"/>
      <c r="AM281" s="332"/>
      <c r="AN281" s="332"/>
      <c r="AO281" s="332"/>
    </row>
    <row r="282" spans="1:41">
      <c r="A282" s="332"/>
      <c r="B282" s="332"/>
      <c r="C282" s="332"/>
      <c r="D282" s="332"/>
      <c r="E282" s="332"/>
      <c r="F282" s="332"/>
      <c r="G282" s="156"/>
      <c r="H282" s="332"/>
      <c r="I282" s="332"/>
      <c r="J282" s="332"/>
      <c r="K282" s="332"/>
      <c r="L282" s="332"/>
      <c r="M282" s="332"/>
      <c r="N282" s="156"/>
      <c r="O282" s="332"/>
      <c r="P282" s="332"/>
      <c r="Q282" s="332"/>
      <c r="R282" s="332"/>
      <c r="S282" s="332"/>
      <c r="T282" s="332"/>
      <c r="U282" s="332"/>
      <c r="V282" s="332"/>
      <c r="W282" s="332"/>
      <c r="X282" s="332"/>
      <c r="Y282" s="156"/>
      <c r="Z282" s="332"/>
      <c r="AA282" s="332"/>
      <c r="AB282" s="156"/>
      <c r="AC282" s="332"/>
      <c r="AD282" s="332"/>
      <c r="AE282" s="156"/>
      <c r="AF282" s="156"/>
      <c r="AG282" s="332"/>
      <c r="AH282" s="332"/>
      <c r="AI282" s="332"/>
      <c r="AJ282" s="332"/>
      <c r="AK282" s="332"/>
      <c r="AL282" s="332"/>
      <c r="AM282" s="332"/>
      <c r="AN282" s="332"/>
      <c r="AO282" s="332"/>
    </row>
    <row r="283" spans="1:41">
      <c r="A283" s="332"/>
      <c r="B283" s="332"/>
      <c r="C283" s="332"/>
      <c r="D283" s="332"/>
      <c r="E283" s="332"/>
      <c r="F283" s="332"/>
      <c r="G283" s="332"/>
      <c r="H283" s="332"/>
      <c r="I283" s="332"/>
      <c r="J283" s="332"/>
      <c r="K283" s="332"/>
      <c r="L283" s="332"/>
      <c r="M283" s="332"/>
      <c r="N283" s="156"/>
      <c r="O283" s="332"/>
      <c r="P283" s="332"/>
      <c r="Q283" s="332"/>
      <c r="R283" s="332"/>
      <c r="S283" s="332"/>
      <c r="T283" s="332"/>
      <c r="U283" s="332"/>
      <c r="V283" s="332"/>
      <c r="W283" s="332"/>
      <c r="X283" s="332"/>
      <c r="Y283" s="156"/>
      <c r="Z283" s="332"/>
      <c r="AA283" s="332"/>
      <c r="AB283" s="156"/>
      <c r="AC283" s="156"/>
      <c r="AD283" s="332"/>
      <c r="AE283" s="332"/>
      <c r="AF283" s="156"/>
      <c r="AG283" s="332"/>
      <c r="AH283" s="332"/>
      <c r="AI283" s="332"/>
      <c r="AJ283" s="332"/>
      <c r="AK283" s="332"/>
      <c r="AL283" s="332"/>
      <c r="AM283" s="332"/>
      <c r="AN283" s="332"/>
      <c r="AO283" s="332"/>
    </row>
    <row r="284" spans="1:41">
      <c r="A284" s="332"/>
      <c r="B284" s="332"/>
      <c r="C284" s="332"/>
      <c r="D284" s="332"/>
      <c r="E284" s="332"/>
      <c r="F284" s="332"/>
      <c r="G284" s="332"/>
      <c r="H284" s="332"/>
      <c r="I284" s="332"/>
      <c r="J284" s="332"/>
      <c r="K284" s="332"/>
      <c r="L284" s="332"/>
      <c r="M284" s="332"/>
      <c r="N284" s="156"/>
      <c r="O284" s="332"/>
      <c r="P284" s="332"/>
      <c r="Q284" s="332"/>
      <c r="R284" s="332"/>
      <c r="S284" s="332"/>
      <c r="T284" s="332"/>
      <c r="U284" s="332"/>
      <c r="V284" s="332"/>
      <c r="W284" s="332"/>
      <c r="X284" s="332"/>
      <c r="Y284" s="156"/>
      <c r="Z284" s="332"/>
      <c r="AA284" s="332"/>
      <c r="AB284" s="156"/>
      <c r="AC284" s="332"/>
      <c r="AD284" s="332"/>
      <c r="AE284" s="156"/>
      <c r="AF284" s="156"/>
      <c r="AG284" s="332"/>
      <c r="AH284" s="332"/>
      <c r="AI284" s="332"/>
      <c r="AJ284" s="332"/>
      <c r="AK284" s="332"/>
      <c r="AL284" s="332"/>
      <c r="AM284" s="332"/>
      <c r="AN284" s="332"/>
      <c r="AO284" s="332"/>
    </row>
    <row r="285" spans="1:41">
      <c r="A285" s="332"/>
      <c r="B285" s="332"/>
      <c r="C285" s="332"/>
      <c r="D285" s="332"/>
      <c r="E285" s="332"/>
      <c r="F285" s="332"/>
      <c r="G285" s="332"/>
      <c r="H285" s="332"/>
      <c r="I285" s="332"/>
      <c r="J285" s="332"/>
      <c r="K285" s="332"/>
      <c r="L285" s="332"/>
      <c r="M285" s="332"/>
      <c r="N285" s="332"/>
      <c r="O285" s="332"/>
      <c r="P285" s="332"/>
      <c r="Q285" s="332"/>
      <c r="R285" s="332"/>
      <c r="S285" s="332"/>
      <c r="T285" s="332"/>
      <c r="U285" s="332"/>
      <c r="V285" s="156"/>
      <c r="W285" s="332"/>
      <c r="X285" s="332"/>
      <c r="Y285" s="156"/>
      <c r="Z285" s="332"/>
      <c r="AA285" s="332"/>
      <c r="AB285" s="156"/>
      <c r="AC285" s="156"/>
      <c r="AD285" s="332"/>
      <c r="AE285" s="156"/>
      <c r="AF285" s="156"/>
      <c r="AG285" s="332"/>
      <c r="AH285" s="332"/>
      <c r="AI285" s="332"/>
      <c r="AJ285" s="332"/>
      <c r="AK285" s="332"/>
      <c r="AL285" s="332"/>
      <c r="AM285" s="332"/>
      <c r="AN285" s="332"/>
      <c r="AO285" s="332"/>
    </row>
    <row r="286" spans="1:41">
      <c r="A286" s="332"/>
      <c r="B286" s="332"/>
      <c r="C286" s="332"/>
      <c r="D286" s="332"/>
      <c r="E286" s="332"/>
      <c r="F286" s="332"/>
      <c r="G286" s="332"/>
      <c r="H286" s="332"/>
      <c r="I286" s="332"/>
      <c r="J286" s="332"/>
      <c r="K286" s="332"/>
      <c r="L286" s="332"/>
      <c r="M286" s="332"/>
      <c r="N286" s="156"/>
      <c r="O286" s="332"/>
      <c r="P286" s="332"/>
      <c r="Q286" s="332"/>
      <c r="R286" s="332"/>
      <c r="S286" s="332"/>
      <c r="T286" s="332"/>
      <c r="U286" s="332"/>
      <c r="V286" s="156"/>
      <c r="W286" s="332"/>
      <c r="X286" s="332"/>
      <c r="Y286" s="156"/>
      <c r="Z286" s="332"/>
      <c r="AA286" s="332"/>
      <c r="AB286" s="332"/>
      <c r="AC286" s="332"/>
      <c r="AD286" s="332"/>
      <c r="AE286" s="156"/>
      <c r="AF286" s="156"/>
      <c r="AG286" s="332"/>
      <c r="AH286" s="332"/>
      <c r="AI286" s="332"/>
      <c r="AJ286" s="332"/>
      <c r="AK286" s="332"/>
      <c r="AL286" s="332"/>
      <c r="AM286" s="332"/>
      <c r="AN286" s="332"/>
      <c r="AO286" s="332"/>
    </row>
    <row r="287" spans="1:41">
      <c r="A287" s="332"/>
      <c r="B287" s="332"/>
      <c r="C287" s="156"/>
      <c r="D287" s="332"/>
      <c r="E287" s="332"/>
      <c r="F287" s="332"/>
      <c r="G287" s="156"/>
      <c r="H287" s="332"/>
      <c r="I287" s="332"/>
      <c r="J287" s="332"/>
      <c r="K287" s="332"/>
      <c r="L287" s="332"/>
      <c r="M287" s="332"/>
      <c r="N287" s="156"/>
      <c r="O287" s="332"/>
      <c r="P287" s="332"/>
      <c r="Q287" s="332"/>
      <c r="R287" s="156"/>
      <c r="S287" s="332"/>
      <c r="T287" s="156"/>
      <c r="U287" s="332"/>
      <c r="V287" s="156"/>
      <c r="W287" s="332"/>
      <c r="X287" s="332"/>
      <c r="Y287" s="156"/>
      <c r="Z287" s="332"/>
      <c r="AA287" s="332"/>
      <c r="AB287" s="156"/>
      <c r="AC287" s="156"/>
      <c r="AD287" s="332"/>
      <c r="AE287" s="156"/>
      <c r="AF287" s="156"/>
      <c r="AG287" s="332"/>
      <c r="AH287" s="332"/>
      <c r="AI287" s="332"/>
      <c r="AJ287" s="332"/>
      <c r="AK287" s="332"/>
      <c r="AL287" s="332"/>
      <c r="AM287" s="332"/>
      <c r="AN287" s="332"/>
      <c r="AO287" s="332"/>
    </row>
    <row r="288" spans="1:41">
      <c r="A288" s="332"/>
      <c r="B288" s="332"/>
      <c r="C288" s="156"/>
      <c r="D288" s="332"/>
      <c r="E288" s="332"/>
      <c r="F288" s="332"/>
      <c r="G288" s="156"/>
      <c r="H288" s="332"/>
      <c r="I288" s="332"/>
      <c r="J288" s="332"/>
      <c r="K288" s="332"/>
      <c r="L288" s="332"/>
      <c r="M288" s="332"/>
      <c r="N288" s="156"/>
      <c r="O288" s="332"/>
      <c r="P288" s="332"/>
      <c r="Q288" s="332"/>
      <c r="R288" s="156"/>
      <c r="S288" s="332"/>
      <c r="T288" s="156"/>
      <c r="U288" s="332"/>
      <c r="V288" s="156"/>
      <c r="W288" s="332"/>
      <c r="X288" s="332"/>
      <c r="Y288" s="156"/>
      <c r="Z288" s="332"/>
      <c r="AA288" s="332"/>
      <c r="AB288" s="156"/>
      <c r="AC288" s="156"/>
      <c r="AD288" s="332"/>
      <c r="AE288" s="156"/>
      <c r="AF288" s="156"/>
      <c r="AG288" s="332"/>
      <c r="AH288" s="332"/>
      <c r="AI288" s="332"/>
      <c r="AJ288" s="332"/>
      <c r="AK288" s="332"/>
      <c r="AL288" s="332"/>
      <c r="AM288" s="332"/>
      <c r="AN288" s="332"/>
      <c r="AO288" s="332"/>
    </row>
    <row r="289" spans="1:41">
      <c r="A289" s="332"/>
      <c r="B289" s="332"/>
      <c r="C289" s="332"/>
      <c r="D289" s="332"/>
      <c r="E289" s="332"/>
      <c r="F289" s="332"/>
      <c r="G289" s="156"/>
      <c r="H289" s="332"/>
      <c r="I289" s="332"/>
      <c r="J289" s="332"/>
      <c r="K289" s="332"/>
      <c r="L289" s="332"/>
      <c r="M289" s="332"/>
      <c r="N289" s="156"/>
      <c r="O289" s="332"/>
      <c r="P289" s="332"/>
      <c r="Q289" s="332"/>
      <c r="R289" s="332"/>
      <c r="S289" s="332"/>
      <c r="T289" s="332"/>
      <c r="U289" s="332"/>
      <c r="V289" s="156"/>
      <c r="W289" s="332"/>
      <c r="X289" s="332"/>
      <c r="Y289" s="156"/>
      <c r="Z289" s="332"/>
      <c r="AA289" s="332"/>
      <c r="AB289" s="156"/>
      <c r="AC289" s="332"/>
      <c r="AD289" s="332"/>
      <c r="AE289" s="156"/>
      <c r="AF289" s="156"/>
      <c r="AG289" s="332"/>
      <c r="AH289" s="332"/>
      <c r="AI289" s="332"/>
      <c r="AJ289" s="332"/>
      <c r="AK289" s="332"/>
      <c r="AL289" s="332"/>
      <c r="AM289" s="332"/>
      <c r="AN289" s="332"/>
      <c r="AO289" s="332"/>
    </row>
    <row r="290" spans="1:41">
      <c r="A290" s="332"/>
      <c r="B290" s="332"/>
      <c r="C290" s="156"/>
      <c r="D290" s="332"/>
      <c r="E290" s="332"/>
      <c r="F290" s="332"/>
      <c r="G290" s="332"/>
      <c r="H290" s="332"/>
      <c r="I290" s="332"/>
      <c r="J290" s="332"/>
      <c r="K290" s="332"/>
      <c r="L290" s="332"/>
      <c r="M290" s="332"/>
      <c r="N290" s="156"/>
      <c r="O290" s="332"/>
      <c r="P290" s="332"/>
      <c r="Q290" s="332"/>
      <c r="R290" s="332"/>
      <c r="S290" s="332"/>
      <c r="T290" s="332"/>
      <c r="U290" s="332"/>
      <c r="V290" s="156"/>
      <c r="W290" s="332"/>
      <c r="X290" s="332"/>
      <c r="Y290" s="156"/>
      <c r="Z290" s="332"/>
      <c r="AA290" s="332"/>
      <c r="AB290" s="156"/>
      <c r="AC290" s="156"/>
      <c r="AD290" s="332"/>
      <c r="AE290" s="156"/>
      <c r="AF290" s="156"/>
      <c r="AG290" s="332"/>
      <c r="AH290" s="332"/>
      <c r="AI290" s="332"/>
      <c r="AJ290" s="332"/>
      <c r="AK290" s="332"/>
      <c r="AL290" s="332"/>
      <c r="AM290" s="332"/>
      <c r="AN290" s="332"/>
      <c r="AO290" s="332"/>
    </row>
    <row r="291" spans="1:41">
      <c r="A291" s="332"/>
      <c r="B291" s="332"/>
      <c r="C291" s="156"/>
      <c r="D291" s="332"/>
      <c r="E291" s="332"/>
      <c r="F291" s="332"/>
      <c r="G291" s="332"/>
      <c r="H291" s="332"/>
      <c r="I291" s="332"/>
      <c r="J291" s="332"/>
      <c r="K291" s="332"/>
      <c r="L291" s="332"/>
      <c r="M291" s="332"/>
      <c r="N291" s="156"/>
      <c r="O291" s="332"/>
      <c r="P291" s="332"/>
      <c r="Q291" s="332"/>
      <c r="R291" s="156"/>
      <c r="S291" s="332"/>
      <c r="T291" s="156"/>
      <c r="U291" s="332"/>
      <c r="V291" s="156"/>
      <c r="W291" s="332"/>
      <c r="X291" s="332"/>
      <c r="Y291" s="156"/>
      <c r="Z291" s="332"/>
      <c r="AA291" s="332"/>
      <c r="AB291" s="156"/>
      <c r="AC291" s="156"/>
      <c r="AD291" s="332"/>
      <c r="AE291" s="156"/>
      <c r="AF291" s="156"/>
      <c r="AG291" s="332"/>
      <c r="AH291" s="332"/>
      <c r="AI291" s="332"/>
      <c r="AJ291" s="332"/>
      <c r="AK291" s="332"/>
      <c r="AL291" s="332"/>
      <c r="AM291" s="332"/>
      <c r="AN291" s="332"/>
      <c r="AO291" s="332"/>
    </row>
    <row r="292" spans="1:41">
      <c r="A292" s="332"/>
      <c r="B292" s="332"/>
      <c r="C292" s="156"/>
      <c r="D292" s="332"/>
      <c r="E292" s="332"/>
      <c r="F292" s="332"/>
      <c r="G292" s="156"/>
      <c r="H292" s="332"/>
      <c r="I292" s="332"/>
      <c r="J292" s="332"/>
      <c r="K292" s="332"/>
      <c r="L292" s="332"/>
      <c r="M292" s="332"/>
      <c r="N292" s="156"/>
      <c r="O292" s="332"/>
      <c r="P292" s="332"/>
      <c r="Q292" s="332"/>
      <c r="R292" s="332"/>
      <c r="S292" s="332"/>
      <c r="T292" s="332"/>
      <c r="U292" s="332"/>
      <c r="V292" s="332"/>
      <c r="W292" s="332"/>
      <c r="X292" s="332"/>
      <c r="Y292" s="156"/>
      <c r="Z292" s="332"/>
      <c r="AA292" s="332"/>
      <c r="AB292" s="156"/>
      <c r="AC292" s="156"/>
      <c r="AD292" s="332"/>
      <c r="AE292" s="156"/>
      <c r="AF292" s="156"/>
      <c r="AG292" s="332"/>
      <c r="AH292" s="332"/>
      <c r="AI292" s="332"/>
      <c r="AJ292" s="332"/>
      <c r="AK292" s="332"/>
      <c r="AL292" s="332"/>
      <c r="AM292" s="332"/>
      <c r="AN292" s="332"/>
      <c r="AO292" s="332"/>
    </row>
    <row r="293" spans="1:41">
      <c r="A293" s="332"/>
      <c r="B293" s="332"/>
      <c r="C293" s="332"/>
      <c r="D293" s="332"/>
      <c r="E293" s="332"/>
      <c r="F293" s="332"/>
      <c r="G293" s="156"/>
      <c r="H293" s="332"/>
      <c r="I293" s="332"/>
      <c r="J293" s="332"/>
      <c r="K293" s="332"/>
      <c r="L293" s="332"/>
      <c r="M293" s="332"/>
      <c r="N293" s="156"/>
      <c r="O293" s="332"/>
      <c r="P293" s="332"/>
      <c r="Q293" s="332"/>
      <c r="R293" s="332"/>
      <c r="S293" s="332"/>
      <c r="T293" s="332"/>
      <c r="U293" s="332"/>
      <c r="V293" s="156"/>
      <c r="W293" s="332"/>
      <c r="X293" s="332"/>
      <c r="Y293" s="156"/>
      <c r="Z293" s="332"/>
      <c r="AA293" s="332"/>
      <c r="AB293" s="332"/>
      <c r="AC293" s="332"/>
      <c r="AD293" s="332"/>
      <c r="AE293" s="156"/>
      <c r="AF293" s="156"/>
      <c r="AG293" s="332"/>
      <c r="AH293" s="332"/>
      <c r="AI293" s="332"/>
      <c r="AJ293" s="332"/>
      <c r="AK293" s="332"/>
      <c r="AL293" s="332"/>
      <c r="AM293" s="332"/>
      <c r="AN293" s="332"/>
      <c r="AO293" s="332"/>
    </row>
    <row r="294" spans="1:41">
      <c r="A294" s="332"/>
      <c r="B294" s="332"/>
      <c r="C294" s="156"/>
      <c r="D294" s="332"/>
      <c r="E294" s="332"/>
      <c r="F294" s="332"/>
      <c r="G294" s="156"/>
      <c r="H294" s="332"/>
      <c r="I294" s="332"/>
      <c r="J294" s="332"/>
      <c r="K294" s="332"/>
      <c r="L294" s="332"/>
      <c r="M294" s="332"/>
      <c r="N294" s="156"/>
      <c r="O294" s="332"/>
      <c r="P294" s="332"/>
      <c r="Q294" s="332"/>
      <c r="R294" s="156"/>
      <c r="S294" s="332"/>
      <c r="T294" s="156"/>
      <c r="U294" s="332"/>
      <c r="V294" s="156"/>
      <c r="W294" s="332"/>
      <c r="X294" s="332"/>
      <c r="Y294" s="156"/>
      <c r="Z294" s="332"/>
      <c r="AA294" s="332"/>
      <c r="AB294" s="156"/>
      <c r="AC294" s="156"/>
      <c r="AD294" s="332"/>
      <c r="AE294" s="156"/>
      <c r="AF294" s="156"/>
      <c r="AG294" s="332"/>
      <c r="AH294" s="332"/>
      <c r="AI294" s="332"/>
      <c r="AJ294" s="332"/>
      <c r="AK294" s="332"/>
      <c r="AL294" s="332"/>
      <c r="AM294" s="332"/>
      <c r="AN294" s="332"/>
      <c r="AO294" s="332"/>
    </row>
    <row r="295" spans="1:41">
      <c r="A295" s="332"/>
      <c r="B295" s="332"/>
      <c r="C295" s="332"/>
      <c r="D295" s="332"/>
      <c r="E295" s="332"/>
      <c r="F295" s="332"/>
      <c r="G295" s="332"/>
      <c r="H295" s="332"/>
      <c r="I295" s="332"/>
      <c r="J295" s="332"/>
      <c r="K295" s="332"/>
      <c r="L295" s="332"/>
      <c r="M295" s="332"/>
      <c r="N295" s="156"/>
      <c r="O295" s="332"/>
      <c r="P295" s="332"/>
      <c r="Q295" s="332"/>
      <c r="R295" s="156"/>
      <c r="S295" s="332"/>
      <c r="T295" s="332"/>
      <c r="U295" s="332"/>
      <c r="V295" s="332"/>
      <c r="W295" s="332"/>
      <c r="X295" s="332"/>
      <c r="Y295" s="156"/>
      <c r="Z295" s="332"/>
      <c r="AA295" s="332"/>
      <c r="AB295" s="156"/>
      <c r="AC295" s="156"/>
      <c r="AD295" s="332"/>
      <c r="AE295" s="156"/>
      <c r="AF295" s="156"/>
      <c r="AG295" s="332"/>
      <c r="AH295" s="332"/>
      <c r="AI295" s="332"/>
      <c r="AJ295" s="332"/>
      <c r="AK295" s="332"/>
      <c r="AL295" s="332"/>
      <c r="AM295" s="332"/>
      <c r="AN295" s="332"/>
      <c r="AO295" s="332"/>
    </row>
    <row r="296" spans="1:41">
      <c r="A296" s="332"/>
      <c r="B296" s="332"/>
      <c r="C296" s="332"/>
      <c r="D296" s="332"/>
      <c r="E296" s="332"/>
      <c r="F296" s="332"/>
      <c r="G296" s="332"/>
      <c r="H296" s="332"/>
      <c r="I296" s="332"/>
      <c r="J296" s="332"/>
      <c r="K296" s="332"/>
      <c r="L296" s="332"/>
      <c r="M296" s="332"/>
      <c r="N296" s="156"/>
      <c r="O296" s="332"/>
      <c r="P296" s="332"/>
      <c r="Q296" s="332"/>
      <c r="R296" s="332"/>
      <c r="S296" s="332"/>
      <c r="T296" s="332"/>
      <c r="U296" s="332"/>
      <c r="V296" s="156"/>
      <c r="W296" s="332"/>
      <c r="X296" s="332"/>
      <c r="Y296" s="156"/>
      <c r="Z296" s="332"/>
      <c r="AA296" s="332"/>
      <c r="AB296" s="156"/>
      <c r="AC296" s="156"/>
      <c r="AD296" s="332"/>
      <c r="AE296" s="156"/>
      <c r="AF296" s="156"/>
      <c r="AG296" s="332"/>
      <c r="AH296" s="332"/>
      <c r="AI296" s="332"/>
      <c r="AJ296" s="332"/>
      <c r="AK296" s="332"/>
      <c r="AL296" s="332"/>
      <c r="AM296" s="332"/>
      <c r="AN296" s="332"/>
      <c r="AO296" s="332"/>
    </row>
    <row r="297" spans="1:41">
      <c r="A297" s="332"/>
      <c r="B297" s="332"/>
      <c r="C297" s="332"/>
      <c r="D297" s="332"/>
      <c r="E297" s="332"/>
      <c r="F297" s="332"/>
      <c r="G297" s="332"/>
      <c r="H297" s="332"/>
      <c r="I297" s="332"/>
      <c r="J297" s="332"/>
      <c r="K297" s="332"/>
      <c r="L297" s="332"/>
      <c r="M297" s="332"/>
      <c r="N297" s="156"/>
      <c r="O297" s="332"/>
      <c r="P297" s="332"/>
      <c r="Q297" s="332"/>
      <c r="R297" s="332"/>
      <c r="S297" s="332"/>
      <c r="T297" s="332"/>
      <c r="U297" s="332"/>
      <c r="V297" s="156"/>
      <c r="W297" s="332"/>
      <c r="X297" s="332"/>
      <c r="Y297" s="156"/>
      <c r="Z297" s="332"/>
      <c r="AA297" s="332"/>
      <c r="AB297" s="156"/>
      <c r="AC297" s="156"/>
      <c r="AD297" s="332"/>
      <c r="AE297" s="156"/>
      <c r="AF297" s="156"/>
      <c r="AG297" s="332"/>
      <c r="AH297" s="332"/>
      <c r="AI297" s="332"/>
      <c r="AJ297" s="332"/>
      <c r="AK297" s="332"/>
      <c r="AL297" s="332"/>
      <c r="AM297" s="332"/>
      <c r="AN297" s="332"/>
      <c r="AO297" s="332"/>
    </row>
    <row r="298" spans="1:41">
      <c r="A298" s="332"/>
      <c r="B298" s="332"/>
      <c r="C298" s="156"/>
      <c r="D298" s="332"/>
      <c r="E298" s="332"/>
      <c r="F298" s="332"/>
      <c r="G298" s="332"/>
      <c r="H298" s="332"/>
      <c r="I298" s="332"/>
      <c r="J298" s="332"/>
      <c r="K298" s="332"/>
      <c r="L298" s="332"/>
      <c r="M298" s="332"/>
      <c r="N298" s="332"/>
      <c r="O298" s="332"/>
      <c r="P298" s="332"/>
      <c r="Q298" s="332"/>
      <c r="R298" s="332"/>
      <c r="S298" s="332"/>
      <c r="T298" s="332"/>
      <c r="U298" s="332"/>
      <c r="V298" s="156"/>
      <c r="W298" s="332"/>
      <c r="X298" s="332"/>
      <c r="Y298" s="156"/>
      <c r="Z298" s="332"/>
      <c r="AA298" s="332"/>
      <c r="AB298" s="156"/>
      <c r="AC298" s="156"/>
      <c r="AD298" s="332"/>
      <c r="AE298" s="156"/>
      <c r="AF298" s="156"/>
      <c r="AG298" s="332"/>
      <c r="AH298" s="332"/>
      <c r="AI298" s="332"/>
      <c r="AJ298" s="332"/>
      <c r="AK298" s="332"/>
      <c r="AL298" s="332"/>
      <c r="AM298" s="332"/>
      <c r="AN298" s="332"/>
      <c r="AO298" s="332"/>
    </row>
    <row r="299" spans="1:41">
      <c r="A299" s="332"/>
      <c r="B299" s="332"/>
      <c r="C299" s="332"/>
      <c r="D299" s="332"/>
      <c r="E299" s="332"/>
      <c r="F299" s="332"/>
      <c r="G299" s="332"/>
      <c r="H299" s="332"/>
      <c r="I299" s="332"/>
      <c r="J299" s="332"/>
      <c r="K299" s="332"/>
      <c r="L299" s="332"/>
      <c r="M299" s="332"/>
      <c r="N299" s="156"/>
      <c r="O299" s="332"/>
      <c r="P299" s="332"/>
      <c r="Q299" s="332"/>
      <c r="R299" s="332"/>
      <c r="S299" s="332"/>
      <c r="T299" s="332"/>
      <c r="U299" s="332"/>
      <c r="V299" s="156"/>
      <c r="W299" s="332"/>
      <c r="X299" s="332"/>
      <c r="Y299" s="332"/>
      <c r="Z299" s="332"/>
      <c r="AA299" s="332"/>
      <c r="AB299" s="156"/>
      <c r="AC299" s="332"/>
      <c r="AD299" s="332"/>
      <c r="AE299" s="332"/>
      <c r="AF299" s="156"/>
      <c r="AG299" s="332"/>
      <c r="AH299" s="332"/>
      <c r="AI299" s="332"/>
      <c r="AJ299" s="332"/>
      <c r="AK299" s="332"/>
      <c r="AL299" s="332"/>
      <c r="AM299" s="332"/>
      <c r="AN299" s="332"/>
      <c r="AO299" s="332"/>
    </row>
    <row r="300" spans="1:41">
      <c r="A300" s="332"/>
      <c r="B300" s="332"/>
      <c r="C300" s="156"/>
      <c r="D300" s="332"/>
      <c r="E300" s="332"/>
      <c r="F300" s="332"/>
      <c r="G300" s="156"/>
      <c r="H300" s="332"/>
      <c r="I300" s="332"/>
      <c r="J300" s="332"/>
      <c r="K300" s="332"/>
      <c r="L300" s="332"/>
      <c r="M300" s="332"/>
      <c r="N300" s="156"/>
      <c r="O300" s="332"/>
      <c r="P300" s="332"/>
      <c r="Q300" s="332"/>
      <c r="R300" s="156"/>
      <c r="S300" s="332"/>
      <c r="T300" s="332"/>
      <c r="U300" s="332"/>
      <c r="V300" s="156"/>
      <c r="W300" s="332"/>
      <c r="X300" s="332"/>
      <c r="Y300" s="332"/>
      <c r="Z300" s="332"/>
      <c r="AA300" s="332"/>
      <c r="AB300" s="156"/>
      <c r="AC300" s="156"/>
      <c r="AD300" s="332"/>
      <c r="AE300" s="332"/>
      <c r="AF300" s="156"/>
      <c r="AG300" s="332"/>
      <c r="AH300" s="332"/>
      <c r="AI300" s="332"/>
      <c r="AJ300" s="332"/>
      <c r="AK300" s="332"/>
      <c r="AL300" s="332"/>
      <c r="AM300" s="332"/>
      <c r="AN300" s="332"/>
      <c r="AO300" s="332"/>
    </row>
    <row r="301" spans="1:41">
      <c r="A301" s="332"/>
      <c r="B301" s="332"/>
      <c r="C301" s="332"/>
      <c r="D301" s="332"/>
      <c r="E301" s="332"/>
      <c r="F301" s="332"/>
      <c r="G301" s="332"/>
      <c r="H301" s="332"/>
      <c r="I301" s="332"/>
      <c r="J301" s="332"/>
      <c r="K301" s="332"/>
      <c r="L301" s="332"/>
      <c r="M301" s="332"/>
      <c r="N301" s="156"/>
      <c r="O301" s="332"/>
      <c r="P301" s="332"/>
      <c r="Q301" s="332"/>
      <c r="R301" s="332"/>
      <c r="S301" s="332"/>
      <c r="T301" s="332"/>
      <c r="U301" s="332"/>
      <c r="V301" s="156"/>
      <c r="W301" s="332"/>
      <c r="X301" s="332"/>
      <c r="Y301" s="156"/>
      <c r="Z301" s="332"/>
      <c r="AA301" s="332"/>
      <c r="AB301" s="156"/>
      <c r="AC301" s="156"/>
      <c r="AD301" s="332"/>
      <c r="AE301" s="156"/>
      <c r="AF301" s="156"/>
      <c r="AG301" s="332"/>
      <c r="AH301" s="332"/>
      <c r="AI301" s="332"/>
      <c r="AJ301" s="332"/>
      <c r="AK301" s="332"/>
      <c r="AL301" s="332"/>
      <c r="AM301" s="332"/>
      <c r="AN301" s="332"/>
      <c r="AO301" s="332"/>
    </row>
    <row r="302" spans="1:41">
      <c r="A302" s="332"/>
      <c r="B302" s="332"/>
      <c r="C302" s="156"/>
      <c r="D302" s="332"/>
      <c r="E302" s="332"/>
      <c r="F302" s="332"/>
      <c r="G302" s="156"/>
      <c r="H302" s="332"/>
      <c r="I302" s="332"/>
      <c r="J302" s="332"/>
      <c r="K302" s="332"/>
      <c r="L302" s="332"/>
      <c r="M302" s="332"/>
      <c r="N302" s="156"/>
      <c r="O302" s="332"/>
      <c r="P302" s="332"/>
      <c r="Q302" s="332"/>
      <c r="R302" s="156"/>
      <c r="S302" s="332"/>
      <c r="T302" s="156"/>
      <c r="U302" s="332"/>
      <c r="V302" s="332"/>
      <c r="W302" s="332"/>
      <c r="X302" s="332"/>
      <c r="Y302" s="156"/>
      <c r="Z302" s="332"/>
      <c r="AA302" s="332"/>
      <c r="AB302" s="156"/>
      <c r="AC302" s="156"/>
      <c r="AD302" s="332"/>
      <c r="AE302" s="156"/>
      <c r="AF302" s="156"/>
      <c r="AG302" s="332"/>
      <c r="AH302" s="332"/>
      <c r="AI302" s="332"/>
      <c r="AJ302" s="332"/>
      <c r="AK302" s="332"/>
      <c r="AL302" s="332"/>
      <c r="AM302" s="332"/>
      <c r="AN302" s="332"/>
      <c r="AO302" s="332"/>
    </row>
    <row r="303" spans="1:41">
      <c r="A303" s="332"/>
      <c r="B303" s="332"/>
      <c r="C303" s="156"/>
      <c r="D303" s="332"/>
      <c r="E303" s="332"/>
      <c r="F303" s="332"/>
      <c r="G303" s="156"/>
      <c r="H303" s="332"/>
      <c r="I303" s="332"/>
      <c r="J303" s="332"/>
      <c r="K303" s="332"/>
      <c r="L303" s="332"/>
      <c r="M303" s="332"/>
      <c r="N303" s="156"/>
      <c r="O303" s="332"/>
      <c r="P303" s="332"/>
      <c r="Q303" s="332"/>
      <c r="R303" s="332"/>
      <c r="S303" s="332"/>
      <c r="T303" s="332"/>
      <c r="U303" s="332"/>
      <c r="V303" s="332"/>
      <c r="W303" s="332"/>
      <c r="X303" s="332"/>
      <c r="Y303" s="156"/>
      <c r="Z303" s="332"/>
      <c r="AA303" s="332"/>
      <c r="AB303" s="156"/>
      <c r="AC303" s="156"/>
      <c r="AD303" s="332"/>
      <c r="AE303" s="156"/>
      <c r="AF303" s="156"/>
      <c r="AG303" s="332"/>
      <c r="AH303" s="332"/>
      <c r="AI303" s="332"/>
      <c r="AJ303" s="332"/>
      <c r="AK303" s="332"/>
      <c r="AL303" s="332"/>
      <c r="AM303" s="332"/>
      <c r="AN303" s="332"/>
      <c r="AO303" s="332"/>
    </row>
    <row r="304" spans="1:41">
      <c r="A304" s="332"/>
      <c r="B304" s="332"/>
      <c r="C304" s="332"/>
      <c r="D304" s="332"/>
      <c r="E304" s="332"/>
      <c r="F304" s="332"/>
      <c r="G304" s="156"/>
      <c r="H304" s="332"/>
      <c r="I304" s="332"/>
      <c r="J304" s="332"/>
      <c r="K304" s="332"/>
      <c r="L304" s="332"/>
      <c r="M304" s="332"/>
      <c r="N304" s="156"/>
      <c r="O304" s="332"/>
      <c r="P304" s="332"/>
      <c r="Q304" s="332"/>
      <c r="R304" s="332"/>
      <c r="S304" s="332"/>
      <c r="T304" s="332"/>
      <c r="U304" s="332"/>
      <c r="V304" s="156"/>
      <c r="W304" s="332"/>
      <c r="X304" s="332"/>
      <c r="Y304" s="156"/>
      <c r="Z304" s="332"/>
      <c r="AA304" s="332"/>
      <c r="AB304" s="156"/>
      <c r="AC304" s="332"/>
      <c r="AD304" s="332"/>
      <c r="AE304" s="332"/>
      <c r="AF304" s="156"/>
      <c r="AG304" s="332"/>
      <c r="AH304" s="332"/>
      <c r="AI304" s="332"/>
      <c r="AJ304" s="332"/>
      <c r="AK304" s="332"/>
      <c r="AL304" s="332"/>
      <c r="AM304" s="332"/>
      <c r="AN304" s="332"/>
      <c r="AO304" s="332"/>
    </row>
    <row r="305" spans="1:41">
      <c r="A305" s="332"/>
      <c r="B305" s="332"/>
      <c r="C305" s="156"/>
      <c r="D305" s="332"/>
      <c r="E305" s="332"/>
      <c r="F305" s="332"/>
      <c r="G305" s="156"/>
      <c r="H305" s="332"/>
      <c r="I305" s="332"/>
      <c r="J305" s="332"/>
      <c r="K305" s="332"/>
      <c r="L305" s="332"/>
      <c r="M305" s="332"/>
      <c r="N305" s="156"/>
      <c r="O305" s="332"/>
      <c r="P305" s="332"/>
      <c r="Q305" s="332"/>
      <c r="R305" s="332"/>
      <c r="S305" s="332"/>
      <c r="T305" s="156"/>
      <c r="U305" s="332"/>
      <c r="V305" s="156"/>
      <c r="W305" s="332"/>
      <c r="X305" s="332"/>
      <c r="Y305" s="156"/>
      <c r="Z305" s="332"/>
      <c r="AA305" s="332"/>
      <c r="AB305" s="156"/>
      <c r="AC305" s="156"/>
      <c r="AD305" s="332"/>
      <c r="AE305" s="156"/>
      <c r="AF305" s="156"/>
      <c r="AG305" s="332"/>
      <c r="AH305" s="332"/>
      <c r="AI305" s="332"/>
      <c r="AJ305" s="332"/>
      <c r="AK305" s="332"/>
      <c r="AL305" s="332"/>
      <c r="AM305" s="332"/>
      <c r="AN305" s="332"/>
      <c r="AO305" s="332"/>
    </row>
    <row r="306" spans="1:41">
      <c r="A306" s="332"/>
      <c r="B306" s="332"/>
      <c r="C306" s="156"/>
      <c r="D306" s="332"/>
      <c r="E306" s="332"/>
      <c r="F306" s="332"/>
      <c r="G306" s="156"/>
      <c r="H306" s="332"/>
      <c r="I306" s="332"/>
      <c r="J306" s="332"/>
      <c r="K306" s="332"/>
      <c r="L306" s="332"/>
      <c r="M306" s="332"/>
      <c r="N306" s="156"/>
      <c r="O306" s="332"/>
      <c r="P306" s="332"/>
      <c r="Q306" s="332"/>
      <c r="R306" s="156"/>
      <c r="S306" s="332"/>
      <c r="T306" s="156"/>
      <c r="U306" s="332"/>
      <c r="V306" s="332"/>
      <c r="W306" s="332"/>
      <c r="X306" s="332"/>
      <c r="Y306" s="156"/>
      <c r="Z306" s="332"/>
      <c r="AA306" s="332"/>
      <c r="AB306" s="156"/>
      <c r="AC306" s="156"/>
      <c r="AD306" s="332"/>
      <c r="AE306" s="156"/>
      <c r="AF306" s="156"/>
      <c r="AG306" s="332"/>
      <c r="AH306" s="332"/>
      <c r="AI306" s="332"/>
      <c r="AJ306" s="332"/>
      <c r="AK306" s="332"/>
      <c r="AL306" s="332"/>
      <c r="AM306" s="332"/>
      <c r="AN306" s="332"/>
      <c r="AO306" s="332"/>
    </row>
    <row r="307" spans="1:41">
      <c r="A307" s="332"/>
      <c r="B307" s="332"/>
      <c r="C307" s="156"/>
      <c r="D307" s="332"/>
      <c r="E307" s="332"/>
      <c r="F307" s="332"/>
      <c r="G307" s="156"/>
      <c r="H307" s="332"/>
      <c r="I307" s="332"/>
      <c r="J307" s="332"/>
      <c r="K307" s="332"/>
      <c r="L307" s="332"/>
      <c r="M307" s="332"/>
      <c r="N307" s="156"/>
      <c r="O307" s="332"/>
      <c r="P307" s="332"/>
      <c r="Q307" s="332"/>
      <c r="R307" s="156"/>
      <c r="S307" s="332"/>
      <c r="T307" s="156"/>
      <c r="U307" s="332"/>
      <c r="V307" s="156"/>
      <c r="W307" s="332"/>
      <c r="X307" s="332"/>
      <c r="Y307" s="156"/>
      <c r="Z307" s="332"/>
      <c r="AA307" s="332"/>
      <c r="AB307" s="156"/>
      <c r="AC307" s="156"/>
      <c r="AD307" s="332"/>
      <c r="AE307" s="156"/>
      <c r="AF307" s="156"/>
      <c r="AG307" s="332"/>
      <c r="AH307" s="332"/>
      <c r="AI307" s="332"/>
      <c r="AJ307" s="332"/>
      <c r="AK307" s="332"/>
      <c r="AL307" s="332"/>
      <c r="AM307" s="332"/>
      <c r="AN307" s="332"/>
      <c r="AO307" s="332"/>
    </row>
    <row r="308" spans="1:41">
      <c r="A308" s="332"/>
      <c r="B308" s="332"/>
      <c r="C308" s="156"/>
      <c r="D308" s="332"/>
      <c r="E308" s="332"/>
      <c r="F308" s="332"/>
      <c r="G308" s="156"/>
      <c r="H308" s="332"/>
      <c r="I308" s="332"/>
      <c r="J308" s="332"/>
      <c r="K308" s="332"/>
      <c r="L308" s="332"/>
      <c r="M308" s="332"/>
      <c r="N308" s="156"/>
      <c r="O308" s="332"/>
      <c r="P308" s="332"/>
      <c r="Q308" s="332"/>
      <c r="R308" s="332"/>
      <c r="S308" s="332"/>
      <c r="T308" s="156"/>
      <c r="U308" s="332"/>
      <c r="V308" s="332"/>
      <c r="W308" s="332"/>
      <c r="X308" s="332"/>
      <c r="Y308" s="156"/>
      <c r="Z308" s="332"/>
      <c r="AA308" s="332"/>
      <c r="AB308" s="156"/>
      <c r="AC308" s="156"/>
      <c r="AD308" s="332"/>
      <c r="AE308" s="156"/>
      <c r="AF308" s="156"/>
      <c r="AG308" s="332"/>
      <c r="AH308" s="332"/>
      <c r="AI308" s="332"/>
      <c r="AJ308" s="332"/>
      <c r="AK308" s="332"/>
      <c r="AL308" s="332"/>
      <c r="AM308" s="332"/>
      <c r="AN308" s="332"/>
      <c r="AO308" s="332"/>
    </row>
    <row r="309" spans="1:41">
      <c r="A309" s="332"/>
      <c r="B309" s="332"/>
      <c r="C309" s="156"/>
      <c r="D309" s="332"/>
      <c r="E309" s="332"/>
      <c r="F309" s="332"/>
      <c r="G309" s="156"/>
      <c r="H309" s="332"/>
      <c r="I309" s="332"/>
      <c r="J309" s="332"/>
      <c r="K309" s="332"/>
      <c r="L309" s="332"/>
      <c r="M309" s="332"/>
      <c r="N309" s="156"/>
      <c r="O309" s="332"/>
      <c r="P309" s="332"/>
      <c r="Q309" s="332"/>
      <c r="R309" s="332"/>
      <c r="S309" s="332"/>
      <c r="T309" s="332"/>
      <c r="U309" s="332"/>
      <c r="V309" s="156"/>
      <c r="W309" s="332"/>
      <c r="X309" s="332"/>
      <c r="Y309" s="156"/>
      <c r="Z309" s="332"/>
      <c r="AA309" s="332"/>
      <c r="AB309" s="156"/>
      <c r="AC309" s="156"/>
      <c r="AD309" s="332"/>
      <c r="AE309" s="156"/>
      <c r="AF309" s="156"/>
      <c r="AG309" s="332"/>
      <c r="AH309" s="332"/>
      <c r="AI309" s="332"/>
      <c r="AJ309" s="332"/>
      <c r="AK309" s="332"/>
      <c r="AL309" s="332"/>
      <c r="AM309" s="332"/>
      <c r="AN309" s="332"/>
      <c r="AO309" s="332"/>
    </row>
    <row r="310" spans="1:41">
      <c r="A310" s="332"/>
      <c r="B310" s="332"/>
      <c r="C310" s="156"/>
      <c r="D310" s="332"/>
      <c r="E310" s="332"/>
      <c r="F310" s="332"/>
      <c r="G310" s="332"/>
      <c r="H310" s="332"/>
      <c r="I310" s="332"/>
      <c r="J310" s="332"/>
      <c r="K310" s="332"/>
      <c r="L310" s="332"/>
      <c r="M310" s="332"/>
      <c r="N310" s="332"/>
      <c r="O310" s="332"/>
      <c r="P310" s="332"/>
      <c r="Q310" s="332"/>
      <c r="R310" s="332"/>
      <c r="S310" s="332"/>
      <c r="T310" s="332"/>
      <c r="U310" s="332"/>
      <c r="V310" s="156"/>
      <c r="W310" s="332"/>
      <c r="X310" s="332"/>
      <c r="Y310" s="332"/>
      <c r="Z310" s="332"/>
      <c r="AA310" s="332"/>
      <c r="AB310" s="156"/>
      <c r="AC310" s="156"/>
      <c r="AD310" s="332"/>
      <c r="AE310" s="332"/>
      <c r="AF310" s="156"/>
      <c r="AG310" s="332"/>
      <c r="AH310" s="332"/>
      <c r="AI310" s="332"/>
      <c r="AJ310" s="332"/>
      <c r="AK310" s="332"/>
      <c r="AL310" s="332"/>
      <c r="AM310" s="332"/>
      <c r="AN310" s="332"/>
      <c r="AO310" s="332"/>
    </row>
    <row r="311" spans="1:41">
      <c r="A311" s="332"/>
      <c r="B311" s="332"/>
      <c r="C311" s="156"/>
      <c r="D311" s="332"/>
      <c r="E311" s="332"/>
      <c r="F311" s="332"/>
      <c r="G311" s="156"/>
      <c r="H311" s="332"/>
      <c r="I311" s="332"/>
      <c r="J311" s="332"/>
      <c r="K311" s="332"/>
      <c r="L311" s="332"/>
      <c r="M311" s="332"/>
      <c r="N311" s="156"/>
      <c r="O311" s="332"/>
      <c r="P311" s="332"/>
      <c r="Q311" s="332"/>
      <c r="R311" s="156"/>
      <c r="S311" s="332"/>
      <c r="T311" s="332"/>
      <c r="U311" s="332"/>
      <c r="V311" s="332"/>
      <c r="W311" s="332"/>
      <c r="X311" s="332"/>
      <c r="Y311" s="156"/>
      <c r="Z311" s="332"/>
      <c r="AA311" s="332"/>
      <c r="AB311" s="156"/>
      <c r="AC311" s="156"/>
      <c r="AD311" s="332"/>
      <c r="AE311" s="156"/>
      <c r="AF311" s="156"/>
      <c r="AG311" s="332"/>
      <c r="AH311" s="332"/>
      <c r="AI311" s="332"/>
      <c r="AJ311" s="332"/>
      <c r="AK311" s="332"/>
      <c r="AL311" s="332"/>
      <c r="AM311" s="332"/>
      <c r="AN311" s="332"/>
      <c r="AO311" s="332"/>
    </row>
    <row r="312" spans="1:41">
      <c r="A312" s="332"/>
      <c r="B312" s="332"/>
      <c r="C312" s="156"/>
      <c r="D312" s="332"/>
      <c r="E312" s="332"/>
      <c r="F312" s="332"/>
      <c r="G312" s="156"/>
      <c r="H312" s="332"/>
      <c r="I312" s="332"/>
      <c r="J312" s="332"/>
      <c r="K312" s="332"/>
      <c r="L312" s="332"/>
      <c r="M312" s="332"/>
      <c r="N312" s="156"/>
      <c r="O312" s="332"/>
      <c r="P312" s="332"/>
      <c r="Q312" s="332"/>
      <c r="R312" s="156"/>
      <c r="S312" s="332"/>
      <c r="T312" s="156"/>
      <c r="U312" s="332"/>
      <c r="V312" s="332"/>
      <c r="W312" s="332"/>
      <c r="X312" s="332"/>
      <c r="Y312" s="156"/>
      <c r="Z312" s="332"/>
      <c r="AA312" s="332"/>
      <c r="AB312" s="156"/>
      <c r="AC312" s="156"/>
      <c r="AD312" s="332"/>
      <c r="AE312" s="156"/>
      <c r="AF312" s="156"/>
      <c r="AG312" s="332"/>
      <c r="AH312" s="332"/>
      <c r="AI312" s="332"/>
      <c r="AJ312" s="332"/>
      <c r="AK312" s="332"/>
      <c r="AL312" s="332"/>
      <c r="AM312" s="332"/>
      <c r="AN312" s="332"/>
      <c r="AO312" s="332"/>
    </row>
    <row r="313" spans="1:41">
      <c r="A313" s="332"/>
      <c r="B313" s="332"/>
      <c r="C313" s="156"/>
      <c r="D313" s="332"/>
      <c r="E313" s="332"/>
      <c r="F313" s="332"/>
      <c r="G313" s="156"/>
      <c r="H313" s="332"/>
      <c r="I313" s="332"/>
      <c r="J313" s="332"/>
      <c r="K313" s="332"/>
      <c r="L313" s="332"/>
      <c r="M313" s="332"/>
      <c r="N313" s="156"/>
      <c r="O313" s="332"/>
      <c r="P313" s="332"/>
      <c r="Q313" s="332"/>
      <c r="R313" s="156"/>
      <c r="S313" s="332"/>
      <c r="T313" s="332"/>
      <c r="U313" s="332"/>
      <c r="V313" s="332"/>
      <c r="W313" s="332"/>
      <c r="X313" s="332"/>
      <c r="Y313" s="156"/>
      <c r="Z313" s="332"/>
      <c r="AA313" s="332"/>
      <c r="AB313" s="156"/>
      <c r="AC313" s="156"/>
      <c r="AD313" s="332"/>
      <c r="AE313" s="156"/>
      <c r="AF313" s="156"/>
      <c r="AG313" s="332"/>
      <c r="AH313" s="332"/>
      <c r="AI313" s="332"/>
      <c r="AJ313" s="332"/>
      <c r="AK313" s="332"/>
      <c r="AL313" s="332"/>
      <c r="AM313" s="332"/>
      <c r="AN313" s="332"/>
      <c r="AO313" s="332"/>
    </row>
    <row r="314" spans="1:41">
      <c r="A314" s="332"/>
      <c r="B314" s="332"/>
      <c r="C314" s="332"/>
      <c r="D314" s="332"/>
      <c r="E314" s="332"/>
      <c r="F314" s="332"/>
      <c r="G314" s="332"/>
      <c r="H314" s="332"/>
      <c r="I314" s="332"/>
      <c r="J314" s="332"/>
      <c r="K314" s="332"/>
      <c r="L314" s="332"/>
      <c r="M314" s="332"/>
      <c r="N314" s="156"/>
      <c r="O314" s="332"/>
      <c r="P314" s="332"/>
      <c r="Q314" s="332"/>
      <c r="R314" s="332"/>
      <c r="S314" s="332"/>
      <c r="T314" s="332"/>
      <c r="U314" s="332"/>
      <c r="V314" s="156"/>
      <c r="W314" s="332"/>
      <c r="X314" s="332"/>
      <c r="Y314" s="156"/>
      <c r="Z314" s="332"/>
      <c r="AA314" s="332"/>
      <c r="AB314" s="332"/>
      <c r="AC314" s="156"/>
      <c r="AD314" s="332"/>
      <c r="AE314" s="156"/>
      <c r="AF314" s="156"/>
      <c r="AG314" s="332"/>
      <c r="AH314" s="332"/>
      <c r="AI314" s="332"/>
      <c r="AJ314" s="332"/>
      <c r="AK314" s="332"/>
      <c r="AL314" s="332"/>
      <c r="AM314" s="332"/>
      <c r="AN314" s="332"/>
      <c r="AO314" s="332"/>
    </row>
    <row r="315" spans="1:41">
      <c r="A315" s="332"/>
      <c r="B315" s="332"/>
      <c r="C315" s="156"/>
      <c r="D315" s="332"/>
      <c r="E315" s="332"/>
      <c r="F315" s="332"/>
      <c r="G315" s="156"/>
      <c r="H315" s="332"/>
      <c r="I315" s="332"/>
      <c r="J315" s="332"/>
      <c r="K315" s="332"/>
      <c r="L315" s="332"/>
      <c r="M315" s="332"/>
      <c r="N315" s="156"/>
      <c r="O315" s="332"/>
      <c r="P315" s="332"/>
      <c r="Q315" s="332"/>
      <c r="R315" s="156"/>
      <c r="S315" s="332"/>
      <c r="T315" s="332"/>
      <c r="U315" s="332"/>
      <c r="V315" s="332"/>
      <c r="W315" s="332"/>
      <c r="X315" s="332"/>
      <c r="Y315" s="156"/>
      <c r="Z315" s="332"/>
      <c r="AA315" s="332"/>
      <c r="AB315" s="156"/>
      <c r="AC315" s="156"/>
      <c r="AD315" s="332"/>
      <c r="AE315" s="156"/>
      <c r="AF315" s="156"/>
      <c r="AG315" s="332"/>
      <c r="AH315" s="332"/>
      <c r="AI315" s="332"/>
      <c r="AJ315" s="332"/>
      <c r="AK315" s="332"/>
      <c r="AL315" s="332"/>
      <c r="AM315" s="332"/>
      <c r="AN315" s="332"/>
      <c r="AO315" s="332"/>
    </row>
    <row r="316" spans="1:41">
      <c r="A316" s="332"/>
      <c r="B316" s="332"/>
      <c r="C316" s="332"/>
      <c r="D316" s="332"/>
      <c r="E316" s="332"/>
      <c r="F316" s="332"/>
      <c r="G316" s="332"/>
      <c r="H316" s="332"/>
      <c r="I316" s="332"/>
      <c r="J316" s="332"/>
      <c r="K316" s="332"/>
      <c r="L316" s="332"/>
      <c r="M316" s="332"/>
      <c r="N316" s="156"/>
      <c r="O316" s="332"/>
      <c r="P316" s="332"/>
      <c r="Q316" s="332"/>
      <c r="R316" s="332"/>
      <c r="S316" s="332"/>
      <c r="T316" s="332"/>
      <c r="U316" s="332"/>
      <c r="V316" s="332"/>
      <c r="W316" s="332"/>
      <c r="X316" s="332"/>
      <c r="Y316" s="156"/>
      <c r="Z316" s="332"/>
      <c r="AA316" s="332"/>
      <c r="AB316" s="156"/>
      <c r="AC316" s="332"/>
      <c r="AD316" s="332"/>
      <c r="AE316" s="156"/>
      <c r="AF316" s="156"/>
      <c r="AG316" s="332"/>
      <c r="AH316" s="332"/>
      <c r="AI316" s="332"/>
      <c r="AJ316" s="332"/>
      <c r="AK316" s="332"/>
      <c r="AL316" s="332"/>
      <c r="AM316" s="332"/>
      <c r="AN316" s="332"/>
      <c r="AO316" s="332"/>
    </row>
    <row r="317" spans="1:41">
      <c r="A317" s="332"/>
      <c r="B317" s="332"/>
      <c r="C317" s="156"/>
      <c r="D317" s="332"/>
      <c r="E317" s="332"/>
      <c r="F317" s="332"/>
      <c r="G317" s="156"/>
      <c r="H317" s="332"/>
      <c r="I317" s="332"/>
      <c r="J317" s="332"/>
      <c r="K317" s="332"/>
      <c r="L317" s="332"/>
      <c r="M317" s="332"/>
      <c r="N317" s="156"/>
      <c r="O317" s="332"/>
      <c r="P317" s="332"/>
      <c r="Q317" s="332"/>
      <c r="R317" s="332"/>
      <c r="S317" s="332"/>
      <c r="T317" s="332"/>
      <c r="U317" s="332"/>
      <c r="V317" s="156"/>
      <c r="W317" s="332"/>
      <c r="X317" s="332"/>
      <c r="Y317" s="156"/>
      <c r="Z317" s="332"/>
      <c r="AA317" s="332"/>
      <c r="AB317" s="332"/>
      <c r="AC317" s="156"/>
      <c r="AD317" s="332"/>
      <c r="AE317" s="156"/>
      <c r="AF317" s="156"/>
      <c r="AG317" s="332"/>
      <c r="AH317" s="332"/>
      <c r="AI317" s="332"/>
      <c r="AJ317" s="332"/>
      <c r="AK317" s="332"/>
      <c r="AL317" s="332"/>
      <c r="AM317" s="332"/>
      <c r="AN317" s="332"/>
      <c r="AO317" s="332"/>
    </row>
    <row r="318" spans="1:41">
      <c r="A318" s="332"/>
      <c r="B318" s="332"/>
      <c r="C318" s="156"/>
      <c r="D318" s="332"/>
      <c r="E318" s="332"/>
      <c r="F318" s="332"/>
      <c r="G318" s="156"/>
      <c r="H318" s="332"/>
      <c r="I318" s="332"/>
      <c r="J318" s="332"/>
      <c r="K318" s="332"/>
      <c r="L318" s="332"/>
      <c r="M318" s="332"/>
      <c r="N318" s="156"/>
      <c r="O318" s="332"/>
      <c r="P318" s="332"/>
      <c r="Q318" s="332"/>
      <c r="R318" s="156"/>
      <c r="S318" s="332"/>
      <c r="T318" s="332"/>
      <c r="U318" s="332"/>
      <c r="V318" s="156"/>
      <c r="W318" s="332"/>
      <c r="X318" s="332"/>
      <c r="Y318" s="156"/>
      <c r="Z318" s="332"/>
      <c r="AA318" s="332"/>
      <c r="AB318" s="156"/>
      <c r="AC318" s="156"/>
      <c r="AD318" s="332"/>
      <c r="AE318" s="332"/>
      <c r="AF318" s="156"/>
      <c r="AG318" s="332"/>
      <c r="AH318" s="332"/>
      <c r="AI318" s="332"/>
      <c r="AJ318" s="332"/>
      <c r="AK318" s="332"/>
      <c r="AL318" s="332"/>
      <c r="AM318" s="332"/>
      <c r="AN318" s="332"/>
      <c r="AO318" s="332"/>
    </row>
    <row r="319" spans="1:41">
      <c r="A319" s="332"/>
      <c r="B319" s="332"/>
      <c r="C319" s="156"/>
      <c r="D319" s="332"/>
      <c r="E319" s="332"/>
      <c r="F319" s="332"/>
      <c r="G319" s="332"/>
      <c r="H319" s="332"/>
      <c r="I319" s="332"/>
      <c r="J319" s="332"/>
      <c r="K319" s="332"/>
      <c r="L319" s="332"/>
      <c r="M319" s="332"/>
      <c r="N319" s="332"/>
      <c r="O319" s="332"/>
      <c r="P319" s="332"/>
      <c r="Q319" s="332"/>
      <c r="R319" s="156"/>
      <c r="S319" s="332"/>
      <c r="T319" s="156"/>
      <c r="U319" s="332"/>
      <c r="V319" s="332"/>
      <c r="W319" s="332"/>
      <c r="X319" s="332"/>
      <c r="Y319" s="156"/>
      <c r="Z319" s="332"/>
      <c r="AA319" s="332"/>
      <c r="AB319" s="332"/>
      <c r="AC319" s="156"/>
      <c r="AD319" s="332"/>
      <c r="AE319" s="156"/>
      <c r="AF319" s="156"/>
      <c r="AG319" s="332"/>
      <c r="AH319" s="332"/>
      <c r="AI319" s="332"/>
      <c r="AJ319" s="332"/>
      <c r="AK319" s="332"/>
      <c r="AL319" s="332"/>
      <c r="AM319" s="332"/>
      <c r="AN319" s="332"/>
      <c r="AO319" s="332"/>
    </row>
    <row r="320" spans="1:41">
      <c r="A320" s="332"/>
      <c r="B320" s="332"/>
      <c r="C320" s="156"/>
      <c r="D320" s="332"/>
      <c r="E320" s="332"/>
      <c r="F320" s="332"/>
      <c r="G320" s="156"/>
      <c r="H320" s="332"/>
      <c r="I320" s="332"/>
      <c r="J320" s="332"/>
      <c r="K320" s="332"/>
      <c r="L320" s="332"/>
      <c r="M320" s="332"/>
      <c r="N320" s="156"/>
      <c r="O320" s="332"/>
      <c r="P320" s="332"/>
      <c r="Q320" s="332"/>
      <c r="R320" s="332"/>
      <c r="S320" s="332"/>
      <c r="T320" s="332"/>
      <c r="U320" s="332"/>
      <c r="V320" s="156"/>
      <c r="W320" s="332"/>
      <c r="X320" s="332"/>
      <c r="Y320" s="156"/>
      <c r="Z320" s="332"/>
      <c r="AA320" s="332"/>
      <c r="AB320" s="156"/>
      <c r="AC320" s="156"/>
      <c r="AD320" s="332"/>
      <c r="AE320" s="156"/>
      <c r="AF320" s="156"/>
      <c r="AG320" s="332"/>
      <c r="AH320" s="332"/>
      <c r="AI320" s="332"/>
      <c r="AJ320" s="332"/>
      <c r="AK320" s="332"/>
      <c r="AL320" s="332"/>
      <c r="AM320" s="332"/>
      <c r="AN320" s="332"/>
      <c r="AO320" s="332"/>
    </row>
    <row r="321" spans="1:41">
      <c r="A321" s="332"/>
      <c r="B321" s="332"/>
      <c r="C321" s="332"/>
      <c r="D321" s="332"/>
      <c r="E321" s="332"/>
      <c r="F321" s="332"/>
      <c r="G321" s="332"/>
      <c r="H321" s="332"/>
      <c r="I321" s="332"/>
      <c r="J321" s="332"/>
      <c r="K321" s="332"/>
      <c r="L321" s="332"/>
      <c r="M321" s="332"/>
      <c r="N321" s="332"/>
      <c r="O321" s="332"/>
      <c r="P321" s="332"/>
      <c r="Q321" s="332"/>
      <c r="R321" s="332"/>
      <c r="S321" s="332"/>
      <c r="T321" s="332"/>
      <c r="U321" s="332"/>
      <c r="V321" s="156"/>
      <c r="W321" s="332"/>
      <c r="X321" s="332"/>
      <c r="Y321" s="156"/>
      <c r="Z321" s="332"/>
      <c r="AA321" s="332"/>
      <c r="AB321" s="156"/>
      <c r="AC321" s="156"/>
      <c r="AD321" s="332"/>
      <c r="AE321" s="332"/>
      <c r="AF321" s="156"/>
      <c r="AG321" s="332"/>
      <c r="AH321" s="332"/>
      <c r="AI321" s="332"/>
      <c r="AJ321" s="332"/>
      <c r="AK321" s="332"/>
      <c r="AL321" s="332"/>
      <c r="AM321" s="332"/>
      <c r="AN321" s="332"/>
      <c r="AO321" s="332"/>
    </row>
    <row r="322" spans="1:41">
      <c r="A322" s="332"/>
      <c r="B322" s="332"/>
      <c r="C322" s="156"/>
      <c r="D322" s="332"/>
      <c r="E322" s="332"/>
      <c r="F322" s="332"/>
      <c r="G322" s="156"/>
      <c r="H322" s="332"/>
      <c r="I322" s="332"/>
      <c r="J322" s="332"/>
      <c r="K322" s="332"/>
      <c r="L322" s="332"/>
      <c r="M322" s="332"/>
      <c r="N322" s="156"/>
      <c r="O322" s="332"/>
      <c r="P322" s="332"/>
      <c r="Q322" s="332"/>
      <c r="R322" s="156"/>
      <c r="S322" s="332"/>
      <c r="T322" s="156"/>
      <c r="U322" s="332"/>
      <c r="V322" s="156"/>
      <c r="W322" s="332"/>
      <c r="X322" s="332"/>
      <c r="Y322" s="332"/>
      <c r="Z322" s="332"/>
      <c r="AA322" s="332"/>
      <c r="AB322" s="156"/>
      <c r="AC322" s="156"/>
      <c r="AD322" s="332"/>
      <c r="AE322" s="156"/>
      <c r="AF322" s="156"/>
      <c r="AG322" s="332"/>
      <c r="AH322" s="332"/>
      <c r="AI322" s="332"/>
      <c r="AJ322" s="332"/>
      <c r="AK322" s="332"/>
      <c r="AL322" s="332"/>
      <c r="AM322" s="332"/>
      <c r="AN322" s="332"/>
      <c r="AO322" s="332"/>
    </row>
    <row r="323" spans="1:41">
      <c r="A323" s="332"/>
      <c r="B323" s="332"/>
      <c r="C323" s="332"/>
      <c r="D323" s="332"/>
      <c r="E323" s="332"/>
      <c r="F323" s="332"/>
      <c r="G323" s="332"/>
      <c r="H323" s="332"/>
      <c r="I323" s="332"/>
      <c r="J323" s="332"/>
      <c r="K323" s="332"/>
      <c r="L323" s="332"/>
      <c r="M323" s="332"/>
      <c r="N323" s="332"/>
      <c r="O323" s="332"/>
      <c r="P323" s="332"/>
      <c r="Q323" s="332"/>
      <c r="R323" s="332"/>
      <c r="S323" s="332"/>
      <c r="T323" s="156"/>
      <c r="U323" s="332"/>
      <c r="V323" s="156"/>
      <c r="W323" s="332"/>
      <c r="X323" s="332"/>
      <c r="Y323" s="156"/>
      <c r="Z323" s="332"/>
      <c r="AA323" s="332"/>
      <c r="AB323" s="156"/>
      <c r="AC323" s="156"/>
      <c r="AD323" s="332"/>
      <c r="AE323" s="156"/>
      <c r="AF323" s="156"/>
      <c r="AG323" s="332"/>
      <c r="AH323" s="332"/>
      <c r="AI323" s="332"/>
      <c r="AJ323" s="332"/>
      <c r="AK323" s="332"/>
      <c r="AL323" s="332"/>
      <c r="AM323" s="332"/>
      <c r="AN323" s="332"/>
      <c r="AO323" s="332"/>
    </row>
    <row r="324" spans="1:41">
      <c r="A324" s="332"/>
      <c r="B324" s="332"/>
      <c r="C324" s="332"/>
      <c r="D324" s="332"/>
      <c r="E324" s="332"/>
      <c r="F324" s="332"/>
      <c r="G324" s="332"/>
      <c r="H324" s="332"/>
      <c r="I324" s="332"/>
      <c r="J324" s="332"/>
      <c r="K324" s="332"/>
      <c r="L324" s="332"/>
      <c r="M324" s="332"/>
      <c r="N324" s="156"/>
      <c r="O324" s="332"/>
      <c r="P324" s="332"/>
      <c r="Q324" s="332"/>
      <c r="R324" s="332"/>
      <c r="S324" s="332"/>
      <c r="T324" s="332"/>
      <c r="U324" s="332"/>
      <c r="V324" s="156"/>
      <c r="W324" s="332"/>
      <c r="X324" s="332"/>
      <c r="Y324" s="156"/>
      <c r="Z324" s="332"/>
      <c r="AA324" s="332"/>
      <c r="AB324" s="332"/>
      <c r="AC324" s="332"/>
      <c r="AD324" s="332"/>
      <c r="AE324" s="332"/>
      <c r="AF324" s="332"/>
      <c r="AG324" s="332"/>
      <c r="AH324" s="332"/>
      <c r="AI324" s="332"/>
      <c r="AJ324" s="332"/>
      <c r="AK324" s="332"/>
      <c r="AL324" s="332"/>
      <c r="AM324" s="332"/>
      <c r="AN324" s="332"/>
      <c r="AO324" s="332"/>
    </row>
    <row r="325" spans="1:41">
      <c r="A325" s="332"/>
      <c r="B325" s="332"/>
      <c r="C325" s="156"/>
      <c r="D325" s="332"/>
      <c r="E325" s="332"/>
      <c r="F325" s="332"/>
      <c r="G325" s="156"/>
      <c r="H325" s="332"/>
      <c r="I325" s="332"/>
      <c r="J325" s="332"/>
      <c r="K325" s="332"/>
      <c r="L325" s="332"/>
      <c r="M325" s="332"/>
      <c r="N325" s="156"/>
      <c r="O325" s="332"/>
      <c r="P325" s="332"/>
      <c r="Q325" s="332"/>
      <c r="R325" s="332"/>
      <c r="S325" s="332"/>
      <c r="T325" s="332"/>
      <c r="U325" s="332"/>
      <c r="V325" s="156"/>
      <c r="W325" s="332"/>
      <c r="X325" s="332"/>
      <c r="Y325" s="156"/>
      <c r="Z325" s="332"/>
      <c r="AA325" s="332"/>
      <c r="AB325" s="156"/>
      <c r="AC325" s="156"/>
      <c r="AD325" s="332"/>
      <c r="AE325" s="156"/>
      <c r="AF325" s="156"/>
      <c r="AG325" s="332"/>
      <c r="AH325" s="332"/>
      <c r="AI325" s="332"/>
      <c r="AJ325" s="332"/>
      <c r="AK325" s="332"/>
      <c r="AL325" s="332"/>
      <c r="AM325" s="332"/>
      <c r="AN325" s="332"/>
      <c r="AO325" s="332"/>
    </row>
    <row r="326" spans="1:41">
      <c r="A326" s="332"/>
      <c r="B326" s="332"/>
      <c r="C326" s="332"/>
      <c r="D326" s="332"/>
      <c r="E326" s="332"/>
      <c r="F326" s="332"/>
      <c r="G326" s="156"/>
      <c r="H326" s="332"/>
      <c r="I326" s="332"/>
      <c r="J326" s="332"/>
      <c r="K326" s="332"/>
      <c r="L326" s="332"/>
      <c r="M326" s="332"/>
      <c r="N326" s="156"/>
      <c r="O326" s="332"/>
      <c r="P326" s="332"/>
      <c r="Q326" s="332"/>
      <c r="R326" s="156"/>
      <c r="S326" s="332"/>
      <c r="T326" s="156"/>
      <c r="U326" s="332"/>
      <c r="V326" s="156"/>
      <c r="W326" s="332"/>
      <c r="X326" s="332"/>
      <c r="Y326" s="156"/>
      <c r="Z326" s="332"/>
      <c r="AA326" s="332"/>
      <c r="AB326" s="156"/>
      <c r="AC326" s="156"/>
      <c r="AD326" s="332"/>
      <c r="AE326" s="156"/>
      <c r="AF326" s="156"/>
      <c r="AG326" s="332"/>
      <c r="AH326" s="332"/>
      <c r="AI326" s="332"/>
      <c r="AJ326" s="332"/>
      <c r="AK326" s="332"/>
      <c r="AL326" s="332"/>
      <c r="AM326" s="332"/>
      <c r="AN326" s="332"/>
      <c r="AO326" s="332"/>
    </row>
    <row r="327" spans="1:41">
      <c r="A327" s="332"/>
      <c r="B327" s="332"/>
      <c r="C327" s="156"/>
      <c r="D327" s="332"/>
      <c r="E327" s="332"/>
      <c r="F327" s="332"/>
      <c r="G327" s="156"/>
      <c r="H327" s="332"/>
      <c r="I327" s="332"/>
      <c r="J327" s="332"/>
      <c r="K327" s="332"/>
      <c r="L327" s="332"/>
      <c r="M327" s="332"/>
      <c r="N327" s="156"/>
      <c r="O327" s="332"/>
      <c r="P327" s="332"/>
      <c r="Q327" s="332"/>
      <c r="R327" s="156"/>
      <c r="S327" s="332"/>
      <c r="T327" s="156"/>
      <c r="U327" s="332"/>
      <c r="V327" s="332"/>
      <c r="W327" s="332"/>
      <c r="X327" s="332"/>
      <c r="Y327" s="156"/>
      <c r="Z327" s="332"/>
      <c r="AA327" s="332"/>
      <c r="AB327" s="156"/>
      <c r="AC327" s="332"/>
      <c r="AD327" s="332"/>
      <c r="AE327" s="156"/>
      <c r="AF327" s="156"/>
      <c r="AG327" s="332"/>
      <c r="AH327" s="332"/>
      <c r="AI327" s="332"/>
      <c r="AJ327" s="332"/>
      <c r="AK327" s="332"/>
      <c r="AL327" s="332"/>
      <c r="AM327" s="332"/>
      <c r="AN327" s="332"/>
      <c r="AO327" s="332"/>
    </row>
    <row r="328" spans="1:41">
      <c r="A328" s="332"/>
      <c r="B328" s="332"/>
      <c r="C328" s="156"/>
      <c r="D328" s="332"/>
      <c r="E328" s="332"/>
      <c r="F328" s="332"/>
      <c r="G328" s="332"/>
      <c r="H328" s="332"/>
      <c r="I328" s="332"/>
      <c r="J328" s="332"/>
      <c r="K328" s="332"/>
      <c r="L328" s="332"/>
      <c r="M328" s="332"/>
      <c r="N328" s="332"/>
      <c r="O328" s="332"/>
      <c r="P328" s="332"/>
      <c r="Q328" s="332"/>
      <c r="R328" s="156"/>
      <c r="S328" s="332"/>
      <c r="T328" s="332"/>
      <c r="U328" s="332"/>
      <c r="V328" s="156"/>
      <c r="W328" s="332"/>
      <c r="X328" s="332"/>
      <c r="Y328" s="156"/>
      <c r="Z328" s="332"/>
      <c r="AA328" s="332"/>
      <c r="AB328" s="156"/>
      <c r="AC328" s="156"/>
      <c r="AD328" s="332"/>
      <c r="AE328" s="332"/>
      <c r="AF328" s="156"/>
      <c r="AG328" s="332"/>
      <c r="AH328" s="332"/>
      <c r="AI328" s="332"/>
      <c r="AJ328" s="332"/>
      <c r="AK328" s="332"/>
      <c r="AL328" s="332"/>
      <c r="AM328" s="332"/>
      <c r="AN328" s="332"/>
      <c r="AO328" s="332"/>
    </row>
    <row r="329" spans="1:41">
      <c r="A329" s="332"/>
      <c r="B329" s="332"/>
      <c r="C329" s="156"/>
      <c r="D329" s="332"/>
      <c r="E329" s="332"/>
      <c r="F329" s="332"/>
      <c r="G329" s="156"/>
      <c r="H329" s="332"/>
      <c r="I329" s="332"/>
      <c r="J329" s="332"/>
      <c r="K329" s="332"/>
      <c r="L329" s="332"/>
      <c r="M329" s="332"/>
      <c r="N329" s="156"/>
      <c r="O329" s="332"/>
      <c r="P329" s="332"/>
      <c r="Q329" s="332"/>
      <c r="R329" s="156"/>
      <c r="S329" s="332"/>
      <c r="T329" s="156"/>
      <c r="U329" s="332"/>
      <c r="V329" s="156"/>
      <c r="W329" s="332"/>
      <c r="X329" s="332"/>
      <c r="Y329" s="156"/>
      <c r="Z329" s="332"/>
      <c r="AA329" s="332"/>
      <c r="AB329" s="156"/>
      <c r="AC329" s="156"/>
      <c r="AD329" s="332"/>
      <c r="AE329" s="156"/>
      <c r="AF329" s="156"/>
      <c r="AG329" s="332"/>
      <c r="AH329" s="332"/>
      <c r="AI329" s="332"/>
      <c r="AJ329" s="332"/>
      <c r="AK329" s="332"/>
      <c r="AL329" s="332"/>
      <c r="AM329" s="332"/>
      <c r="AN329" s="332"/>
      <c r="AO329" s="332"/>
    </row>
    <row r="330" spans="1:41">
      <c r="A330" s="332"/>
      <c r="B330" s="332"/>
      <c r="C330" s="156"/>
      <c r="D330" s="332"/>
      <c r="E330" s="332"/>
      <c r="F330" s="332"/>
      <c r="G330" s="332"/>
      <c r="H330" s="332"/>
      <c r="I330" s="332"/>
      <c r="J330" s="332"/>
      <c r="K330" s="332"/>
      <c r="L330" s="332"/>
      <c r="M330" s="332"/>
      <c r="N330" s="156"/>
      <c r="O330" s="332"/>
      <c r="P330" s="332"/>
      <c r="Q330" s="332"/>
      <c r="R330" s="332"/>
      <c r="S330" s="332"/>
      <c r="T330" s="156"/>
      <c r="U330" s="332"/>
      <c r="V330" s="332"/>
      <c r="W330" s="332"/>
      <c r="X330" s="332"/>
      <c r="Y330" s="156"/>
      <c r="Z330" s="332"/>
      <c r="AA330" s="332"/>
      <c r="AB330" s="156"/>
      <c r="AC330" s="156"/>
      <c r="AD330" s="332"/>
      <c r="AE330" s="156"/>
      <c r="AF330" s="156"/>
      <c r="AG330" s="332"/>
      <c r="AH330" s="332"/>
      <c r="AI330" s="332"/>
      <c r="AJ330" s="332"/>
      <c r="AK330" s="332"/>
      <c r="AL330" s="332"/>
      <c r="AM330" s="332"/>
      <c r="AN330" s="332"/>
      <c r="AO330" s="332"/>
    </row>
    <row r="331" spans="1:41">
      <c r="A331" s="332"/>
      <c r="B331" s="332"/>
      <c r="C331" s="156"/>
      <c r="D331" s="332"/>
      <c r="E331" s="332"/>
      <c r="F331" s="332"/>
      <c r="G331" s="332"/>
      <c r="H331" s="332"/>
      <c r="I331" s="332"/>
      <c r="J331" s="332"/>
      <c r="K331" s="332"/>
      <c r="L331" s="332"/>
      <c r="M331" s="332"/>
      <c r="N331" s="156"/>
      <c r="O331" s="332"/>
      <c r="P331" s="332"/>
      <c r="Q331" s="332"/>
      <c r="R331" s="332"/>
      <c r="S331" s="332"/>
      <c r="T331" s="332"/>
      <c r="U331" s="332"/>
      <c r="V331" s="156"/>
      <c r="W331" s="332"/>
      <c r="X331" s="332"/>
      <c r="Y331" s="156"/>
      <c r="Z331" s="332"/>
      <c r="AA331" s="332"/>
      <c r="AB331" s="156"/>
      <c r="AC331" s="156"/>
      <c r="AD331" s="332"/>
      <c r="AE331" s="156"/>
      <c r="AF331" s="156"/>
      <c r="AG331" s="332"/>
      <c r="AH331" s="332"/>
      <c r="AI331" s="332"/>
      <c r="AJ331" s="332"/>
      <c r="AK331" s="332"/>
      <c r="AL331" s="332"/>
      <c r="AM331" s="332"/>
      <c r="AN331" s="332"/>
      <c r="AO331" s="332"/>
    </row>
    <row r="332" spans="1:41">
      <c r="A332" s="332"/>
      <c r="B332" s="332"/>
      <c r="C332" s="156"/>
      <c r="D332" s="332"/>
      <c r="E332" s="332"/>
      <c r="F332" s="332"/>
      <c r="G332" s="156"/>
      <c r="H332" s="332"/>
      <c r="I332" s="332"/>
      <c r="J332" s="332"/>
      <c r="K332" s="332"/>
      <c r="L332" s="332"/>
      <c r="M332" s="332"/>
      <c r="N332" s="156"/>
      <c r="O332" s="332"/>
      <c r="P332" s="332"/>
      <c r="Q332" s="332"/>
      <c r="R332" s="156"/>
      <c r="S332" s="332"/>
      <c r="T332" s="332"/>
      <c r="U332" s="332"/>
      <c r="V332" s="156"/>
      <c r="W332" s="332"/>
      <c r="X332" s="332"/>
      <c r="Y332" s="156"/>
      <c r="Z332" s="332"/>
      <c r="AA332" s="332"/>
      <c r="AB332" s="156"/>
      <c r="AC332" s="156"/>
      <c r="AD332" s="332"/>
      <c r="AE332" s="156"/>
      <c r="AF332" s="156"/>
      <c r="AG332" s="332"/>
      <c r="AH332" s="332"/>
      <c r="AI332" s="332"/>
      <c r="AJ332" s="332"/>
      <c r="AK332" s="332"/>
      <c r="AL332" s="332"/>
      <c r="AM332" s="332"/>
      <c r="AN332" s="332"/>
      <c r="AO332" s="332"/>
    </row>
    <row r="333" spans="1:41">
      <c r="A333" s="332"/>
      <c r="B333" s="332"/>
      <c r="C333" s="156"/>
      <c r="D333" s="332"/>
      <c r="E333" s="332"/>
      <c r="F333" s="332"/>
      <c r="G333" s="156"/>
      <c r="H333" s="332"/>
      <c r="I333" s="332"/>
      <c r="J333" s="332"/>
      <c r="K333" s="332"/>
      <c r="L333" s="332"/>
      <c r="M333" s="332"/>
      <c r="N333" s="156"/>
      <c r="O333" s="332"/>
      <c r="P333" s="332"/>
      <c r="Q333" s="332"/>
      <c r="R333" s="332"/>
      <c r="S333" s="332"/>
      <c r="T333" s="332"/>
      <c r="U333" s="332"/>
      <c r="V333" s="156"/>
      <c r="W333" s="332"/>
      <c r="X333" s="332"/>
      <c r="Y333" s="156"/>
      <c r="Z333" s="332"/>
      <c r="AA333" s="332"/>
      <c r="AB333" s="332"/>
      <c r="AC333" s="156"/>
      <c r="AD333" s="332"/>
      <c r="AE333" s="156"/>
      <c r="AF333" s="156"/>
      <c r="AG333" s="332"/>
      <c r="AH333" s="332"/>
      <c r="AI333" s="332"/>
      <c r="AJ333" s="332"/>
      <c r="AK333" s="332"/>
      <c r="AL333" s="332"/>
      <c r="AM333" s="332"/>
      <c r="AN333" s="332"/>
      <c r="AO333" s="332"/>
    </row>
    <row r="334" spans="1:41">
      <c r="A334" s="332"/>
      <c r="B334" s="332"/>
      <c r="C334" s="332"/>
      <c r="D334" s="332"/>
      <c r="E334" s="332"/>
      <c r="F334" s="332"/>
      <c r="G334" s="156"/>
      <c r="H334" s="332"/>
      <c r="I334" s="332"/>
      <c r="J334" s="332"/>
      <c r="K334" s="332"/>
      <c r="L334" s="332"/>
      <c r="M334" s="332"/>
      <c r="N334" s="156"/>
      <c r="O334" s="332"/>
      <c r="P334" s="332"/>
      <c r="Q334" s="332"/>
      <c r="R334" s="332"/>
      <c r="S334" s="332"/>
      <c r="T334" s="332"/>
      <c r="U334" s="332"/>
      <c r="V334" s="156"/>
      <c r="W334" s="332"/>
      <c r="X334" s="332"/>
      <c r="Y334" s="156"/>
      <c r="Z334" s="332"/>
      <c r="AA334" s="332"/>
      <c r="AB334" s="156"/>
      <c r="AC334" s="156"/>
      <c r="AD334" s="332"/>
      <c r="AE334" s="156"/>
      <c r="AF334" s="156"/>
      <c r="AG334" s="332"/>
      <c r="AH334" s="332"/>
      <c r="AI334" s="332"/>
      <c r="AJ334" s="332"/>
      <c r="AK334" s="332"/>
      <c r="AL334" s="332"/>
      <c r="AM334" s="332"/>
      <c r="AN334" s="332"/>
      <c r="AO334" s="332"/>
    </row>
    <row r="335" spans="1:41">
      <c r="A335" s="332"/>
      <c r="B335" s="332"/>
      <c r="C335" s="156"/>
      <c r="D335" s="332"/>
      <c r="E335" s="332"/>
      <c r="F335" s="332"/>
      <c r="G335" s="332"/>
      <c r="H335" s="332"/>
      <c r="I335" s="332"/>
      <c r="J335" s="332"/>
      <c r="K335" s="332"/>
      <c r="L335" s="332"/>
      <c r="M335" s="332"/>
      <c r="N335" s="156"/>
      <c r="O335" s="332"/>
      <c r="P335" s="332"/>
      <c r="Q335" s="332"/>
      <c r="R335" s="332"/>
      <c r="S335" s="332"/>
      <c r="T335" s="332"/>
      <c r="U335" s="332"/>
      <c r="V335" s="156"/>
      <c r="W335" s="332"/>
      <c r="X335" s="332"/>
      <c r="Y335" s="156"/>
      <c r="Z335" s="332"/>
      <c r="AA335" s="332"/>
      <c r="AB335" s="156"/>
      <c r="AC335" s="156"/>
      <c r="AD335" s="332"/>
      <c r="AE335" s="156"/>
      <c r="AF335" s="156"/>
      <c r="AG335" s="332"/>
      <c r="AH335" s="332"/>
      <c r="AI335" s="332"/>
      <c r="AJ335" s="332"/>
      <c r="AK335" s="332"/>
      <c r="AL335" s="332"/>
      <c r="AM335" s="332"/>
      <c r="AN335" s="332"/>
      <c r="AO335" s="332"/>
    </row>
    <row r="336" spans="1:41">
      <c r="A336" s="332"/>
      <c r="B336" s="332"/>
      <c r="C336" s="332"/>
      <c r="D336" s="332"/>
      <c r="E336" s="332"/>
      <c r="F336" s="332"/>
      <c r="G336" s="156"/>
      <c r="H336" s="332"/>
      <c r="I336" s="332"/>
      <c r="J336" s="332"/>
      <c r="K336" s="332"/>
      <c r="L336" s="332"/>
      <c r="M336" s="332"/>
      <c r="N336" s="156"/>
      <c r="O336" s="332"/>
      <c r="P336" s="332"/>
      <c r="Q336" s="332"/>
      <c r="R336" s="332"/>
      <c r="S336" s="332"/>
      <c r="T336" s="332"/>
      <c r="U336" s="332"/>
      <c r="V336" s="156"/>
      <c r="W336" s="332"/>
      <c r="X336" s="332"/>
      <c r="Y336" s="156"/>
      <c r="Z336" s="332"/>
      <c r="AA336" s="332"/>
      <c r="AB336" s="156"/>
      <c r="AC336" s="332"/>
      <c r="AD336" s="332"/>
      <c r="AE336" s="156"/>
      <c r="AF336" s="156"/>
      <c r="AG336" s="332"/>
      <c r="AH336" s="332"/>
      <c r="AI336" s="332"/>
      <c r="AJ336" s="332"/>
      <c r="AK336" s="332"/>
      <c r="AL336" s="332"/>
      <c r="AM336" s="332"/>
      <c r="AN336" s="332"/>
      <c r="AO336" s="332"/>
    </row>
    <row r="337" spans="1:41">
      <c r="A337" s="332"/>
      <c r="B337" s="332"/>
      <c r="C337" s="156"/>
      <c r="D337" s="332"/>
      <c r="E337" s="332"/>
      <c r="F337" s="332"/>
      <c r="G337" s="156"/>
      <c r="H337" s="332"/>
      <c r="I337" s="332"/>
      <c r="J337" s="332"/>
      <c r="K337" s="332"/>
      <c r="L337" s="332"/>
      <c r="M337" s="332"/>
      <c r="N337" s="156"/>
      <c r="O337" s="332"/>
      <c r="P337" s="332"/>
      <c r="Q337" s="332"/>
      <c r="R337" s="156"/>
      <c r="S337" s="332"/>
      <c r="T337" s="156"/>
      <c r="U337" s="332"/>
      <c r="V337" s="156"/>
      <c r="W337" s="332"/>
      <c r="X337" s="332"/>
      <c r="Y337" s="156"/>
      <c r="Z337" s="332"/>
      <c r="AA337" s="332"/>
      <c r="AB337" s="156"/>
      <c r="AC337" s="156"/>
      <c r="AD337" s="332"/>
      <c r="AE337" s="156"/>
      <c r="AF337" s="156"/>
      <c r="AG337" s="332"/>
      <c r="AH337" s="332"/>
      <c r="AI337" s="332"/>
      <c r="AJ337" s="332"/>
      <c r="AK337" s="332"/>
      <c r="AL337" s="332"/>
      <c r="AM337" s="332"/>
      <c r="AN337" s="332"/>
      <c r="AO337" s="332"/>
    </row>
    <row r="338" spans="1:41">
      <c r="A338" s="332"/>
      <c r="B338" s="332"/>
      <c r="C338" s="156"/>
      <c r="D338" s="332"/>
      <c r="E338" s="332"/>
      <c r="F338" s="332"/>
      <c r="G338" s="332"/>
      <c r="H338" s="332"/>
      <c r="I338" s="332"/>
      <c r="J338" s="332"/>
      <c r="K338" s="332"/>
      <c r="L338" s="332"/>
      <c r="M338" s="332"/>
      <c r="N338" s="156"/>
      <c r="O338" s="332"/>
      <c r="P338" s="332"/>
      <c r="Q338" s="332"/>
      <c r="R338" s="332"/>
      <c r="S338" s="332"/>
      <c r="T338" s="332"/>
      <c r="U338" s="332"/>
      <c r="V338" s="156"/>
      <c r="W338" s="332"/>
      <c r="X338" s="332"/>
      <c r="Y338" s="156"/>
      <c r="Z338" s="332"/>
      <c r="AA338" s="332"/>
      <c r="AB338" s="156"/>
      <c r="AC338" s="332"/>
      <c r="AD338" s="332"/>
      <c r="AE338" s="156"/>
      <c r="AF338" s="156"/>
      <c r="AG338" s="332"/>
      <c r="AH338" s="332"/>
      <c r="AI338" s="332"/>
      <c r="AJ338" s="332"/>
      <c r="AK338" s="332"/>
      <c r="AL338" s="332"/>
      <c r="AM338" s="332"/>
      <c r="AN338" s="332"/>
      <c r="AO338" s="332"/>
    </row>
    <row r="339" spans="1:41">
      <c r="A339" s="332"/>
      <c r="B339" s="332"/>
      <c r="C339" s="156"/>
      <c r="D339" s="332"/>
      <c r="E339" s="332"/>
      <c r="F339" s="332"/>
      <c r="G339" s="332"/>
      <c r="H339" s="332"/>
      <c r="I339" s="332"/>
      <c r="J339" s="332"/>
      <c r="K339" s="332"/>
      <c r="L339" s="332"/>
      <c r="M339" s="332"/>
      <c r="N339" s="332"/>
      <c r="O339" s="332"/>
      <c r="P339" s="332"/>
      <c r="Q339" s="332"/>
      <c r="R339" s="156"/>
      <c r="S339" s="332"/>
      <c r="T339" s="156"/>
      <c r="U339" s="332"/>
      <c r="V339" s="332"/>
      <c r="W339" s="332"/>
      <c r="X339" s="332"/>
      <c r="Y339" s="156"/>
      <c r="Z339" s="332"/>
      <c r="AA339" s="332"/>
      <c r="AB339" s="156"/>
      <c r="AC339" s="332"/>
      <c r="AD339" s="332"/>
      <c r="AE339" s="156"/>
      <c r="AF339" s="156"/>
      <c r="AG339" s="332"/>
      <c r="AH339" s="332"/>
      <c r="AI339" s="332"/>
      <c r="AJ339" s="332"/>
      <c r="AK339" s="332"/>
      <c r="AL339" s="332"/>
      <c r="AM339" s="332"/>
      <c r="AN339" s="332"/>
      <c r="AO339" s="332"/>
    </row>
    <row r="340" spans="1:41">
      <c r="A340" s="332"/>
      <c r="B340" s="332"/>
      <c r="C340" s="156"/>
      <c r="D340" s="332"/>
      <c r="E340" s="332"/>
      <c r="F340" s="332"/>
      <c r="G340" s="156"/>
      <c r="H340" s="332"/>
      <c r="I340" s="332"/>
      <c r="J340" s="332"/>
      <c r="K340" s="332"/>
      <c r="L340" s="332"/>
      <c r="M340" s="332"/>
      <c r="N340" s="156"/>
      <c r="O340" s="332"/>
      <c r="P340" s="332"/>
      <c r="Q340" s="332"/>
      <c r="R340" s="156"/>
      <c r="S340" s="332"/>
      <c r="T340" s="156"/>
      <c r="U340" s="332"/>
      <c r="V340" s="156"/>
      <c r="W340" s="332"/>
      <c r="X340" s="332"/>
      <c r="Y340" s="156"/>
      <c r="Z340" s="332"/>
      <c r="AA340" s="332"/>
      <c r="AB340" s="156"/>
      <c r="AC340" s="156"/>
      <c r="AD340" s="332"/>
      <c r="AE340" s="156"/>
      <c r="AF340" s="156"/>
      <c r="AG340" s="332"/>
      <c r="AH340" s="332"/>
      <c r="AI340" s="332"/>
      <c r="AJ340" s="332"/>
      <c r="AK340" s="332"/>
      <c r="AL340" s="332"/>
      <c r="AM340" s="332"/>
      <c r="AN340" s="332"/>
      <c r="AO340" s="332"/>
    </row>
    <row r="341" spans="1:41">
      <c r="A341" s="332"/>
      <c r="B341" s="332"/>
      <c r="C341" s="156"/>
      <c r="D341" s="332"/>
      <c r="E341" s="332"/>
      <c r="F341" s="332"/>
      <c r="G341" s="156"/>
      <c r="H341" s="332"/>
      <c r="I341" s="332"/>
      <c r="J341" s="332"/>
      <c r="K341" s="332"/>
      <c r="L341" s="332"/>
      <c r="M341" s="332"/>
      <c r="N341" s="156"/>
      <c r="O341" s="332"/>
      <c r="P341" s="332"/>
      <c r="Q341" s="332"/>
      <c r="R341" s="332"/>
      <c r="S341" s="332"/>
      <c r="T341" s="332"/>
      <c r="U341" s="332"/>
      <c r="V341" s="156"/>
      <c r="W341" s="332"/>
      <c r="X341" s="332"/>
      <c r="Y341" s="156"/>
      <c r="Z341" s="332"/>
      <c r="AA341" s="332"/>
      <c r="AB341" s="156"/>
      <c r="AC341" s="156"/>
      <c r="AD341" s="332"/>
      <c r="AE341" s="156"/>
      <c r="AF341" s="156"/>
      <c r="AG341" s="332"/>
      <c r="AH341" s="332"/>
      <c r="AI341" s="332"/>
      <c r="AJ341" s="332"/>
      <c r="AK341" s="332"/>
      <c r="AL341" s="332"/>
      <c r="AM341" s="332"/>
      <c r="AN341" s="332"/>
      <c r="AO341" s="332"/>
    </row>
    <row r="342" spans="1:41">
      <c r="A342" s="332"/>
      <c r="B342" s="332"/>
      <c r="C342" s="156"/>
      <c r="D342" s="332"/>
      <c r="E342" s="332"/>
      <c r="F342" s="332"/>
      <c r="G342" s="332"/>
      <c r="H342" s="332"/>
      <c r="I342" s="332"/>
      <c r="J342" s="332"/>
      <c r="K342" s="332"/>
      <c r="L342" s="332"/>
      <c r="M342" s="332"/>
      <c r="N342" s="332"/>
      <c r="O342" s="332"/>
      <c r="P342" s="332"/>
      <c r="Q342" s="332"/>
      <c r="R342" s="156"/>
      <c r="S342" s="332"/>
      <c r="T342" s="156"/>
      <c r="U342" s="332"/>
      <c r="V342" s="156"/>
      <c r="W342" s="332"/>
      <c r="X342" s="332"/>
      <c r="Y342" s="156"/>
      <c r="Z342" s="332"/>
      <c r="AA342" s="332"/>
      <c r="AB342" s="156"/>
      <c r="AC342" s="156"/>
      <c r="AD342" s="332"/>
      <c r="AE342" s="156"/>
      <c r="AF342" s="156"/>
      <c r="AG342" s="332"/>
      <c r="AH342" s="332"/>
      <c r="AI342" s="332"/>
      <c r="AJ342" s="332"/>
      <c r="AK342" s="332"/>
      <c r="AL342" s="332"/>
      <c r="AM342" s="332"/>
      <c r="AN342" s="332"/>
      <c r="AO342" s="332"/>
    </row>
    <row r="343" spans="1:41">
      <c r="A343" s="332"/>
      <c r="B343" s="332"/>
      <c r="C343" s="156"/>
      <c r="D343" s="332"/>
      <c r="E343" s="332"/>
      <c r="F343" s="332"/>
      <c r="G343" s="332"/>
      <c r="H343" s="332"/>
      <c r="I343" s="332"/>
      <c r="J343" s="332"/>
      <c r="K343" s="332"/>
      <c r="L343" s="332"/>
      <c r="M343" s="332"/>
      <c r="N343" s="332"/>
      <c r="O343" s="332"/>
      <c r="P343" s="332"/>
      <c r="Q343" s="332"/>
      <c r="R343" s="156"/>
      <c r="S343" s="332"/>
      <c r="T343" s="332"/>
      <c r="U343" s="332"/>
      <c r="V343" s="156"/>
      <c r="W343" s="332"/>
      <c r="X343" s="332"/>
      <c r="Y343" s="156"/>
      <c r="Z343" s="332"/>
      <c r="AA343" s="332"/>
      <c r="AB343" s="156"/>
      <c r="AC343" s="156"/>
      <c r="AD343" s="332"/>
      <c r="AE343" s="156"/>
      <c r="AF343" s="156"/>
      <c r="AG343" s="332"/>
      <c r="AH343" s="332"/>
      <c r="AI343" s="332"/>
      <c r="AJ343" s="332"/>
      <c r="AK343" s="332"/>
      <c r="AL343" s="332"/>
      <c r="AM343" s="332"/>
      <c r="AN343" s="332"/>
      <c r="AO343" s="332"/>
    </row>
    <row r="344" spans="1:41">
      <c r="A344" s="332"/>
      <c r="B344" s="332"/>
      <c r="C344" s="156"/>
      <c r="D344" s="332"/>
      <c r="E344" s="332"/>
      <c r="F344" s="332"/>
      <c r="G344" s="332"/>
      <c r="H344" s="332"/>
      <c r="I344" s="332"/>
      <c r="J344" s="332"/>
      <c r="K344" s="332"/>
      <c r="L344" s="332"/>
      <c r="M344" s="332"/>
      <c r="N344" s="156"/>
      <c r="O344" s="332"/>
      <c r="P344" s="332"/>
      <c r="Q344" s="332"/>
      <c r="R344" s="156"/>
      <c r="S344" s="332"/>
      <c r="T344" s="332"/>
      <c r="U344" s="332"/>
      <c r="V344" s="156"/>
      <c r="W344" s="332"/>
      <c r="X344" s="332"/>
      <c r="Y344" s="156"/>
      <c r="Z344" s="332"/>
      <c r="AA344" s="332"/>
      <c r="AB344" s="156"/>
      <c r="AC344" s="156"/>
      <c r="AD344" s="332"/>
      <c r="AE344" s="156"/>
      <c r="AF344" s="156"/>
      <c r="AG344" s="332"/>
      <c r="AH344" s="332"/>
      <c r="AI344" s="332"/>
      <c r="AJ344" s="332"/>
      <c r="AK344" s="332"/>
      <c r="AL344" s="332"/>
      <c r="AM344" s="332"/>
      <c r="AN344" s="332"/>
      <c r="AO344" s="332"/>
    </row>
    <row r="345" spans="1:41">
      <c r="A345" s="332"/>
      <c r="B345" s="332"/>
      <c r="C345" s="156"/>
      <c r="D345" s="332"/>
      <c r="E345" s="332"/>
      <c r="F345" s="332"/>
      <c r="G345" s="156"/>
      <c r="H345" s="332"/>
      <c r="I345" s="332"/>
      <c r="J345" s="332"/>
      <c r="K345" s="332"/>
      <c r="L345" s="332"/>
      <c r="M345" s="332"/>
      <c r="N345" s="156"/>
      <c r="O345" s="332"/>
      <c r="P345" s="332"/>
      <c r="Q345" s="332"/>
      <c r="R345" s="156"/>
      <c r="S345" s="332"/>
      <c r="T345" s="156"/>
      <c r="U345" s="332"/>
      <c r="V345" s="332"/>
      <c r="W345" s="332"/>
      <c r="X345" s="332"/>
      <c r="Y345" s="156"/>
      <c r="Z345" s="332"/>
      <c r="AA345" s="332"/>
      <c r="AB345" s="156"/>
      <c r="AC345" s="156"/>
      <c r="AD345" s="332"/>
      <c r="AE345" s="156"/>
      <c r="AF345" s="156"/>
      <c r="AG345" s="332"/>
      <c r="AH345" s="332"/>
      <c r="AI345" s="332"/>
      <c r="AJ345" s="332"/>
      <c r="AK345" s="332"/>
      <c r="AL345" s="332"/>
      <c r="AM345" s="332"/>
      <c r="AN345" s="332"/>
      <c r="AO345" s="332"/>
    </row>
    <row r="346" spans="1:41">
      <c r="A346" s="332"/>
      <c r="B346" s="332"/>
      <c r="C346" s="156"/>
      <c r="D346" s="332"/>
      <c r="E346" s="332"/>
      <c r="F346" s="332"/>
      <c r="G346" s="332"/>
      <c r="H346" s="332"/>
      <c r="I346" s="332"/>
      <c r="J346" s="332"/>
      <c r="K346" s="332"/>
      <c r="L346" s="332"/>
      <c r="M346" s="332"/>
      <c r="N346" s="156"/>
      <c r="O346" s="332"/>
      <c r="P346" s="332"/>
      <c r="Q346" s="332"/>
      <c r="R346" s="156"/>
      <c r="S346" s="332"/>
      <c r="T346" s="332"/>
      <c r="U346" s="332"/>
      <c r="V346" s="156"/>
      <c r="W346" s="332"/>
      <c r="X346" s="332"/>
      <c r="Y346" s="156"/>
      <c r="Z346" s="332"/>
      <c r="AA346" s="332"/>
      <c r="AB346" s="156"/>
      <c r="AC346" s="332"/>
      <c r="AD346" s="332"/>
      <c r="AE346" s="156"/>
      <c r="AF346" s="156"/>
      <c r="AG346" s="332"/>
      <c r="AH346" s="332"/>
      <c r="AI346" s="332"/>
      <c r="AJ346" s="332"/>
      <c r="AK346" s="332"/>
      <c r="AL346" s="332"/>
      <c r="AM346" s="332"/>
      <c r="AN346" s="332"/>
      <c r="AO346" s="332"/>
    </row>
    <row r="347" spans="1:41">
      <c r="A347" s="332"/>
      <c r="B347" s="332"/>
      <c r="C347" s="156"/>
      <c r="D347" s="332"/>
      <c r="E347" s="332"/>
      <c r="F347" s="332"/>
      <c r="G347" s="156"/>
      <c r="H347" s="332"/>
      <c r="I347" s="332"/>
      <c r="J347" s="332"/>
      <c r="K347" s="332"/>
      <c r="L347" s="332"/>
      <c r="M347" s="332"/>
      <c r="N347" s="156"/>
      <c r="O347" s="332"/>
      <c r="P347" s="332"/>
      <c r="Q347" s="332"/>
      <c r="R347" s="156"/>
      <c r="S347" s="332"/>
      <c r="T347" s="332"/>
      <c r="U347" s="332"/>
      <c r="V347" s="156"/>
      <c r="W347" s="332"/>
      <c r="X347" s="332"/>
      <c r="Y347" s="156"/>
      <c r="Z347" s="332"/>
      <c r="AA347" s="332"/>
      <c r="AB347" s="156"/>
      <c r="AC347" s="156"/>
      <c r="AD347" s="332"/>
      <c r="AE347" s="156"/>
      <c r="AF347" s="156"/>
      <c r="AG347" s="332"/>
      <c r="AH347" s="332"/>
      <c r="AI347" s="332"/>
      <c r="AJ347" s="332"/>
      <c r="AK347" s="332"/>
      <c r="AL347" s="332"/>
      <c r="AM347" s="332"/>
      <c r="AN347" s="332"/>
      <c r="AO347" s="332"/>
    </row>
    <row r="348" spans="1:41">
      <c r="A348" s="332"/>
      <c r="B348" s="332"/>
      <c r="C348" s="332"/>
      <c r="D348" s="332"/>
      <c r="E348" s="332"/>
      <c r="F348" s="332"/>
      <c r="G348" s="156"/>
      <c r="H348" s="332"/>
      <c r="I348" s="332"/>
      <c r="J348" s="332"/>
      <c r="K348" s="332"/>
      <c r="L348" s="332"/>
      <c r="M348" s="332"/>
      <c r="N348" s="156"/>
      <c r="O348" s="332"/>
      <c r="P348" s="332"/>
      <c r="Q348" s="332"/>
      <c r="R348" s="332"/>
      <c r="S348" s="332"/>
      <c r="T348" s="332"/>
      <c r="U348" s="332"/>
      <c r="V348" s="156"/>
      <c r="W348" s="332"/>
      <c r="X348" s="332"/>
      <c r="Y348" s="156"/>
      <c r="Z348" s="332"/>
      <c r="AA348" s="332"/>
      <c r="AB348" s="156"/>
      <c r="AC348" s="156"/>
      <c r="AD348" s="332"/>
      <c r="AE348" s="156"/>
      <c r="AF348" s="156"/>
      <c r="AG348" s="332"/>
      <c r="AH348" s="332"/>
      <c r="AI348" s="332"/>
      <c r="AJ348" s="332"/>
      <c r="AK348" s="332"/>
      <c r="AL348" s="332"/>
      <c r="AM348" s="332"/>
      <c r="AN348" s="332"/>
      <c r="AO348" s="332"/>
    </row>
    <row r="349" spans="1:41">
      <c r="A349" s="332"/>
      <c r="B349" s="332"/>
      <c r="C349" s="332"/>
      <c r="D349" s="332"/>
      <c r="E349" s="332"/>
      <c r="F349" s="332"/>
      <c r="G349" s="156"/>
      <c r="H349" s="332"/>
      <c r="I349" s="332"/>
      <c r="J349" s="332"/>
      <c r="K349" s="332"/>
      <c r="L349" s="332"/>
      <c r="M349" s="332"/>
      <c r="N349" s="156"/>
      <c r="O349" s="332"/>
      <c r="P349" s="332"/>
      <c r="Q349" s="332"/>
      <c r="R349" s="156"/>
      <c r="S349" s="332"/>
      <c r="T349" s="332"/>
      <c r="U349" s="332"/>
      <c r="V349" s="156"/>
      <c r="W349" s="332"/>
      <c r="X349" s="332"/>
      <c r="Y349" s="156"/>
      <c r="Z349" s="332"/>
      <c r="AA349" s="332"/>
      <c r="AB349" s="156"/>
      <c r="AC349" s="156"/>
      <c r="AD349" s="332"/>
      <c r="AE349" s="156"/>
      <c r="AF349" s="156"/>
      <c r="AG349" s="332"/>
      <c r="AH349" s="332"/>
      <c r="AI349" s="332"/>
      <c r="AJ349" s="332"/>
      <c r="AK349" s="332"/>
      <c r="AL349" s="332"/>
      <c r="AM349" s="332"/>
      <c r="AN349" s="332"/>
      <c r="AO349" s="332"/>
    </row>
    <row r="350" spans="1:41">
      <c r="A350" s="332"/>
      <c r="B350" s="332"/>
      <c r="C350" s="156"/>
      <c r="D350" s="332"/>
      <c r="E350" s="332"/>
      <c r="F350" s="332"/>
      <c r="G350" s="332"/>
      <c r="H350" s="332"/>
      <c r="I350" s="332"/>
      <c r="J350" s="332"/>
      <c r="K350" s="332"/>
      <c r="L350" s="332"/>
      <c r="M350" s="332"/>
      <c r="N350" s="156"/>
      <c r="O350" s="332"/>
      <c r="P350" s="332"/>
      <c r="Q350" s="332"/>
      <c r="R350" s="332"/>
      <c r="S350" s="332"/>
      <c r="T350" s="156"/>
      <c r="U350" s="332"/>
      <c r="V350" s="156"/>
      <c r="W350" s="332"/>
      <c r="X350" s="332"/>
      <c r="Y350" s="156"/>
      <c r="Z350" s="332"/>
      <c r="AA350" s="332"/>
      <c r="AB350" s="156"/>
      <c r="AC350" s="332"/>
      <c r="AD350" s="156"/>
      <c r="AE350" s="156"/>
      <c r="AF350" s="156"/>
      <c r="AG350" s="332"/>
      <c r="AH350" s="332"/>
      <c r="AI350" s="332"/>
      <c r="AJ350" s="332"/>
      <c r="AK350" s="332"/>
      <c r="AL350" s="332"/>
      <c r="AM350" s="332"/>
      <c r="AN350" s="332"/>
      <c r="AO350" s="332"/>
    </row>
    <row r="351" spans="1:41">
      <c r="A351" s="332"/>
      <c r="B351" s="332"/>
      <c r="C351" s="156"/>
      <c r="D351" s="332"/>
      <c r="E351" s="332"/>
      <c r="F351" s="332"/>
      <c r="G351" s="332"/>
      <c r="H351" s="332"/>
      <c r="I351" s="332"/>
      <c r="J351" s="332"/>
      <c r="K351" s="332"/>
      <c r="L351" s="332"/>
      <c r="M351" s="332"/>
      <c r="N351" s="156"/>
      <c r="O351" s="332"/>
      <c r="P351" s="332"/>
      <c r="Q351" s="332"/>
      <c r="R351" s="156"/>
      <c r="S351" s="332"/>
      <c r="T351" s="156"/>
      <c r="U351" s="332"/>
      <c r="V351" s="156"/>
      <c r="W351" s="332"/>
      <c r="X351" s="332"/>
      <c r="Y351" s="156"/>
      <c r="Z351" s="332"/>
      <c r="AA351" s="332"/>
      <c r="AB351" s="156"/>
      <c r="AC351" s="156"/>
      <c r="AD351" s="156"/>
      <c r="AE351" s="156"/>
      <c r="AF351" s="156"/>
      <c r="AG351" s="332"/>
      <c r="AH351" s="332"/>
      <c r="AI351" s="332"/>
      <c r="AJ351" s="332"/>
      <c r="AK351" s="332"/>
      <c r="AL351" s="332"/>
      <c r="AM351" s="332"/>
      <c r="AN351" s="332"/>
      <c r="AO351" s="332"/>
    </row>
    <row r="352" spans="1:41">
      <c r="A352" s="332"/>
      <c r="B352" s="332"/>
      <c r="C352" s="332"/>
      <c r="D352" s="332"/>
      <c r="E352" s="332"/>
      <c r="F352" s="332"/>
      <c r="G352" s="332"/>
      <c r="H352" s="332"/>
      <c r="I352" s="332"/>
      <c r="J352" s="332"/>
      <c r="K352" s="332"/>
      <c r="L352" s="332"/>
      <c r="M352" s="332"/>
      <c r="N352" s="156"/>
      <c r="O352" s="332"/>
      <c r="P352" s="332"/>
      <c r="Q352" s="332"/>
      <c r="R352" s="332"/>
      <c r="S352" s="332"/>
      <c r="T352" s="156"/>
      <c r="U352" s="332"/>
      <c r="V352" s="156"/>
      <c r="W352" s="332"/>
      <c r="X352" s="332"/>
      <c r="Y352" s="156"/>
      <c r="Z352" s="332"/>
      <c r="AA352" s="332"/>
      <c r="AB352" s="156"/>
      <c r="AC352" s="156"/>
      <c r="AD352" s="156"/>
      <c r="AE352" s="156"/>
      <c r="AF352" s="156"/>
      <c r="AG352" s="332"/>
      <c r="AH352" s="332"/>
      <c r="AI352" s="332"/>
      <c r="AJ352" s="332"/>
      <c r="AK352" s="332"/>
      <c r="AL352" s="332"/>
      <c r="AM352" s="332"/>
      <c r="AN352" s="332"/>
      <c r="AO352" s="332"/>
    </row>
    <row r="353" spans="1:41">
      <c r="A353" s="332"/>
      <c r="B353" s="332"/>
      <c r="C353" s="156"/>
      <c r="D353" s="332"/>
      <c r="E353" s="332"/>
      <c r="F353" s="332"/>
      <c r="G353" s="332"/>
      <c r="H353" s="332"/>
      <c r="I353" s="332"/>
      <c r="J353" s="332"/>
      <c r="K353" s="332"/>
      <c r="L353" s="332"/>
      <c r="M353" s="332"/>
      <c r="N353" s="156"/>
      <c r="O353" s="332"/>
      <c r="P353" s="332"/>
      <c r="Q353" s="332"/>
      <c r="R353" s="156"/>
      <c r="S353" s="332"/>
      <c r="T353" s="156"/>
      <c r="U353" s="332"/>
      <c r="V353" s="156"/>
      <c r="W353" s="332"/>
      <c r="X353" s="332"/>
      <c r="Y353" s="156"/>
      <c r="Z353" s="332"/>
      <c r="AA353" s="332"/>
      <c r="AB353" s="156"/>
      <c r="AC353" s="156"/>
      <c r="AD353" s="156"/>
      <c r="AE353" s="156"/>
      <c r="AF353" s="156"/>
      <c r="AG353" s="332"/>
      <c r="AH353" s="332"/>
      <c r="AI353" s="332"/>
      <c r="AJ353" s="332"/>
      <c r="AK353" s="332"/>
      <c r="AL353" s="332"/>
      <c r="AM353" s="332"/>
      <c r="AN353" s="332"/>
      <c r="AO353" s="332"/>
    </row>
    <row r="354" spans="1:41">
      <c r="A354" s="332"/>
      <c r="B354" s="332"/>
      <c r="C354" s="156"/>
      <c r="D354" s="332"/>
      <c r="E354" s="332"/>
      <c r="F354" s="332"/>
      <c r="G354" s="156"/>
      <c r="H354" s="332"/>
      <c r="I354" s="332"/>
      <c r="J354" s="332"/>
      <c r="K354" s="332"/>
      <c r="L354" s="332"/>
      <c r="M354" s="332"/>
      <c r="N354" s="156"/>
      <c r="O354" s="332"/>
      <c r="P354" s="332"/>
      <c r="Q354" s="332"/>
      <c r="R354" s="156"/>
      <c r="S354" s="332"/>
      <c r="T354" s="156"/>
      <c r="U354" s="332"/>
      <c r="V354" s="156"/>
      <c r="W354" s="332"/>
      <c r="X354" s="332"/>
      <c r="Y354" s="156"/>
      <c r="Z354" s="332"/>
      <c r="AA354" s="332"/>
      <c r="AB354" s="156"/>
      <c r="AC354" s="332"/>
      <c r="AD354" s="156"/>
      <c r="AE354" s="156"/>
      <c r="AF354" s="156"/>
      <c r="AG354" s="332"/>
      <c r="AH354" s="332"/>
      <c r="AI354" s="332"/>
      <c r="AJ354" s="332"/>
      <c r="AK354" s="332"/>
      <c r="AL354" s="332"/>
      <c r="AM354" s="332"/>
      <c r="AN354" s="332"/>
      <c r="AO354" s="332"/>
    </row>
    <row r="355" spans="1:41">
      <c r="A355" s="332"/>
      <c r="B355" s="332"/>
      <c r="C355" s="156"/>
      <c r="D355" s="332"/>
      <c r="E355" s="332"/>
      <c r="F355" s="332"/>
      <c r="G355" s="332"/>
      <c r="H355" s="332"/>
      <c r="I355" s="332"/>
      <c r="J355" s="332"/>
      <c r="K355" s="332"/>
      <c r="L355" s="332"/>
      <c r="M355" s="332"/>
      <c r="N355" s="156"/>
      <c r="O355" s="332"/>
      <c r="P355" s="332"/>
      <c r="Q355" s="332"/>
      <c r="R355" s="332"/>
      <c r="S355" s="332"/>
      <c r="T355" s="156"/>
      <c r="U355" s="332"/>
      <c r="V355" s="156"/>
      <c r="W355" s="332"/>
      <c r="X355" s="332"/>
      <c r="Y355" s="156"/>
      <c r="Z355" s="332"/>
      <c r="AA355" s="332"/>
      <c r="AB355" s="156"/>
      <c r="AC355" s="156"/>
      <c r="AD355" s="156"/>
      <c r="AE355" s="156"/>
      <c r="AF355" s="156"/>
      <c r="AG355" s="332"/>
      <c r="AH355" s="332"/>
      <c r="AI355" s="332"/>
      <c r="AJ355" s="332"/>
      <c r="AK355" s="332"/>
      <c r="AL355" s="332"/>
      <c r="AM355" s="332"/>
      <c r="AN355" s="332"/>
      <c r="AO355" s="332"/>
    </row>
    <row r="356" spans="1:41">
      <c r="A356" s="332"/>
      <c r="B356" s="332"/>
      <c r="C356" s="332"/>
      <c r="D356" s="332"/>
      <c r="E356" s="332"/>
      <c r="F356" s="332"/>
      <c r="G356" s="156"/>
      <c r="H356" s="332"/>
      <c r="I356" s="332"/>
      <c r="J356" s="332"/>
      <c r="K356" s="332"/>
      <c r="L356" s="332"/>
      <c r="M356" s="332"/>
      <c r="N356" s="156"/>
      <c r="O356" s="332"/>
      <c r="P356" s="332"/>
      <c r="Q356" s="332"/>
      <c r="R356" s="332"/>
      <c r="S356" s="332"/>
      <c r="T356" s="332"/>
      <c r="U356" s="332"/>
      <c r="V356" s="156"/>
      <c r="W356" s="332"/>
      <c r="X356" s="332"/>
      <c r="Y356" s="156"/>
      <c r="Z356" s="332"/>
      <c r="AA356" s="332"/>
      <c r="AB356" s="156"/>
      <c r="AC356" s="156"/>
      <c r="AD356" s="332"/>
      <c r="AE356" s="156"/>
      <c r="AF356" s="156"/>
      <c r="AG356" s="332"/>
      <c r="AH356" s="332"/>
      <c r="AI356" s="332"/>
      <c r="AJ356" s="332"/>
      <c r="AK356" s="332"/>
      <c r="AL356" s="332"/>
      <c r="AM356" s="332"/>
      <c r="AN356" s="332"/>
      <c r="AO356" s="332"/>
    </row>
    <row r="357" spans="1:41">
      <c r="A357" s="332"/>
      <c r="B357" s="332"/>
      <c r="C357" s="156"/>
      <c r="D357" s="332"/>
      <c r="E357" s="332"/>
      <c r="F357" s="332"/>
      <c r="G357" s="156"/>
      <c r="H357" s="332"/>
      <c r="I357" s="332"/>
      <c r="J357" s="332"/>
      <c r="K357" s="332"/>
      <c r="L357" s="332"/>
      <c r="M357" s="332"/>
      <c r="N357" s="156"/>
      <c r="O357" s="332"/>
      <c r="P357" s="332"/>
      <c r="Q357" s="332"/>
      <c r="R357" s="156"/>
      <c r="S357" s="332"/>
      <c r="T357" s="156"/>
      <c r="U357" s="332"/>
      <c r="V357" s="156"/>
      <c r="W357" s="332"/>
      <c r="X357" s="332"/>
      <c r="Y357" s="156"/>
      <c r="Z357" s="332"/>
      <c r="AA357" s="332"/>
      <c r="AB357" s="156"/>
      <c r="AC357" s="332"/>
      <c r="AD357" s="156"/>
      <c r="AE357" s="156"/>
      <c r="AF357" s="156"/>
      <c r="AG357" s="332"/>
      <c r="AH357" s="332"/>
      <c r="AI357" s="332"/>
      <c r="AJ357" s="332"/>
      <c r="AK357" s="332"/>
      <c r="AL357" s="332"/>
      <c r="AM357" s="332"/>
      <c r="AN357" s="332"/>
      <c r="AO357" s="332"/>
    </row>
    <row r="358" spans="1:41">
      <c r="A358" s="332"/>
      <c r="B358" s="332"/>
      <c r="C358" s="156"/>
      <c r="D358" s="332"/>
      <c r="E358" s="332"/>
      <c r="F358" s="332"/>
      <c r="G358" s="156"/>
      <c r="H358" s="332"/>
      <c r="I358" s="332"/>
      <c r="J358" s="332"/>
      <c r="K358" s="332"/>
      <c r="L358" s="332"/>
      <c r="M358" s="332"/>
      <c r="N358" s="156"/>
      <c r="O358" s="332"/>
      <c r="P358" s="332"/>
      <c r="Q358" s="332"/>
      <c r="R358" s="332"/>
      <c r="S358" s="332"/>
      <c r="T358" s="156"/>
      <c r="U358" s="332"/>
      <c r="V358" s="156"/>
      <c r="W358" s="332"/>
      <c r="X358" s="332"/>
      <c r="Y358" s="156"/>
      <c r="Z358" s="332"/>
      <c r="AA358" s="332"/>
      <c r="AB358" s="332"/>
      <c r="AC358" s="156"/>
      <c r="AD358" s="156"/>
      <c r="AE358" s="156"/>
      <c r="AF358" s="156"/>
      <c r="AG358" s="332"/>
      <c r="AH358" s="332"/>
      <c r="AI358" s="332"/>
      <c r="AJ358" s="332"/>
      <c r="AK358" s="332"/>
      <c r="AL358" s="332"/>
      <c r="AM358" s="332"/>
      <c r="AN358" s="332"/>
      <c r="AO358" s="332"/>
    </row>
    <row r="359" spans="1:41">
      <c r="A359" s="332"/>
      <c r="B359" s="332"/>
      <c r="C359" s="332"/>
      <c r="D359" s="332"/>
      <c r="E359" s="332"/>
      <c r="F359" s="332"/>
      <c r="G359" s="332"/>
      <c r="H359" s="332"/>
      <c r="I359" s="332"/>
      <c r="J359" s="332"/>
      <c r="K359" s="332"/>
      <c r="L359" s="332"/>
      <c r="M359" s="332"/>
      <c r="N359" s="156"/>
      <c r="O359" s="332"/>
      <c r="P359" s="332"/>
      <c r="Q359" s="332"/>
      <c r="R359" s="332"/>
      <c r="S359" s="332"/>
      <c r="T359" s="156"/>
      <c r="U359" s="332"/>
      <c r="V359" s="156"/>
      <c r="W359" s="332"/>
      <c r="X359" s="332"/>
      <c r="Y359" s="156"/>
      <c r="Z359" s="332"/>
      <c r="AA359" s="332"/>
      <c r="AB359" s="156"/>
      <c r="AC359" s="156"/>
      <c r="AD359" s="156"/>
      <c r="AE359" s="156"/>
      <c r="AF359" s="156"/>
      <c r="AG359" s="332"/>
      <c r="AH359" s="332"/>
      <c r="AI359" s="332"/>
      <c r="AJ359" s="332"/>
      <c r="AK359" s="332"/>
      <c r="AL359" s="332"/>
      <c r="AM359" s="332"/>
      <c r="AN359" s="332"/>
      <c r="AO359" s="332"/>
    </row>
    <row r="360" spans="1:41">
      <c r="A360" s="332"/>
      <c r="B360" s="332"/>
      <c r="C360" s="156"/>
      <c r="D360" s="332"/>
      <c r="E360" s="332"/>
      <c r="F360" s="332"/>
      <c r="G360" s="156"/>
      <c r="H360" s="332"/>
      <c r="I360" s="332"/>
      <c r="J360" s="332"/>
      <c r="K360" s="332"/>
      <c r="L360" s="332"/>
      <c r="M360" s="332"/>
      <c r="N360" s="156"/>
      <c r="O360" s="332"/>
      <c r="P360" s="332"/>
      <c r="Q360" s="332"/>
      <c r="R360" s="156"/>
      <c r="S360" s="332"/>
      <c r="T360" s="156"/>
      <c r="U360" s="332"/>
      <c r="V360" s="156"/>
      <c r="W360" s="332"/>
      <c r="X360" s="332"/>
      <c r="Y360" s="156"/>
      <c r="Z360" s="332"/>
      <c r="AA360" s="332"/>
      <c r="AB360" s="156"/>
      <c r="AC360" s="332"/>
      <c r="AD360" s="156"/>
      <c r="AE360" s="156"/>
      <c r="AF360" s="156"/>
      <c r="AG360" s="332"/>
      <c r="AH360" s="332"/>
      <c r="AI360" s="332"/>
      <c r="AJ360" s="332"/>
      <c r="AK360" s="332"/>
      <c r="AL360" s="332"/>
      <c r="AM360" s="332"/>
      <c r="AN360" s="332"/>
      <c r="AO360" s="332"/>
    </row>
    <row r="361" spans="1:41">
      <c r="A361" s="332"/>
      <c r="B361" s="332"/>
      <c r="C361" s="156"/>
      <c r="D361" s="332"/>
      <c r="E361" s="332"/>
      <c r="F361" s="332"/>
      <c r="G361" s="332"/>
      <c r="H361" s="332"/>
      <c r="I361" s="332"/>
      <c r="J361" s="332"/>
      <c r="K361" s="332"/>
      <c r="L361" s="332"/>
      <c r="M361" s="332"/>
      <c r="N361" s="156"/>
      <c r="O361" s="332"/>
      <c r="P361" s="332"/>
      <c r="Q361" s="332"/>
      <c r="R361" s="332"/>
      <c r="S361" s="332"/>
      <c r="T361" s="156"/>
      <c r="U361" s="332"/>
      <c r="V361" s="156"/>
      <c r="W361" s="332"/>
      <c r="X361" s="332"/>
      <c r="Y361" s="156"/>
      <c r="Z361" s="332"/>
      <c r="AA361" s="332"/>
      <c r="AB361" s="156"/>
      <c r="AC361" s="156"/>
      <c r="AD361" s="156"/>
      <c r="AE361" s="156"/>
      <c r="AF361" s="156"/>
      <c r="AG361" s="332"/>
      <c r="AH361" s="332"/>
      <c r="AI361" s="332"/>
      <c r="AJ361" s="332"/>
      <c r="AK361" s="332"/>
      <c r="AL361" s="332"/>
      <c r="AM361" s="332"/>
      <c r="AN361" s="332"/>
      <c r="AO361" s="332"/>
    </row>
    <row r="362" spans="1:41">
      <c r="A362" s="332"/>
      <c r="B362" s="332"/>
      <c r="C362" s="156"/>
      <c r="D362" s="332"/>
      <c r="E362" s="332"/>
      <c r="F362" s="332"/>
      <c r="G362" s="332"/>
      <c r="H362" s="332"/>
      <c r="I362" s="332"/>
      <c r="J362" s="332"/>
      <c r="K362" s="332"/>
      <c r="L362" s="332"/>
      <c r="M362" s="332"/>
      <c r="N362" s="156"/>
      <c r="O362" s="332"/>
      <c r="P362" s="332"/>
      <c r="Q362" s="332"/>
      <c r="R362" s="332"/>
      <c r="S362" s="332"/>
      <c r="T362" s="156"/>
      <c r="U362" s="332"/>
      <c r="V362" s="156"/>
      <c r="W362" s="332"/>
      <c r="X362" s="332"/>
      <c r="Y362" s="156"/>
      <c r="Z362" s="332"/>
      <c r="AA362" s="332"/>
      <c r="AB362" s="332"/>
      <c r="AC362" s="332"/>
      <c r="AD362" s="156"/>
      <c r="AE362" s="156"/>
      <c r="AF362" s="156"/>
      <c r="AG362" s="332"/>
      <c r="AH362" s="332"/>
      <c r="AI362" s="332"/>
      <c r="AJ362" s="332"/>
      <c r="AK362" s="332"/>
      <c r="AL362" s="332"/>
      <c r="AM362" s="332"/>
      <c r="AN362" s="332"/>
      <c r="AO362" s="332"/>
    </row>
    <row r="363" spans="1:41">
      <c r="A363" s="332"/>
      <c r="B363" s="332"/>
      <c r="C363" s="156"/>
      <c r="D363" s="332"/>
      <c r="E363" s="332"/>
      <c r="F363" s="332"/>
      <c r="G363" s="156"/>
      <c r="H363" s="332"/>
      <c r="I363" s="332"/>
      <c r="J363" s="332"/>
      <c r="K363" s="332"/>
      <c r="L363" s="332"/>
      <c r="M363" s="332"/>
      <c r="N363" s="156"/>
      <c r="O363" s="332"/>
      <c r="P363" s="332"/>
      <c r="Q363" s="332"/>
      <c r="R363" s="156"/>
      <c r="S363" s="332"/>
      <c r="T363" s="156"/>
      <c r="U363" s="332"/>
      <c r="V363" s="156"/>
      <c r="W363" s="332"/>
      <c r="X363" s="332"/>
      <c r="Y363" s="156"/>
      <c r="Z363" s="332"/>
      <c r="AA363" s="332"/>
      <c r="AB363" s="156"/>
      <c r="AC363" s="332"/>
      <c r="AD363" s="156"/>
      <c r="AE363" s="156"/>
      <c r="AF363" s="156"/>
      <c r="AG363" s="332"/>
      <c r="AH363" s="332"/>
      <c r="AI363" s="332"/>
      <c r="AJ363" s="332"/>
      <c r="AK363" s="332"/>
      <c r="AL363" s="332"/>
      <c r="AM363" s="332"/>
      <c r="AN363" s="332"/>
      <c r="AO363" s="332"/>
    </row>
    <row r="364" spans="1:41">
      <c r="A364" s="332"/>
      <c r="B364" s="332"/>
      <c r="C364" s="156"/>
      <c r="D364" s="332"/>
      <c r="E364" s="332"/>
      <c r="F364" s="332"/>
      <c r="G364" s="156"/>
      <c r="H364" s="332"/>
      <c r="I364" s="332"/>
      <c r="J364" s="332"/>
      <c r="K364" s="332"/>
      <c r="L364" s="332"/>
      <c r="M364" s="332"/>
      <c r="N364" s="156"/>
      <c r="O364" s="332"/>
      <c r="P364" s="332"/>
      <c r="Q364" s="332"/>
      <c r="R364" s="332"/>
      <c r="S364" s="332"/>
      <c r="T364" s="156"/>
      <c r="U364" s="332"/>
      <c r="V364" s="156"/>
      <c r="W364" s="332"/>
      <c r="X364" s="332"/>
      <c r="Y364" s="156"/>
      <c r="Z364" s="332"/>
      <c r="AA364" s="332"/>
      <c r="AB364" s="156"/>
      <c r="AC364" s="156"/>
      <c r="AD364" s="156"/>
      <c r="AE364" s="156"/>
      <c r="AF364" s="156"/>
      <c r="AG364" s="332"/>
      <c r="AH364" s="332"/>
      <c r="AI364" s="332"/>
      <c r="AJ364" s="332"/>
      <c r="AK364" s="332"/>
      <c r="AL364" s="332"/>
      <c r="AM364" s="332"/>
      <c r="AN364" s="332"/>
      <c r="AO364" s="332"/>
    </row>
    <row r="365" spans="1:41">
      <c r="A365" s="332"/>
      <c r="B365" s="332"/>
      <c r="C365" s="156"/>
      <c r="D365" s="332"/>
      <c r="E365" s="332"/>
      <c r="F365" s="332"/>
      <c r="G365" s="156"/>
      <c r="H365" s="332"/>
      <c r="I365" s="332"/>
      <c r="J365" s="332"/>
      <c r="K365" s="332"/>
      <c r="L365" s="332"/>
      <c r="M365" s="332"/>
      <c r="N365" s="156"/>
      <c r="O365" s="332"/>
      <c r="P365" s="332"/>
      <c r="Q365" s="332"/>
      <c r="R365" s="156"/>
      <c r="S365" s="332"/>
      <c r="T365" s="156"/>
      <c r="U365" s="332"/>
      <c r="V365" s="156"/>
      <c r="W365" s="332"/>
      <c r="X365" s="332"/>
      <c r="Y365" s="156"/>
      <c r="Z365" s="332"/>
      <c r="AA365" s="332"/>
      <c r="AB365" s="156"/>
      <c r="AC365" s="332"/>
      <c r="AD365" s="156"/>
      <c r="AE365" s="156"/>
      <c r="AF365" s="156"/>
      <c r="AG365" s="332"/>
      <c r="AH365" s="332"/>
      <c r="AI365" s="332"/>
      <c r="AJ365" s="332"/>
      <c r="AK365" s="332"/>
      <c r="AL365" s="332"/>
      <c r="AM365" s="332"/>
      <c r="AN365" s="332"/>
      <c r="AO365" s="332"/>
    </row>
    <row r="366" spans="1:41">
      <c r="A366" s="332"/>
      <c r="B366" s="332"/>
      <c r="C366" s="332"/>
      <c r="D366" s="332"/>
      <c r="E366" s="332"/>
      <c r="F366" s="332"/>
      <c r="G366" s="156"/>
      <c r="H366" s="332"/>
      <c r="I366" s="332"/>
      <c r="J366" s="332"/>
      <c r="K366" s="332"/>
      <c r="L366" s="332"/>
      <c r="M366" s="332"/>
      <c r="N366" s="156"/>
      <c r="O366" s="332"/>
      <c r="P366" s="332"/>
      <c r="Q366" s="332"/>
      <c r="R366" s="332"/>
      <c r="S366" s="332"/>
      <c r="T366" s="156"/>
      <c r="U366" s="332"/>
      <c r="V366" s="156"/>
      <c r="W366" s="332"/>
      <c r="X366" s="332"/>
      <c r="Y366" s="156"/>
      <c r="Z366" s="332"/>
      <c r="AA366" s="332"/>
      <c r="AB366" s="156"/>
      <c r="AC366" s="332"/>
      <c r="AD366" s="156"/>
      <c r="AE366" s="156"/>
      <c r="AF366" s="156"/>
      <c r="AG366" s="332"/>
      <c r="AH366" s="332"/>
      <c r="AI366" s="332"/>
      <c r="AJ366" s="332"/>
      <c r="AK366" s="332"/>
      <c r="AL366" s="332"/>
      <c r="AM366" s="332"/>
      <c r="AN366" s="332"/>
      <c r="AO366" s="332"/>
    </row>
    <row r="367" spans="1:41">
      <c r="A367" s="332"/>
      <c r="B367" s="332"/>
      <c r="C367" s="156"/>
      <c r="D367" s="332"/>
      <c r="E367" s="332"/>
      <c r="F367" s="332"/>
      <c r="G367" s="156"/>
      <c r="H367" s="332"/>
      <c r="I367" s="332"/>
      <c r="J367" s="332"/>
      <c r="K367" s="332"/>
      <c r="L367" s="332"/>
      <c r="M367" s="332"/>
      <c r="N367" s="156"/>
      <c r="O367" s="332"/>
      <c r="P367" s="332"/>
      <c r="Q367" s="332"/>
      <c r="R367" s="156"/>
      <c r="S367" s="332"/>
      <c r="T367" s="156"/>
      <c r="U367" s="332"/>
      <c r="V367" s="156"/>
      <c r="W367" s="332"/>
      <c r="X367" s="332"/>
      <c r="Y367" s="156"/>
      <c r="Z367" s="332"/>
      <c r="AA367" s="332"/>
      <c r="AB367" s="156"/>
      <c r="AC367" s="156"/>
      <c r="AD367" s="156"/>
      <c r="AE367" s="156"/>
      <c r="AF367" s="156"/>
      <c r="AG367" s="332"/>
      <c r="AH367" s="332"/>
      <c r="AI367" s="332"/>
      <c r="AJ367" s="332"/>
      <c r="AK367" s="332"/>
      <c r="AL367" s="332"/>
      <c r="AM367" s="332"/>
      <c r="AN367" s="332"/>
      <c r="AO367" s="332"/>
    </row>
    <row r="368" spans="1:41">
      <c r="A368" s="332"/>
      <c r="B368" s="332"/>
      <c r="C368" s="156"/>
      <c r="D368" s="332"/>
      <c r="E368" s="332"/>
      <c r="F368" s="332"/>
      <c r="G368" s="156"/>
      <c r="H368" s="332"/>
      <c r="I368" s="332"/>
      <c r="J368" s="332"/>
      <c r="K368" s="332"/>
      <c r="L368" s="332"/>
      <c r="M368" s="332"/>
      <c r="N368" s="156"/>
      <c r="O368" s="332"/>
      <c r="P368" s="332"/>
      <c r="Q368" s="332"/>
      <c r="R368" s="156"/>
      <c r="S368" s="332"/>
      <c r="T368" s="156"/>
      <c r="U368" s="332"/>
      <c r="V368" s="156"/>
      <c r="W368" s="332"/>
      <c r="X368" s="332"/>
      <c r="Y368" s="156"/>
      <c r="Z368" s="332"/>
      <c r="AA368" s="332"/>
      <c r="AB368" s="156"/>
      <c r="AC368" s="332"/>
      <c r="AD368" s="156"/>
      <c r="AE368" s="156"/>
      <c r="AF368" s="156"/>
      <c r="AG368" s="332"/>
      <c r="AH368" s="332"/>
      <c r="AI368" s="332"/>
      <c r="AJ368" s="332"/>
      <c r="AK368" s="332"/>
      <c r="AL368" s="332"/>
      <c r="AM368" s="332"/>
      <c r="AN368" s="332"/>
      <c r="AO368" s="332"/>
    </row>
    <row r="369" spans="1:41">
      <c r="A369" s="332"/>
      <c r="B369" s="332"/>
      <c r="C369" s="156"/>
      <c r="D369" s="332"/>
      <c r="E369" s="332"/>
      <c r="F369" s="332"/>
      <c r="G369" s="156"/>
      <c r="H369" s="332"/>
      <c r="I369" s="332"/>
      <c r="J369" s="332"/>
      <c r="K369" s="332"/>
      <c r="L369" s="332"/>
      <c r="M369" s="332"/>
      <c r="N369" s="156"/>
      <c r="O369" s="332"/>
      <c r="P369" s="332"/>
      <c r="Q369" s="332"/>
      <c r="R369" s="332"/>
      <c r="S369" s="332"/>
      <c r="T369" s="156"/>
      <c r="U369" s="332"/>
      <c r="V369" s="156"/>
      <c r="W369" s="332"/>
      <c r="X369" s="332"/>
      <c r="Y369" s="156"/>
      <c r="Z369" s="332"/>
      <c r="AA369" s="332"/>
      <c r="AB369" s="156"/>
      <c r="AC369" s="156"/>
      <c r="AD369" s="156"/>
      <c r="AE369" s="156"/>
      <c r="AF369" s="156"/>
      <c r="AG369" s="332"/>
      <c r="AH369" s="332"/>
      <c r="AI369" s="332"/>
      <c r="AJ369" s="332"/>
      <c r="AK369" s="332"/>
      <c r="AL369" s="332"/>
      <c r="AM369" s="332"/>
      <c r="AN369" s="332"/>
      <c r="AO369" s="332"/>
    </row>
    <row r="370" spans="1:41">
      <c r="A370" s="332"/>
      <c r="B370" s="332"/>
      <c r="C370" s="156"/>
      <c r="D370" s="332"/>
      <c r="E370" s="332"/>
      <c r="F370" s="332"/>
      <c r="G370" s="156"/>
      <c r="H370" s="332"/>
      <c r="I370" s="332"/>
      <c r="J370" s="332"/>
      <c r="K370" s="332"/>
      <c r="L370" s="332"/>
      <c r="M370" s="332"/>
      <c r="N370" s="156"/>
      <c r="O370" s="332"/>
      <c r="P370" s="332"/>
      <c r="Q370" s="332"/>
      <c r="R370" s="156"/>
      <c r="S370" s="332"/>
      <c r="T370" s="156"/>
      <c r="U370" s="332"/>
      <c r="V370" s="156"/>
      <c r="W370" s="332"/>
      <c r="X370" s="332"/>
      <c r="Y370" s="156"/>
      <c r="Z370" s="332"/>
      <c r="AA370" s="332"/>
      <c r="AB370" s="156"/>
      <c r="AC370" s="156"/>
      <c r="AD370" s="156"/>
      <c r="AE370" s="156"/>
      <c r="AF370" s="156"/>
      <c r="AG370" s="332"/>
      <c r="AH370" s="332"/>
      <c r="AI370" s="332"/>
      <c r="AJ370" s="332"/>
      <c r="AK370" s="332"/>
      <c r="AL370" s="332"/>
      <c r="AM370" s="332"/>
      <c r="AN370" s="332"/>
      <c r="AO370" s="332"/>
    </row>
    <row r="371" spans="1:41">
      <c r="A371" s="332"/>
      <c r="B371" s="332"/>
      <c r="C371" s="156"/>
      <c r="D371" s="332"/>
      <c r="E371" s="332"/>
      <c r="F371" s="332"/>
      <c r="G371" s="156"/>
      <c r="H371" s="332"/>
      <c r="I371" s="332"/>
      <c r="J371" s="332"/>
      <c r="K371" s="332"/>
      <c r="L371" s="332"/>
      <c r="M371" s="332"/>
      <c r="N371" s="156"/>
      <c r="O371" s="332"/>
      <c r="P371" s="332"/>
      <c r="Q371" s="332"/>
      <c r="R371" s="332"/>
      <c r="S371" s="332"/>
      <c r="T371" s="156"/>
      <c r="U371" s="332"/>
      <c r="V371" s="156"/>
      <c r="W371" s="332"/>
      <c r="X371" s="332"/>
      <c r="Y371" s="156"/>
      <c r="Z371" s="332"/>
      <c r="AA371" s="332"/>
      <c r="AB371" s="156"/>
      <c r="AC371" s="332"/>
      <c r="AD371" s="156"/>
      <c r="AE371" s="156"/>
      <c r="AF371" s="156"/>
      <c r="AG371" s="332"/>
      <c r="AH371" s="332"/>
      <c r="AI371" s="332"/>
      <c r="AJ371" s="332"/>
      <c r="AK371" s="332"/>
      <c r="AL371" s="332"/>
      <c r="AM371" s="332"/>
      <c r="AN371" s="332"/>
      <c r="AO371" s="332"/>
    </row>
    <row r="372" spans="1:41">
      <c r="A372" s="332"/>
      <c r="B372" s="332"/>
      <c r="C372" s="156"/>
      <c r="D372" s="332"/>
      <c r="E372" s="332"/>
      <c r="F372" s="332"/>
      <c r="G372" s="332"/>
      <c r="H372" s="332"/>
      <c r="I372" s="332"/>
      <c r="J372" s="332"/>
      <c r="K372" s="332"/>
      <c r="L372" s="332"/>
      <c r="M372" s="332"/>
      <c r="N372" s="156"/>
      <c r="O372" s="332"/>
      <c r="P372" s="332"/>
      <c r="Q372" s="332"/>
      <c r="R372" s="332"/>
      <c r="S372" s="332"/>
      <c r="T372" s="156"/>
      <c r="U372" s="332"/>
      <c r="V372" s="156"/>
      <c r="W372" s="332"/>
      <c r="X372" s="332"/>
      <c r="Y372" s="156"/>
      <c r="Z372" s="332"/>
      <c r="AA372" s="332"/>
      <c r="AB372" s="156"/>
      <c r="AC372" s="156"/>
      <c r="AD372" s="156"/>
      <c r="AE372" s="156"/>
      <c r="AF372" s="156"/>
      <c r="AG372" s="332"/>
      <c r="AH372" s="332"/>
      <c r="AI372" s="332"/>
      <c r="AJ372" s="332"/>
      <c r="AK372" s="332"/>
      <c r="AL372" s="332"/>
      <c r="AM372" s="332"/>
      <c r="AN372" s="332"/>
      <c r="AO372" s="332"/>
    </row>
    <row r="373" spans="1:41">
      <c r="A373" s="332"/>
      <c r="B373" s="332"/>
      <c r="C373" s="156"/>
      <c r="D373" s="332"/>
      <c r="E373" s="332"/>
      <c r="F373" s="332"/>
      <c r="G373" s="156"/>
      <c r="H373" s="332"/>
      <c r="I373" s="332"/>
      <c r="J373" s="332"/>
      <c r="K373" s="332"/>
      <c r="L373" s="332"/>
      <c r="M373" s="332"/>
      <c r="N373" s="156"/>
      <c r="O373" s="332"/>
      <c r="P373" s="332"/>
      <c r="Q373" s="332"/>
      <c r="R373" s="156"/>
      <c r="S373" s="332"/>
      <c r="T373" s="156"/>
      <c r="U373" s="332"/>
      <c r="V373" s="156"/>
      <c r="W373" s="332"/>
      <c r="X373" s="332"/>
      <c r="Y373" s="156"/>
      <c r="Z373" s="332"/>
      <c r="AA373" s="332"/>
      <c r="AB373" s="156"/>
      <c r="AC373" s="156"/>
      <c r="AD373" s="156"/>
      <c r="AE373" s="156"/>
      <c r="AF373" s="156"/>
      <c r="AG373" s="332"/>
      <c r="AH373" s="332"/>
      <c r="AI373" s="332"/>
      <c r="AJ373" s="332"/>
      <c r="AK373" s="332"/>
      <c r="AL373" s="332"/>
      <c r="AM373" s="332"/>
      <c r="AN373" s="332"/>
      <c r="AO373" s="332"/>
    </row>
    <row r="374" spans="1:41">
      <c r="A374" s="332"/>
      <c r="B374" s="332"/>
      <c r="C374" s="156"/>
      <c r="D374" s="332"/>
      <c r="E374" s="332"/>
      <c r="F374" s="332"/>
      <c r="G374" s="332"/>
      <c r="H374" s="332"/>
      <c r="I374" s="332"/>
      <c r="J374" s="332"/>
      <c r="K374" s="332"/>
      <c r="L374" s="332"/>
      <c r="M374" s="332"/>
      <c r="N374" s="156"/>
      <c r="O374" s="332"/>
      <c r="P374" s="332"/>
      <c r="Q374" s="332"/>
      <c r="R374" s="156"/>
      <c r="S374" s="332"/>
      <c r="T374" s="156"/>
      <c r="U374" s="332"/>
      <c r="V374" s="156"/>
      <c r="W374" s="332"/>
      <c r="X374" s="332"/>
      <c r="Y374" s="156"/>
      <c r="Z374" s="332"/>
      <c r="AA374" s="332"/>
      <c r="AB374" s="332"/>
      <c r="AC374" s="332"/>
      <c r="AD374" s="156"/>
      <c r="AE374" s="156"/>
      <c r="AF374" s="156"/>
      <c r="AG374" s="332"/>
      <c r="AH374" s="332"/>
      <c r="AI374" s="332"/>
      <c r="AJ374" s="332"/>
      <c r="AK374" s="332"/>
      <c r="AL374" s="332"/>
      <c r="AM374" s="332"/>
      <c r="AN374" s="332"/>
      <c r="AO374" s="332"/>
    </row>
    <row r="375" spans="1:41">
      <c r="A375" s="332"/>
      <c r="B375" s="332"/>
      <c r="C375" s="156"/>
      <c r="D375" s="332"/>
      <c r="E375" s="332"/>
      <c r="F375" s="332"/>
      <c r="G375" s="332"/>
      <c r="H375" s="332"/>
      <c r="I375" s="332"/>
      <c r="J375" s="332"/>
      <c r="K375" s="332"/>
      <c r="L375" s="332"/>
      <c r="M375" s="332"/>
      <c r="N375" s="156"/>
      <c r="O375" s="332"/>
      <c r="P375" s="332"/>
      <c r="Q375" s="332"/>
      <c r="R375" s="332"/>
      <c r="S375" s="332"/>
      <c r="T375" s="156"/>
      <c r="U375" s="332"/>
      <c r="V375" s="156"/>
      <c r="W375" s="332"/>
      <c r="X375" s="332"/>
      <c r="Y375" s="156"/>
      <c r="Z375" s="332"/>
      <c r="AA375" s="332"/>
      <c r="AB375" s="156"/>
      <c r="AC375" s="156"/>
      <c r="AD375" s="156"/>
      <c r="AE375" s="156"/>
      <c r="AF375" s="156"/>
      <c r="AG375" s="332"/>
      <c r="AH375" s="332"/>
      <c r="AI375" s="332"/>
      <c r="AJ375" s="332"/>
      <c r="AK375" s="332"/>
      <c r="AL375" s="332"/>
      <c r="AM375" s="332"/>
      <c r="AN375" s="332"/>
      <c r="AO375" s="332"/>
    </row>
    <row r="376" spans="1:41">
      <c r="A376" s="332"/>
      <c r="B376" s="332"/>
      <c r="C376" s="156"/>
      <c r="D376" s="332"/>
      <c r="E376" s="332"/>
      <c r="F376" s="332"/>
      <c r="G376" s="156"/>
      <c r="H376" s="332"/>
      <c r="I376" s="332"/>
      <c r="J376" s="332"/>
      <c r="K376" s="332"/>
      <c r="L376" s="332"/>
      <c r="M376" s="332"/>
      <c r="N376" s="156"/>
      <c r="O376" s="332"/>
      <c r="P376" s="332"/>
      <c r="Q376" s="332"/>
      <c r="R376" s="332"/>
      <c r="S376" s="332"/>
      <c r="T376" s="156"/>
      <c r="U376" s="332"/>
      <c r="V376" s="156"/>
      <c r="W376" s="332"/>
      <c r="X376" s="332"/>
      <c r="Y376" s="156"/>
      <c r="Z376" s="332"/>
      <c r="AA376" s="332"/>
      <c r="AB376" s="156"/>
      <c r="AC376" s="156"/>
      <c r="AD376" s="156"/>
      <c r="AE376" s="156"/>
      <c r="AF376" s="156"/>
      <c r="AG376" s="332"/>
      <c r="AH376" s="332"/>
      <c r="AI376" s="332"/>
      <c r="AJ376" s="332"/>
      <c r="AK376" s="332"/>
      <c r="AL376" s="332"/>
      <c r="AM376" s="332"/>
      <c r="AN376" s="332"/>
      <c r="AO376" s="332"/>
    </row>
    <row r="377" spans="1:41">
      <c r="A377" s="332"/>
      <c r="B377" s="332"/>
      <c r="C377" s="156"/>
      <c r="D377" s="332"/>
      <c r="E377" s="332"/>
      <c r="F377" s="332"/>
      <c r="G377" s="156"/>
      <c r="H377" s="332"/>
      <c r="I377" s="332"/>
      <c r="J377" s="332"/>
      <c r="K377" s="332"/>
      <c r="L377" s="332"/>
      <c r="M377" s="332"/>
      <c r="N377" s="156"/>
      <c r="O377" s="332"/>
      <c r="P377" s="332"/>
      <c r="Q377" s="332"/>
      <c r="R377" s="332"/>
      <c r="S377" s="332"/>
      <c r="T377" s="332"/>
      <c r="U377" s="332"/>
      <c r="V377" s="156"/>
      <c r="W377" s="332"/>
      <c r="X377" s="332"/>
      <c r="Y377" s="156"/>
      <c r="Z377" s="332"/>
      <c r="AA377" s="332"/>
      <c r="AB377" s="156"/>
      <c r="AC377" s="156"/>
      <c r="AD377" s="332"/>
      <c r="AE377" s="156"/>
      <c r="AF377" s="156"/>
      <c r="AG377" s="332"/>
      <c r="AH377" s="332"/>
      <c r="AI377" s="332"/>
      <c r="AJ377" s="332"/>
      <c r="AK377" s="332"/>
      <c r="AL377" s="332"/>
      <c r="AM377" s="332"/>
      <c r="AN377" s="332"/>
      <c r="AO377" s="332"/>
    </row>
    <row r="378" spans="1:41">
      <c r="A378" s="332"/>
      <c r="B378" s="332"/>
      <c r="C378" s="156"/>
      <c r="D378" s="332"/>
      <c r="E378" s="332"/>
      <c r="F378" s="332"/>
      <c r="G378" s="156"/>
      <c r="H378" s="332"/>
      <c r="I378" s="332"/>
      <c r="J378" s="332"/>
      <c r="K378" s="332"/>
      <c r="L378" s="332"/>
      <c r="M378" s="332"/>
      <c r="N378" s="156"/>
      <c r="O378" s="332"/>
      <c r="P378" s="332"/>
      <c r="Q378" s="332"/>
      <c r="R378" s="156"/>
      <c r="S378" s="332"/>
      <c r="T378" s="156"/>
      <c r="U378" s="332"/>
      <c r="V378" s="156"/>
      <c r="W378" s="332"/>
      <c r="X378" s="332"/>
      <c r="Y378" s="156"/>
      <c r="Z378" s="332"/>
      <c r="AA378" s="332"/>
      <c r="AB378" s="156"/>
      <c r="AC378" s="156"/>
      <c r="AD378" s="156"/>
      <c r="AE378" s="156"/>
      <c r="AF378" s="156"/>
      <c r="AG378" s="332"/>
      <c r="AH378" s="332"/>
      <c r="AI378" s="332"/>
      <c r="AJ378" s="332"/>
      <c r="AK378" s="332"/>
      <c r="AL378" s="332"/>
      <c r="AM378" s="332"/>
      <c r="AN378" s="332"/>
      <c r="AO378" s="332"/>
    </row>
    <row r="379" spans="1:41">
      <c r="A379" s="332"/>
      <c r="B379" s="332"/>
      <c r="C379" s="156"/>
      <c r="D379" s="332"/>
      <c r="E379" s="332"/>
      <c r="F379" s="332"/>
      <c r="G379" s="156"/>
      <c r="H379" s="332"/>
      <c r="I379" s="332"/>
      <c r="J379" s="332"/>
      <c r="K379" s="332"/>
      <c r="L379" s="332"/>
      <c r="M379" s="332"/>
      <c r="N379" s="156"/>
      <c r="O379" s="332"/>
      <c r="P379" s="332"/>
      <c r="Q379" s="332"/>
      <c r="R379" s="332"/>
      <c r="S379" s="332"/>
      <c r="T379" s="156"/>
      <c r="U379" s="332"/>
      <c r="V379" s="156"/>
      <c r="W379" s="332"/>
      <c r="X379" s="332"/>
      <c r="Y379" s="156"/>
      <c r="Z379" s="332"/>
      <c r="AA379" s="332"/>
      <c r="AB379" s="156"/>
      <c r="AC379" s="156"/>
      <c r="AD379" s="156"/>
      <c r="AE379" s="156"/>
      <c r="AF379" s="156"/>
      <c r="AG379" s="332"/>
      <c r="AH379" s="332"/>
      <c r="AI379" s="332"/>
      <c r="AJ379" s="332"/>
      <c r="AK379" s="332"/>
      <c r="AL379" s="332"/>
      <c r="AM379" s="332"/>
      <c r="AN379" s="332"/>
      <c r="AO379" s="332"/>
    </row>
    <row r="380" spans="1:41">
      <c r="A380" s="332"/>
      <c r="B380" s="332"/>
      <c r="C380" s="156"/>
      <c r="D380" s="332"/>
      <c r="E380" s="332"/>
      <c r="F380" s="332"/>
      <c r="G380" s="156"/>
      <c r="H380" s="332"/>
      <c r="I380" s="332"/>
      <c r="J380" s="332"/>
      <c r="K380" s="332"/>
      <c r="L380" s="332"/>
      <c r="M380" s="332"/>
      <c r="N380" s="156"/>
      <c r="O380" s="332"/>
      <c r="P380" s="332"/>
      <c r="Q380" s="332"/>
      <c r="R380" s="156"/>
      <c r="S380" s="332"/>
      <c r="T380" s="156"/>
      <c r="U380" s="332"/>
      <c r="V380" s="156"/>
      <c r="W380" s="332"/>
      <c r="X380" s="332"/>
      <c r="Y380" s="156"/>
      <c r="Z380" s="332"/>
      <c r="AA380" s="332"/>
      <c r="AB380" s="156"/>
      <c r="AC380" s="332"/>
      <c r="AD380" s="156"/>
      <c r="AE380" s="156"/>
      <c r="AF380" s="156"/>
      <c r="AG380" s="332"/>
      <c r="AH380" s="332"/>
      <c r="AI380" s="332"/>
      <c r="AJ380" s="332"/>
      <c r="AK380" s="332"/>
      <c r="AL380" s="332"/>
      <c r="AM380" s="332"/>
      <c r="AN380" s="332"/>
      <c r="AO380" s="332"/>
    </row>
    <row r="381" spans="1:41">
      <c r="A381" s="332"/>
      <c r="B381" s="332"/>
      <c r="C381" s="332"/>
      <c r="D381" s="332"/>
      <c r="E381" s="332"/>
      <c r="F381" s="332"/>
      <c r="G381" s="156"/>
      <c r="H381" s="332"/>
      <c r="I381" s="332"/>
      <c r="J381" s="332"/>
      <c r="K381" s="332"/>
      <c r="L381" s="332"/>
      <c r="M381" s="332"/>
      <c r="N381" s="156"/>
      <c r="O381" s="332"/>
      <c r="P381" s="332"/>
      <c r="Q381" s="332"/>
      <c r="R381" s="156"/>
      <c r="S381" s="332"/>
      <c r="T381" s="156"/>
      <c r="U381" s="332"/>
      <c r="V381" s="156"/>
      <c r="W381" s="332"/>
      <c r="X381" s="332"/>
      <c r="Y381" s="156"/>
      <c r="Z381" s="332"/>
      <c r="AA381" s="332"/>
      <c r="AB381" s="156"/>
      <c r="AC381" s="332"/>
      <c r="AD381" s="156"/>
      <c r="AE381" s="156"/>
      <c r="AF381" s="156"/>
      <c r="AG381" s="332"/>
      <c r="AH381" s="332"/>
      <c r="AI381" s="332"/>
      <c r="AJ381" s="332"/>
      <c r="AK381" s="332"/>
      <c r="AL381" s="332"/>
      <c r="AM381" s="332"/>
      <c r="AN381" s="332"/>
      <c r="AO381" s="332"/>
    </row>
    <row r="382" spans="1:41">
      <c r="A382" s="332"/>
      <c r="B382" s="332"/>
      <c r="C382" s="156"/>
      <c r="D382" s="332"/>
      <c r="E382" s="332"/>
      <c r="F382" s="332"/>
      <c r="G382" s="156"/>
      <c r="H382" s="332"/>
      <c r="I382" s="332"/>
      <c r="J382" s="332"/>
      <c r="K382" s="332"/>
      <c r="L382" s="332"/>
      <c r="M382" s="332"/>
      <c r="N382" s="156"/>
      <c r="O382" s="332"/>
      <c r="P382" s="332"/>
      <c r="Q382" s="332"/>
      <c r="R382" s="156"/>
      <c r="S382" s="332"/>
      <c r="T382" s="156"/>
      <c r="U382" s="332"/>
      <c r="V382" s="156"/>
      <c r="W382" s="332"/>
      <c r="X382" s="332"/>
      <c r="Y382" s="156"/>
      <c r="Z382" s="332"/>
      <c r="AA382" s="332"/>
      <c r="AB382" s="156"/>
      <c r="AC382" s="156"/>
      <c r="AD382" s="156"/>
      <c r="AE382" s="156"/>
      <c r="AF382" s="156"/>
      <c r="AG382" s="332"/>
      <c r="AH382" s="332"/>
      <c r="AI382" s="332"/>
      <c r="AJ382" s="332"/>
      <c r="AK382" s="332"/>
      <c r="AL382" s="332"/>
      <c r="AM382" s="332"/>
      <c r="AN382" s="332"/>
      <c r="AO382" s="332"/>
    </row>
    <row r="383" spans="1:41">
      <c r="A383" s="332"/>
      <c r="B383" s="332"/>
      <c r="C383" s="156"/>
      <c r="D383" s="332"/>
      <c r="E383" s="332"/>
      <c r="F383" s="332"/>
      <c r="G383" s="156"/>
      <c r="H383" s="332"/>
      <c r="I383" s="332"/>
      <c r="J383" s="332"/>
      <c r="K383" s="332"/>
      <c r="L383" s="332"/>
      <c r="M383" s="332"/>
      <c r="N383" s="156"/>
      <c r="O383" s="332"/>
      <c r="P383" s="332"/>
      <c r="Q383" s="332"/>
      <c r="R383" s="156"/>
      <c r="S383" s="332"/>
      <c r="T383" s="156"/>
      <c r="U383" s="332"/>
      <c r="V383" s="156"/>
      <c r="W383" s="332"/>
      <c r="X383" s="332"/>
      <c r="Y383" s="156"/>
      <c r="Z383" s="332"/>
      <c r="AA383" s="332"/>
      <c r="AB383" s="156"/>
      <c r="AC383" s="156"/>
      <c r="AD383" s="156"/>
      <c r="AE383" s="156"/>
      <c r="AF383" s="156"/>
      <c r="AG383" s="332"/>
      <c r="AH383" s="332"/>
      <c r="AI383" s="332"/>
      <c r="AJ383" s="332"/>
      <c r="AK383" s="332"/>
      <c r="AL383" s="332"/>
      <c r="AM383" s="332"/>
      <c r="AN383" s="332"/>
      <c r="AO383" s="332"/>
    </row>
    <row r="384" spans="1:41">
      <c r="A384" s="332"/>
      <c r="B384" s="332"/>
      <c r="C384" s="332"/>
      <c r="D384" s="332"/>
      <c r="E384" s="332"/>
      <c r="F384" s="332"/>
      <c r="G384" s="332"/>
      <c r="H384" s="332"/>
      <c r="I384" s="332"/>
      <c r="J384" s="332"/>
      <c r="K384" s="332"/>
      <c r="L384" s="332"/>
      <c r="M384" s="332"/>
      <c r="N384" s="156"/>
      <c r="O384" s="332"/>
      <c r="P384" s="332"/>
      <c r="Q384" s="332"/>
      <c r="R384" s="332"/>
      <c r="S384" s="332"/>
      <c r="T384" s="332"/>
      <c r="U384" s="332"/>
      <c r="V384" s="156"/>
      <c r="W384" s="332"/>
      <c r="X384" s="332"/>
      <c r="Y384" s="156"/>
      <c r="Z384" s="332"/>
      <c r="AA384" s="332"/>
      <c r="AB384" s="156"/>
      <c r="AC384" s="156"/>
      <c r="AD384" s="332"/>
      <c r="AE384" s="156"/>
      <c r="AF384" s="156"/>
      <c r="AG384" s="332"/>
      <c r="AH384" s="332"/>
      <c r="AI384" s="332"/>
      <c r="AJ384" s="332"/>
      <c r="AK384" s="332"/>
      <c r="AL384" s="332"/>
      <c r="AM384" s="332"/>
      <c r="AN384" s="332"/>
      <c r="AO384" s="332"/>
    </row>
    <row r="385" spans="1:41">
      <c r="A385" s="332"/>
      <c r="B385" s="332"/>
      <c r="C385" s="332"/>
      <c r="D385" s="332"/>
      <c r="E385" s="332"/>
      <c r="F385" s="332"/>
      <c r="G385" s="156"/>
      <c r="H385" s="332"/>
      <c r="I385" s="332"/>
      <c r="J385" s="332"/>
      <c r="K385" s="332"/>
      <c r="L385" s="332"/>
      <c r="M385" s="332"/>
      <c r="N385" s="156"/>
      <c r="O385" s="332"/>
      <c r="P385" s="332"/>
      <c r="Q385" s="332"/>
      <c r="R385" s="156"/>
      <c r="S385" s="332"/>
      <c r="T385" s="156"/>
      <c r="U385" s="332"/>
      <c r="V385" s="156"/>
      <c r="W385" s="332"/>
      <c r="X385" s="332"/>
      <c r="Y385" s="156"/>
      <c r="Z385" s="332"/>
      <c r="AA385" s="332"/>
      <c r="AB385" s="156"/>
      <c r="AC385" s="156"/>
      <c r="AD385" s="156"/>
      <c r="AE385" s="156"/>
      <c r="AF385" s="156"/>
      <c r="AG385" s="332"/>
      <c r="AH385" s="332"/>
      <c r="AI385" s="332"/>
      <c r="AJ385" s="332"/>
      <c r="AK385" s="332"/>
      <c r="AL385" s="332"/>
      <c r="AM385" s="332"/>
      <c r="AN385" s="332"/>
      <c r="AO385" s="332"/>
    </row>
    <row r="386" spans="1:41">
      <c r="A386" s="332"/>
      <c r="B386" s="332"/>
      <c r="C386" s="156"/>
      <c r="D386" s="332"/>
      <c r="E386" s="332"/>
      <c r="F386" s="332"/>
      <c r="G386" s="156"/>
      <c r="H386" s="332"/>
      <c r="I386" s="332"/>
      <c r="J386" s="332"/>
      <c r="K386" s="332"/>
      <c r="L386" s="332"/>
      <c r="M386" s="332"/>
      <c r="N386" s="156"/>
      <c r="O386" s="332"/>
      <c r="P386" s="332"/>
      <c r="Q386" s="332"/>
      <c r="R386" s="332"/>
      <c r="S386" s="332"/>
      <c r="T386" s="332"/>
      <c r="U386" s="332"/>
      <c r="V386" s="156"/>
      <c r="W386" s="332"/>
      <c r="X386" s="332"/>
      <c r="Y386" s="156"/>
      <c r="Z386" s="332"/>
      <c r="AA386" s="332"/>
      <c r="AB386" s="156"/>
      <c r="AC386" s="156"/>
      <c r="AD386" s="332"/>
      <c r="AE386" s="156"/>
      <c r="AF386" s="156"/>
      <c r="AG386" s="332"/>
      <c r="AH386" s="332"/>
      <c r="AI386" s="332"/>
      <c r="AJ386" s="332"/>
      <c r="AK386" s="332"/>
      <c r="AL386" s="332"/>
      <c r="AM386" s="332"/>
      <c r="AN386" s="332"/>
      <c r="AO386" s="332"/>
    </row>
    <row r="387" spans="1:41">
      <c r="A387" s="332"/>
      <c r="B387" s="332"/>
      <c r="C387" s="332"/>
      <c r="D387" s="332"/>
      <c r="E387" s="332"/>
      <c r="F387" s="332"/>
      <c r="G387" s="332"/>
      <c r="H387" s="332"/>
      <c r="I387" s="332"/>
      <c r="J387" s="332"/>
      <c r="K387" s="332"/>
      <c r="L387" s="332"/>
      <c r="M387" s="332"/>
      <c r="N387" s="156"/>
      <c r="O387" s="332"/>
      <c r="P387" s="332"/>
      <c r="Q387" s="332"/>
      <c r="R387" s="332"/>
      <c r="S387" s="332"/>
      <c r="T387" s="332"/>
      <c r="U387" s="332"/>
      <c r="V387" s="156"/>
      <c r="W387" s="332"/>
      <c r="X387" s="332"/>
      <c r="Y387" s="156"/>
      <c r="Z387" s="332"/>
      <c r="AA387" s="332"/>
      <c r="AB387" s="156"/>
      <c r="AC387" s="156"/>
      <c r="AD387" s="332"/>
      <c r="AE387" s="156"/>
      <c r="AF387" s="156"/>
      <c r="AG387" s="332"/>
      <c r="AH387" s="332"/>
      <c r="AI387" s="332"/>
      <c r="AJ387" s="332"/>
      <c r="AK387" s="332"/>
      <c r="AL387" s="332"/>
      <c r="AM387" s="332"/>
      <c r="AN387" s="332"/>
      <c r="AO387" s="332"/>
    </row>
    <row r="388" spans="1:41">
      <c r="A388" s="332"/>
      <c r="B388" s="332"/>
      <c r="C388" s="156"/>
      <c r="D388" s="332"/>
      <c r="E388" s="332"/>
      <c r="F388" s="332"/>
      <c r="G388" s="156"/>
      <c r="H388" s="332"/>
      <c r="I388" s="332"/>
      <c r="J388" s="332"/>
      <c r="K388" s="332"/>
      <c r="L388" s="332"/>
      <c r="M388" s="332"/>
      <c r="N388" s="156"/>
      <c r="O388" s="332"/>
      <c r="P388" s="332"/>
      <c r="Q388" s="332"/>
      <c r="R388" s="156"/>
      <c r="S388" s="332"/>
      <c r="T388" s="156"/>
      <c r="U388" s="332"/>
      <c r="V388" s="156"/>
      <c r="W388" s="332"/>
      <c r="X388" s="332"/>
      <c r="Y388" s="156"/>
      <c r="Z388" s="332"/>
      <c r="AA388" s="332"/>
      <c r="AB388" s="156"/>
      <c r="AC388" s="156"/>
      <c r="AD388" s="156"/>
      <c r="AE388" s="156"/>
      <c r="AF388" s="156"/>
      <c r="AG388" s="332"/>
      <c r="AH388" s="332"/>
      <c r="AI388" s="332"/>
      <c r="AJ388" s="332"/>
      <c r="AK388" s="332"/>
      <c r="AL388" s="332"/>
      <c r="AM388" s="332"/>
      <c r="AN388" s="332"/>
      <c r="AO388" s="332"/>
    </row>
    <row r="389" spans="1:41">
      <c r="A389" s="332"/>
      <c r="B389" s="332"/>
      <c r="C389" s="156"/>
      <c r="D389" s="332"/>
      <c r="E389" s="332"/>
      <c r="F389" s="332"/>
      <c r="G389" s="332"/>
      <c r="H389" s="332"/>
      <c r="I389" s="332"/>
      <c r="J389" s="332"/>
      <c r="K389" s="332"/>
      <c r="L389" s="332"/>
      <c r="M389" s="332"/>
      <c r="N389" s="156"/>
      <c r="O389" s="332"/>
      <c r="P389" s="332"/>
      <c r="Q389" s="332"/>
      <c r="R389" s="156"/>
      <c r="S389" s="332"/>
      <c r="T389" s="156"/>
      <c r="U389" s="332"/>
      <c r="V389" s="156"/>
      <c r="W389" s="332"/>
      <c r="X389" s="332"/>
      <c r="Y389" s="156"/>
      <c r="Z389" s="332"/>
      <c r="AA389" s="332"/>
      <c r="AB389" s="156"/>
      <c r="AC389" s="156"/>
      <c r="AD389" s="156"/>
      <c r="AE389" s="156"/>
      <c r="AF389" s="156"/>
      <c r="AG389" s="332"/>
      <c r="AH389" s="332"/>
      <c r="AI389" s="332"/>
      <c r="AJ389" s="332"/>
      <c r="AK389" s="332"/>
      <c r="AL389" s="332"/>
      <c r="AM389" s="332"/>
      <c r="AN389" s="332"/>
      <c r="AO389" s="332"/>
    </row>
    <row r="390" spans="1:41">
      <c r="A390" s="332"/>
      <c r="B390" s="332"/>
      <c r="C390" s="156"/>
      <c r="D390" s="332"/>
      <c r="E390" s="332"/>
      <c r="F390" s="332"/>
      <c r="G390" s="156"/>
      <c r="H390" s="332"/>
      <c r="I390" s="332"/>
      <c r="J390" s="332"/>
      <c r="K390" s="332"/>
      <c r="L390" s="332"/>
      <c r="M390" s="332"/>
      <c r="N390" s="156"/>
      <c r="O390" s="332"/>
      <c r="P390" s="332"/>
      <c r="Q390" s="332"/>
      <c r="R390" s="156"/>
      <c r="S390" s="332"/>
      <c r="T390" s="156"/>
      <c r="U390" s="332"/>
      <c r="V390" s="156"/>
      <c r="W390" s="332"/>
      <c r="X390" s="332"/>
      <c r="Y390" s="156"/>
      <c r="Z390" s="332"/>
      <c r="AA390" s="332"/>
      <c r="AB390" s="332"/>
      <c r="AC390" s="332"/>
      <c r="AD390" s="156"/>
      <c r="AE390" s="156"/>
      <c r="AF390" s="156"/>
      <c r="AG390" s="332"/>
      <c r="AH390" s="332"/>
      <c r="AI390" s="332"/>
      <c r="AJ390" s="332"/>
      <c r="AK390" s="332"/>
      <c r="AL390" s="332"/>
      <c r="AM390" s="332"/>
      <c r="AN390" s="332"/>
      <c r="AO390" s="332"/>
    </row>
    <row r="391" spans="1:41">
      <c r="A391" s="332"/>
      <c r="B391" s="332"/>
      <c r="C391" s="156"/>
      <c r="D391" s="332"/>
      <c r="E391" s="332"/>
      <c r="F391" s="332"/>
      <c r="G391" s="156"/>
      <c r="H391" s="332"/>
      <c r="I391" s="332"/>
      <c r="J391" s="332"/>
      <c r="K391" s="332"/>
      <c r="L391" s="332"/>
      <c r="M391" s="332"/>
      <c r="N391" s="156"/>
      <c r="O391" s="332"/>
      <c r="P391" s="332"/>
      <c r="Q391" s="332"/>
      <c r="R391" s="156"/>
      <c r="S391" s="332"/>
      <c r="T391" s="156"/>
      <c r="U391" s="332"/>
      <c r="V391" s="156"/>
      <c r="W391" s="332"/>
      <c r="X391" s="332"/>
      <c r="Y391" s="156"/>
      <c r="Z391" s="332"/>
      <c r="AA391" s="332"/>
      <c r="AB391" s="156"/>
      <c r="AC391" s="156"/>
      <c r="AD391" s="156"/>
      <c r="AE391" s="156"/>
      <c r="AF391" s="156"/>
      <c r="AG391" s="332"/>
      <c r="AH391" s="332"/>
      <c r="AI391" s="332"/>
      <c r="AJ391" s="332"/>
      <c r="AK391" s="332"/>
      <c r="AL391" s="332"/>
      <c r="AM391" s="332"/>
      <c r="AN391" s="332"/>
      <c r="AO391" s="332"/>
    </row>
    <row r="392" spans="1:41">
      <c r="A392" s="332"/>
      <c r="B392" s="332"/>
      <c r="C392" s="332"/>
      <c r="D392" s="332"/>
      <c r="E392" s="332"/>
      <c r="F392" s="332"/>
      <c r="G392" s="332"/>
      <c r="H392" s="332"/>
      <c r="I392" s="332"/>
      <c r="J392" s="332"/>
      <c r="K392" s="332"/>
      <c r="L392" s="332"/>
      <c r="M392" s="332"/>
      <c r="N392" s="156"/>
      <c r="O392" s="332"/>
      <c r="P392" s="332"/>
      <c r="Q392" s="332"/>
      <c r="R392" s="156"/>
      <c r="S392" s="332"/>
      <c r="T392" s="156"/>
      <c r="U392" s="332"/>
      <c r="V392" s="156"/>
      <c r="W392" s="332"/>
      <c r="X392" s="332"/>
      <c r="Y392" s="156"/>
      <c r="Z392" s="332"/>
      <c r="AA392" s="332"/>
      <c r="AB392" s="156"/>
      <c r="AC392" s="156"/>
      <c r="AD392" s="156"/>
      <c r="AE392" s="156"/>
      <c r="AF392" s="156"/>
      <c r="AG392" s="332"/>
      <c r="AH392" s="332"/>
      <c r="AI392" s="332"/>
      <c r="AJ392" s="332"/>
      <c r="AK392" s="332"/>
      <c r="AL392" s="332"/>
      <c r="AM392" s="332"/>
      <c r="AN392" s="332"/>
      <c r="AO392" s="332"/>
    </row>
    <row r="393" spans="1:41">
      <c r="A393" s="332"/>
      <c r="B393" s="332"/>
      <c r="C393" s="156"/>
      <c r="D393" s="332"/>
      <c r="E393" s="332"/>
      <c r="F393" s="332"/>
      <c r="G393" s="156"/>
      <c r="H393" s="332"/>
      <c r="I393" s="332"/>
      <c r="J393" s="332"/>
      <c r="K393" s="332"/>
      <c r="L393" s="332"/>
      <c r="M393" s="332"/>
      <c r="N393" s="156"/>
      <c r="O393" s="332"/>
      <c r="P393" s="332"/>
      <c r="Q393" s="332"/>
      <c r="R393" s="156"/>
      <c r="S393" s="332"/>
      <c r="T393" s="156"/>
      <c r="U393" s="332"/>
      <c r="V393" s="156"/>
      <c r="W393" s="332"/>
      <c r="X393" s="332"/>
      <c r="Y393" s="156"/>
      <c r="Z393" s="332"/>
      <c r="AA393" s="332"/>
      <c r="AB393" s="156"/>
      <c r="AC393" s="332"/>
      <c r="AD393" s="156"/>
      <c r="AE393" s="156"/>
      <c r="AF393" s="156"/>
      <c r="AG393" s="332"/>
      <c r="AH393" s="332"/>
      <c r="AI393" s="332"/>
      <c r="AJ393" s="332"/>
      <c r="AK393" s="332"/>
      <c r="AL393" s="332"/>
      <c r="AM393" s="332"/>
      <c r="AN393" s="332"/>
      <c r="AO393" s="332"/>
    </row>
    <row r="394" spans="1:41">
      <c r="A394" s="332"/>
      <c r="B394" s="332"/>
      <c r="C394" s="332"/>
      <c r="D394" s="332"/>
      <c r="E394" s="332"/>
      <c r="F394" s="332"/>
      <c r="G394" s="156"/>
      <c r="H394" s="332"/>
      <c r="I394" s="332"/>
      <c r="J394" s="332"/>
      <c r="K394" s="332"/>
      <c r="L394" s="332"/>
      <c r="M394" s="332"/>
      <c r="N394" s="156"/>
      <c r="O394" s="332"/>
      <c r="P394" s="332"/>
      <c r="Q394" s="332"/>
      <c r="R394" s="332"/>
      <c r="S394" s="332"/>
      <c r="T394" s="332"/>
      <c r="U394" s="332"/>
      <c r="V394" s="156"/>
      <c r="W394" s="332"/>
      <c r="X394" s="332"/>
      <c r="Y394" s="156"/>
      <c r="Z394" s="332"/>
      <c r="AA394" s="332"/>
      <c r="AB394" s="332"/>
      <c r="AC394" s="156"/>
      <c r="AD394" s="332"/>
      <c r="AE394" s="156"/>
      <c r="AF394" s="156"/>
      <c r="AG394" s="332"/>
      <c r="AH394" s="332"/>
      <c r="AI394" s="332"/>
      <c r="AJ394" s="332"/>
      <c r="AK394" s="332"/>
      <c r="AL394" s="332"/>
      <c r="AM394" s="332"/>
      <c r="AN394" s="332"/>
      <c r="AO394" s="332"/>
    </row>
    <row r="395" spans="1:41">
      <c r="A395" s="332"/>
      <c r="B395" s="332"/>
      <c r="C395" s="156"/>
      <c r="D395" s="332"/>
      <c r="E395" s="332"/>
      <c r="F395" s="332"/>
      <c r="G395" s="156"/>
      <c r="H395" s="332"/>
      <c r="I395" s="332"/>
      <c r="J395" s="332"/>
      <c r="K395" s="332"/>
      <c r="L395" s="332"/>
      <c r="M395" s="332"/>
      <c r="N395" s="156"/>
      <c r="O395" s="332"/>
      <c r="P395" s="332"/>
      <c r="Q395" s="332"/>
      <c r="R395" s="156"/>
      <c r="S395" s="332"/>
      <c r="T395" s="156"/>
      <c r="U395" s="332"/>
      <c r="V395" s="156"/>
      <c r="W395" s="332"/>
      <c r="X395" s="332"/>
      <c r="Y395" s="156"/>
      <c r="Z395" s="332"/>
      <c r="AA395" s="332"/>
      <c r="AB395" s="156"/>
      <c r="AC395" s="156"/>
      <c r="AD395" s="156"/>
      <c r="AE395" s="156"/>
      <c r="AF395" s="156"/>
      <c r="AG395" s="332"/>
      <c r="AH395" s="332"/>
      <c r="AI395" s="332"/>
      <c r="AJ395" s="332"/>
      <c r="AK395" s="332"/>
      <c r="AL395" s="332"/>
      <c r="AM395" s="332"/>
      <c r="AN395" s="332"/>
      <c r="AO395" s="332"/>
    </row>
    <row r="396" spans="1:41">
      <c r="A396" s="332"/>
      <c r="B396" s="332"/>
      <c r="C396" s="156"/>
      <c r="D396" s="332"/>
      <c r="E396" s="332"/>
      <c r="F396" s="332"/>
      <c r="G396" s="332"/>
      <c r="H396" s="332"/>
      <c r="I396" s="332"/>
      <c r="J396" s="332"/>
      <c r="K396" s="332"/>
      <c r="L396" s="332"/>
      <c r="M396" s="332"/>
      <c r="N396" s="156"/>
      <c r="O396" s="332"/>
      <c r="P396" s="332"/>
      <c r="Q396" s="332"/>
      <c r="R396" s="332"/>
      <c r="S396" s="332"/>
      <c r="T396" s="156"/>
      <c r="U396" s="332"/>
      <c r="V396" s="156"/>
      <c r="W396" s="332"/>
      <c r="X396" s="332"/>
      <c r="Y396" s="156"/>
      <c r="Z396" s="332"/>
      <c r="AA396" s="332"/>
      <c r="AB396" s="332"/>
      <c r="AC396" s="332"/>
      <c r="AD396" s="156"/>
      <c r="AE396" s="156"/>
      <c r="AF396" s="156"/>
      <c r="AG396" s="332"/>
      <c r="AH396" s="332"/>
      <c r="AI396" s="332"/>
      <c r="AJ396" s="332"/>
      <c r="AK396" s="332"/>
      <c r="AL396" s="332"/>
      <c r="AM396" s="332"/>
      <c r="AN396" s="332"/>
      <c r="AO396" s="332"/>
    </row>
    <row r="397" spans="1:41">
      <c r="A397" s="332"/>
      <c r="B397" s="332"/>
      <c r="C397" s="156"/>
      <c r="D397" s="332"/>
      <c r="E397" s="332"/>
      <c r="F397" s="332"/>
      <c r="G397" s="156"/>
      <c r="H397" s="332"/>
      <c r="I397" s="332"/>
      <c r="J397" s="332"/>
      <c r="K397" s="332"/>
      <c r="L397" s="332"/>
      <c r="M397" s="332"/>
      <c r="N397" s="156"/>
      <c r="O397" s="332"/>
      <c r="P397" s="332"/>
      <c r="Q397" s="332"/>
      <c r="R397" s="332"/>
      <c r="S397" s="332"/>
      <c r="T397" s="156"/>
      <c r="U397" s="332"/>
      <c r="V397" s="156"/>
      <c r="W397" s="332"/>
      <c r="X397" s="332"/>
      <c r="Y397" s="156"/>
      <c r="Z397" s="332"/>
      <c r="AA397" s="332"/>
      <c r="AB397" s="332"/>
      <c r="AC397" s="156"/>
      <c r="AD397" s="156"/>
      <c r="AE397" s="156"/>
      <c r="AF397" s="156"/>
      <c r="AG397" s="332"/>
      <c r="AH397" s="332"/>
      <c r="AI397" s="332"/>
      <c r="AJ397" s="332"/>
      <c r="AK397" s="332"/>
      <c r="AL397" s="332"/>
      <c r="AM397" s="332"/>
      <c r="AN397" s="332"/>
      <c r="AO397" s="332"/>
    </row>
    <row r="398" spans="1:41">
      <c r="A398" s="332"/>
      <c r="B398" s="332"/>
      <c r="C398" s="156"/>
      <c r="D398" s="332"/>
      <c r="E398" s="332"/>
      <c r="F398" s="332"/>
      <c r="G398" s="332"/>
      <c r="H398" s="332"/>
      <c r="I398" s="332"/>
      <c r="J398" s="332"/>
      <c r="K398" s="332"/>
      <c r="L398" s="332"/>
      <c r="M398" s="332"/>
      <c r="N398" s="156"/>
      <c r="O398" s="332"/>
      <c r="P398" s="332"/>
      <c r="Q398" s="332"/>
      <c r="R398" s="156"/>
      <c r="S398" s="332"/>
      <c r="T398" s="156"/>
      <c r="U398" s="332"/>
      <c r="V398" s="156"/>
      <c r="W398" s="332"/>
      <c r="X398" s="332"/>
      <c r="Y398" s="156"/>
      <c r="Z398" s="332"/>
      <c r="AA398" s="332"/>
      <c r="AB398" s="156"/>
      <c r="AC398" s="156"/>
      <c r="AD398" s="156"/>
      <c r="AE398" s="156"/>
      <c r="AF398" s="156"/>
      <c r="AG398" s="332"/>
      <c r="AH398" s="332"/>
      <c r="AI398" s="332"/>
      <c r="AJ398" s="332"/>
      <c r="AK398" s="332"/>
      <c r="AL398" s="332"/>
      <c r="AM398" s="332"/>
      <c r="AN398" s="332"/>
      <c r="AO398" s="332"/>
    </row>
    <row r="399" spans="1:41">
      <c r="A399" s="332"/>
      <c r="B399" s="332"/>
      <c r="C399" s="156"/>
      <c r="D399" s="332"/>
      <c r="E399" s="332"/>
      <c r="F399" s="332"/>
      <c r="G399" s="156"/>
      <c r="H399" s="332"/>
      <c r="I399" s="332"/>
      <c r="J399" s="332"/>
      <c r="K399" s="332"/>
      <c r="L399" s="332"/>
      <c r="M399" s="332"/>
      <c r="N399" s="156"/>
      <c r="O399" s="332"/>
      <c r="P399" s="332"/>
      <c r="Q399" s="332"/>
      <c r="R399" s="332"/>
      <c r="S399" s="332"/>
      <c r="T399" s="156"/>
      <c r="U399" s="332"/>
      <c r="V399" s="156"/>
      <c r="W399" s="332"/>
      <c r="X399" s="332"/>
      <c r="Y399" s="156"/>
      <c r="Z399" s="332"/>
      <c r="AA399" s="332"/>
      <c r="AB399" s="156"/>
      <c r="AC399" s="156"/>
      <c r="AD399" s="156"/>
      <c r="AE399" s="156"/>
      <c r="AF399" s="156"/>
      <c r="AG399" s="332"/>
      <c r="AH399" s="332"/>
      <c r="AI399" s="332"/>
      <c r="AJ399" s="332"/>
      <c r="AK399" s="332"/>
      <c r="AL399" s="332"/>
      <c r="AM399" s="332"/>
      <c r="AN399" s="332"/>
      <c r="AO399" s="332"/>
    </row>
    <row r="400" spans="1:41">
      <c r="A400" s="332"/>
      <c r="B400" s="332"/>
      <c r="C400" s="156"/>
      <c r="D400" s="332"/>
      <c r="E400" s="332"/>
      <c r="F400" s="332"/>
      <c r="G400" s="156"/>
      <c r="H400" s="332"/>
      <c r="I400" s="332"/>
      <c r="J400" s="332"/>
      <c r="K400" s="332"/>
      <c r="L400" s="332"/>
      <c r="M400" s="332"/>
      <c r="N400" s="156"/>
      <c r="O400" s="332"/>
      <c r="P400" s="332"/>
      <c r="Q400" s="332"/>
      <c r="R400" s="156"/>
      <c r="S400" s="332"/>
      <c r="T400" s="156"/>
      <c r="U400" s="332"/>
      <c r="V400" s="156"/>
      <c r="W400" s="332"/>
      <c r="X400" s="332"/>
      <c r="Y400" s="156"/>
      <c r="Z400" s="332"/>
      <c r="AA400" s="332"/>
      <c r="AB400" s="156"/>
      <c r="AC400" s="156"/>
      <c r="AD400" s="156"/>
      <c r="AE400" s="156"/>
      <c r="AF400" s="156"/>
      <c r="AG400" s="332"/>
      <c r="AH400" s="332"/>
      <c r="AI400" s="332"/>
      <c r="AJ400" s="332"/>
      <c r="AK400" s="332"/>
      <c r="AL400" s="332"/>
      <c r="AM400" s="332"/>
      <c r="AN400" s="332"/>
      <c r="AO400" s="332"/>
    </row>
    <row r="401" spans="1:41">
      <c r="A401" s="332"/>
      <c r="B401" s="332"/>
      <c r="C401" s="156"/>
      <c r="D401" s="332"/>
      <c r="E401" s="332"/>
      <c r="F401" s="332"/>
      <c r="G401" s="332"/>
      <c r="H401" s="332"/>
      <c r="I401" s="332"/>
      <c r="J401" s="332"/>
      <c r="K401" s="332"/>
      <c r="L401" s="332"/>
      <c r="M401" s="332"/>
      <c r="N401" s="156"/>
      <c r="O401" s="332"/>
      <c r="P401" s="332"/>
      <c r="Q401" s="332"/>
      <c r="R401" s="332"/>
      <c r="S401" s="332"/>
      <c r="T401" s="156"/>
      <c r="U401" s="332"/>
      <c r="V401" s="156"/>
      <c r="W401" s="332"/>
      <c r="X401" s="332"/>
      <c r="Y401" s="156"/>
      <c r="Z401" s="332"/>
      <c r="AA401" s="332"/>
      <c r="AB401" s="156"/>
      <c r="AC401" s="156"/>
      <c r="AD401" s="156"/>
      <c r="AE401" s="156"/>
      <c r="AF401" s="156"/>
      <c r="AG401" s="332"/>
      <c r="AH401" s="332"/>
      <c r="AI401" s="332"/>
      <c r="AJ401" s="332"/>
      <c r="AK401" s="332"/>
      <c r="AL401" s="332"/>
      <c r="AM401" s="332"/>
      <c r="AN401" s="332"/>
      <c r="AO401" s="332"/>
    </row>
    <row r="402" spans="1:41">
      <c r="A402" s="332"/>
      <c r="B402" s="332"/>
      <c r="C402" s="156"/>
      <c r="D402" s="332"/>
      <c r="E402" s="332"/>
      <c r="F402" s="332"/>
      <c r="G402" s="332"/>
      <c r="H402" s="332"/>
      <c r="I402" s="332"/>
      <c r="J402" s="332"/>
      <c r="K402" s="332"/>
      <c r="L402" s="332"/>
      <c r="M402" s="332"/>
      <c r="N402" s="156"/>
      <c r="O402" s="332"/>
      <c r="P402" s="332"/>
      <c r="Q402" s="332"/>
      <c r="R402" s="332"/>
      <c r="S402" s="332"/>
      <c r="T402" s="156"/>
      <c r="U402" s="332"/>
      <c r="V402" s="156"/>
      <c r="W402" s="332"/>
      <c r="X402" s="332"/>
      <c r="Y402" s="156"/>
      <c r="Z402" s="332"/>
      <c r="AA402" s="332"/>
      <c r="AB402" s="156"/>
      <c r="AC402" s="332"/>
      <c r="AD402" s="156"/>
      <c r="AE402" s="156"/>
      <c r="AF402" s="156"/>
      <c r="AG402" s="332"/>
      <c r="AH402" s="332"/>
      <c r="AI402" s="332"/>
      <c r="AJ402" s="332"/>
      <c r="AK402" s="332"/>
      <c r="AL402" s="332"/>
      <c r="AM402" s="332"/>
      <c r="AN402" s="332"/>
      <c r="AO402" s="332"/>
    </row>
    <row r="403" spans="1:41">
      <c r="A403" s="332"/>
      <c r="B403" s="332"/>
      <c r="C403" s="156"/>
      <c r="D403" s="332"/>
      <c r="E403" s="332"/>
      <c r="F403" s="332"/>
      <c r="G403" s="332"/>
      <c r="H403" s="332"/>
      <c r="I403" s="332"/>
      <c r="J403" s="332"/>
      <c r="K403" s="332"/>
      <c r="L403" s="332"/>
      <c r="M403" s="332"/>
      <c r="N403" s="156"/>
      <c r="O403" s="332"/>
      <c r="P403" s="332"/>
      <c r="Q403" s="332"/>
      <c r="R403" s="332"/>
      <c r="S403" s="332"/>
      <c r="T403" s="156"/>
      <c r="U403" s="332"/>
      <c r="V403" s="156"/>
      <c r="W403" s="332"/>
      <c r="X403" s="332"/>
      <c r="Y403" s="156"/>
      <c r="Z403" s="332"/>
      <c r="AA403" s="332"/>
      <c r="AB403" s="156"/>
      <c r="AC403" s="156"/>
      <c r="AD403" s="156"/>
      <c r="AE403" s="156"/>
      <c r="AF403" s="156"/>
      <c r="AG403" s="332"/>
      <c r="AH403" s="332"/>
      <c r="AI403" s="332"/>
      <c r="AJ403" s="332"/>
      <c r="AK403" s="332"/>
      <c r="AL403" s="332"/>
      <c r="AM403" s="332"/>
      <c r="AN403" s="332"/>
      <c r="AO403" s="332"/>
    </row>
    <row r="404" spans="1:41">
      <c r="A404" s="332"/>
      <c r="B404" s="332"/>
      <c r="C404" s="332"/>
      <c r="D404" s="332"/>
      <c r="E404" s="332"/>
      <c r="F404" s="332"/>
      <c r="G404" s="156"/>
      <c r="H404" s="332"/>
      <c r="I404" s="332"/>
      <c r="J404" s="332"/>
      <c r="K404" s="332"/>
      <c r="L404" s="332"/>
      <c r="M404" s="332"/>
      <c r="N404" s="156"/>
      <c r="O404" s="332"/>
      <c r="P404" s="332"/>
      <c r="Q404" s="332"/>
      <c r="R404" s="332"/>
      <c r="S404" s="332"/>
      <c r="T404" s="156"/>
      <c r="U404" s="332"/>
      <c r="V404" s="156"/>
      <c r="W404" s="332"/>
      <c r="X404" s="332"/>
      <c r="Y404" s="156"/>
      <c r="Z404" s="332"/>
      <c r="AA404" s="332"/>
      <c r="AB404" s="156"/>
      <c r="AC404" s="156"/>
      <c r="AD404" s="156"/>
      <c r="AE404" s="156"/>
      <c r="AF404" s="156"/>
      <c r="AG404" s="332"/>
      <c r="AH404" s="332"/>
      <c r="AI404" s="332"/>
      <c r="AJ404" s="332"/>
      <c r="AK404" s="332"/>
      <c r="AL404" s="332"/>
      <c r="AM404" s="332"/>
      <c r="AN404" s="332"/>
      <c r="AO404" s="332"/>
    </row>
    <row r="405" spans="1:41">
      <c r="A405" s="332"/>
      <c r="B405" s="332"/>
      <c r="C405" s="156"/>
      <c r="D405" s="332"/>
      <c r="E405" s="332"/>
      <c r="F405" s="332"/>
      <c r="G405" s="332"/>
      <c r="H405" s="332"/>
      <c r="I405" s="332"/>
      <c r="J405" s="332"/>
      <c r="K405" s="332"/>
      <c r="L405" s="332"/>
      <c r="M405" s="332"/>
      <c r="N405" s="156"/>
      <c r="O405" s="332"/>
      <c r="P405" s="332"/>
      <c r="Q405" s="332"/>
      <c r="R405" s="332"/>
      <c r="S405" s="332"/>
      <c r="T405" s="156"/>
      <c r="U405" s="332"/>
      <c r="V405" s="156"/>
      <c r="W405" s="332"/>
      <c r="X405" s="332"/>
      <c r="Y405" s="156"/>
      <c r="Z405" s="332"/>
      <c r="AA405" s="332"/>
      <c r="AB405" s="156"/>
      <c r="AC405" s="332"/>
      <c r="AD405" s="156"/>
      <c r="AE405" s="156"/>
      <c r="AF405" s="156"/>
      <c r="AG405" s="332"/>
      <c r="AH405" s="332"/>
      <c r="AI405" s="332"/>
      <c r="AJ405" s="332"/>
      <c r="AK405" s="332"/>
      <c r="AL405" s="332"/>
      <c r="AM405" s="332"/>
      <c r="AN405" s="332"/>
      <c r="AO405" s="332"/>
    </row>
    <row r="406" spans="1:41">
      <c r="A406" s="332"/>
      <c r="B406" s="332"/>
      <c r="C406" s="332"/>
      <c r="D406" s="332"/>
      <c r="E406" s="332"/>
      <c r="F406" s="332"/>
      <c r="G406" s="332"/>
      <c r="H406" s="332"/>
      <c r="I406" s="332"/>
      <c r="J406" s="332"/>
      <c r="K406" s="332"/>
      <c r="L406" s="332"/>
      <c r="M406" s="332"/>
      <c r="N406" s="156"/>
      <c r="O406" s="332"/>
      <c r="P406" s="332"/>
      <c r="Q406" s="332"/>
      <c r="R406" s="156"/>
      <c r="S406" s="332"/>
      <c r="T406" s="156"/>
      <c r="U406" s="332"/>
      <c r="V406" s="156"/>
      <c r="W406" s="332"/>
      <c r="X406" s="332"/>
      <c r="Y406" s="156"/>
      <c r="Z406" s="332"/>
      <c r="AA406" s="332"/>
      <c r="AB406" s="156"/>
      <c r="AC406" s="332"/>
      <c r="AD406" s="156"/>
      <c r="AE406" s="156"/>
      <c r="AF406" s="156"/>
      <c r="AG406" s="332"/>
      <c r="AH406" s="332"/>
      <c r="AI406" s="332"/>
      <c r="AJ406" s="332"/>
      <c r="AK406" s="332"/>
      <c r="AL406" s="332"/>
      <c r="AM406" s="332"/>
      <c r="AN406" s="332"/>
      <c r="AO406" s="332"/>
    </row>
    <row r="407" spans="1:41">
      <c r="A407" s="332"/>
      <c r="B407" s="332"/>
      <c r="C407" s="156"/>
      <c r="D407" s="332"/>
      <c r="E407" s="332"/>
      <c r="F407" s="332"/>
      <c r="G407" s="156"/>
      <c r="H407" s="332"/>
      <c r="I407" s="332"/>
      <c r="J407" s="332"/>
      <c r="K407" s="332"/>
      <c r="L407" s="332"/>
      <c r="M407" s="332"/>
      <c r="N407" s="156"/>
      <c r="O407" s="332"/>
      <c r="P407" s="332"/>
      <c r="Q407" s="332"/>
      <c r="R407" s="156"/>
      <c r="S407" s="332"/>
      <c r="T407" s="156"/>
      <c r="U407" s="332"/>
      <c r="V407" s="156"/>
      <c r="W407" s="332"/>
      <c r="X407" s="332"/>
      <c r="Y407" s="156"/>
      <c r="Z407" s="332"/>
      <c r="AA407" s="332"/>
      <c r="AB407" s="156"/>
      <c r="AC407" s="156"/>
      <c r="AD407" s="156"/>
      <c r="AE407" s="156"/>
      <c r="AF407" s="156"/>
      <c r="AG407" s="332"/>
      <c r="AH407" s="332"/>
      <c r="AI407" s="332"/>
      <c r="AJ407" s="332"/>
      <c r="AK407" s="332"/>
      <c r="AL407" s="332"/>
      <c r="AM407" s="332"/>
      <c r="AN407" s="332"/>
      <c r="AO407" s="332"/>
    </row>
    <row r="408" spans="1:41">
      <c r="A408" s="332"/>
      <c r="B408" s="332"/>
      <c r="C408" s="332"/>
      <c r="D408" s="332"/>
      <c r="E408" s="332"/>
      <c r="F408" s="332"/>
      <c r="G408" s="332"/>
      <c r="H408" s="332"/>
      <c r="I408" s="332"/>
      <c r="J408" s="332"/>
      <c r="K408" s="332"/>
      <c r="L408" s="332"/>
      <c r="M408" s="332"/>
      <c r="N408" s="156"/>
      <c r="O408" s="332"/>
      <c r="P408" s="332"/>
      <c r="Q408" s="332"/>
      <c r="R408" s="156"/>
      <c r="S408" s="332"/>
      <c r="T408" s="156"/>
      <c r="U408" s="332"/>
      <c r="V408" s="156"/>
      <c r="W408" s="332"/>
      <c r="X408" s="332"/>
      <c r="Y408" s="156"/>
      <c r="Z408" s="332"/>
      <c r="AA408" s="332"/>
      <c r="AB408" s="156"/>
      <c r="AC408" s="156"/>
      <c r="AD408" s="156"/>
      <c r="AE408" s="156"/>
      <c r="AF408" s="156"/>
      <c r="AG408" s="332"/>
      <c r="AH408" s="332"/>
      <c r="AI408" s="332"/>
      <c r="AJ408" s="332"/>
      <c r="AK408" s="332"/>
      <c r="AL408" s="332"/>
      <c r="AM408" s="332"/>
      <c r="AN408" s="332"/>
      <c r="AO408" s="332"/>
    </row>
    <row r="409" spans="1:41">
      <c r="A409" s="332"/>
      <c r="B409" s="332"/>
      <c r="C409" s="156"/>
      <c r="D409" s="332"/>
      <c r="E409" s="332"/>
      <c r="F409" s="332"/>
      <c r="G409" s="332"/>
      <c r="H409" s="332"/>
      <c r="I409" s="332"/>
      <c r="J409" s="332"/>
      <c r="K409" s="332"/>
      <c r="L409" s="332"/>
      <c r="M409" s="332"/>
      <c r="N409" s="156"/>
      <c r="O409" s="332"/>
      <c r="P409" s="332"/>
      <c r="Q409" s="332"/>
      <c r="R409" s="332"/>
      <c r="S409" s="332"/>
      <c r="T409" s="156"/>
      <c r="U409" s="332"/>
      <c r="V409" s="156"/>
      <c r="W409" s="332"/>
      <c r="X409" s="332"/>
      <c r="Y409" s="156"/>
      <c r="Z409" s="332"/>
      <c r="AA409" s="332"/>
      <c r="AB409" s="156"/>
      <c r="AC409" s="332"/>
      <c r="AD409" s="156"/>
      <c r="AE409" s="156"/>
      <c r="AF409" s="156"/>
      <c r="AG409" s="332"/>
      <c r="AH409" s="332"/>
      <c r="AI409" s="332"/>
      <c r="AJ409" s="332"/>
      <c r="AK409" s="332"/>
      <c r="AL409" s="332"/>
      <c r="AM409" s="332"/>
      <c r="AN409" s="332"/>
      <c r="AO409" s="332"/>
    </row>
    <row r="410" spans="1:41">
      <c r="A410" s="332"/>
      <c r="B410" s="332"/>
      <c r="C410" s="156"/>
      <c r="D410" s="332"/>
      <c r="E410" s="332"/>
      <c r="F410" s="332"/>
      <c r="G410" s="332"/>
      <c r="H410" s="332"/>
      <c r="I410" s="332"/>
      <c r="J410" s="332"/>
      <c r="K410" s="332"/>
      <c r="L410" s="332"/>
      <c r="M410" s="332"/>
      <c r="N410" s="156"/>
      <c r="O410" s="332"/>
      <c r="P410" s="332"/>
      <c r="Q410" s="332"/>
      <c r="R410" s="332"/>
      <c r="S410" s="332"/>
      <c r="T410" s="332"/>
      <c r="U410" s="332"/>
      <c r="V410" s="156"/>
      <c r="W410" s="332"/>
      <c r="X410" s="332"/>
      <c r="Y410" s="156"/>
      <c r="Z410" s="332"/>
      <c r="AA410" s="332"/>
      <c r="AB410" s="156"/>
      <c r="AC410" s="156"/>
      <c r="AD410" s="332"/>
      <c r="AE410" s="156"/>
      <c r="AF410" s="156"/>
      <c r="AG410" s="332"/>
      <c r="AH410" s="332"/>
      <c r="AI410" s="332"/>
      <c r="AJ410" s="332"/>
      <c r="AK410" s="332"/>
      <c r="AL410" s="332"/>
      <c r="AM410" s="332"/>
      <c r="AN410" s="332"/>
      <c r="AO410" s="332"/>
    </row>
    <row r="411" spans="1:41">
      <c r="A411" s="332"/>
      <c r="B411" s="332"/>
      <c r="C411" s="156"/>
      <c r="D411" s="332"/>
      <c r="E411" s="332"/>
      <c r="F411" s="332"/>
      <c r="G411" s="332"/>
      <c r="H411" s="332"/>
      <c r="I411" s="332"/>
      <c r="J411" s="332"/>
      <c r="K411" s="332"/>
      <c r="L411" s="332"/>
      <c r="M411" s="332"/>
      <c r="N411" s="156"/>
      <c r="O411" s="332"/>
      <c r="P411" s="332"/>
      <c r="Q411" s="332"/>
      <c r="R411" s="156"/>
      <c r="S411" s="332"/>
      <c r="T411" s="156"/>
      <c r="U411" s="332"/>
      <c r="V411" s="156"/>
      <c r="W411" s="332"/>
      <c r="X411" s="332"/>
      <c r="Y411" s="156"/>
      <c r="Z411" s="332"/>
      <c r="AA411" s="332"/>
      <c r="AB411" s="332"/>
      <c r="AC411" s="156"/>
      <c r="AD411" s="156"/>
      <c r="AE411" s="156"/>
      <c r="AF411" s="156"/>
      <c r="AG411" s="332"/>
      <c r="AH411" s="332"/>
      <c r="AI411" s="332"/>
      <c r="AJ411" s="332"/>
      <c r="AK411" s="332"/>
      <c r="AL411" s="332"/>
      <c r="AM411" s="332"/>
      <c r="AN411" s="332"/>
      <c r="AO411" s="332"/>
    </row>
    <row r="412" spans="1:41">
      <c r="A412" s="332"/>
      <c r="B412" s="332"/>
      <c r="C412" s="156"/>
      <c r="D412" s="332"/>
      <c r="E412" s="332"/>
      <c r="F412" s="332"/>
      <c r="G412" s="156"/>
      <c r="H412" s="332"/>
      <c r="I412" s="332"/>
      <c r="J412" s="332"/>
      <c r="K412" s="332"/>
      <c r="L412" s="332"/>
      <c r="M412" s="332"/>
      <c r="N412" s="156"/>
      <c r="O412" s="332"/>
      <c r="P412" s="332"/>
      <c r="Q412" s="332"/>
      <c r="R412" s="332"/>
      <c r="S412" s="332"/>
      <c r="T412" s="156"/>
      <c r="U412" s="332"/>
      <c r="V412" s="156"/>
      <c r="W412" s="332"/>
      <c r="X412" s="332"/>
      <c r="Y412" s="156"/>
      <c r="Z412" s="332"/>
      <c r="AA412" s="332"/>
      <c r="AB412" s="156"/>
      <c r="AC412" s="156"/>
      <c r="AD412" s="156"/>
      <c r="AE412" s="156"/>
      <c r="AF412" s="156"/>
      <c r="AG412" s="332"/>
      <c r="AH412" s="332"/>
      <c r="AI412" s="332"/>
      <c r="AJ412" s="332"/>
      <c r="AK412" s="332"/>
      <c r="AL412" s="332"/>
      <c r="AM412" s="332"/>
      <c r="AN412" s="332"/>
      <c r="AO412" s="332"/>
    </row>
    <row r="413" spans="1:41">
      <c r="A413" s="332"/>
      <c r="B413" s="332"/>
      <c r="C413" s="156"/>
      <c r="D413" s="332"/>
      <c r="E413" s="332"/>
      <c r="F413" s="332"/>
      <c r="G413" s="156"/>
      <c r="H413" s="332"/>
      <c r="I413" s="332"/>
      <c r="J413" s="332"/>
      <c r="K413" s="332"/>
      <c r="L413" s="332"/>
      <c r="M413" s="332"/>
      <c r="N413" s="156"/>
      <c r="O413" s="332"/>
      <c r="P413" s="332"/>
      <c r="Q413" s="332"/>
      <c r="R413" s="332"/>
      <c r="S413" s="332"/>
      <c r="T413" s="332"/>
      <c r="U413" s="332"/>
      <c r="V413" s="156"/>
      <c r="W413" s="332"/>
      <c r="X413" s="332"/>
      <c r="Y413" s="156"/>
      <c r="Z413" s="332"/>
      <c r="AA413" s="332"/>
      <c r="AB413" s="332"/>
      <c r="AC413" s="156"/>
      <c r="AD413" s="332"/>
      <c r="AE413" s="156"/>
      <c r="AF413" s="156"/>
      <c r="AG413" s="332"/>
      <c r="AH413" s="332"/>
      <c r="AI413" s="332"/>
      <c r="AJ413" s="332"/>
      <c r="AK413" s="332"/>
      <c r="AL413" s="332"/>
      <c r="AM413" s="332"/>
      <c r="AN413" s="332"/>
      <c r="AO413" s="332"/>
    </row>
    <row r="414" spans="1:41">
      <c r="A414" s="332"/>
      <c r="B414" s="332"/>
      <c r="C414" s="156"/>
      <c r="D414" s="332"/>
      <c r="E414" s="332"/>
      <c r="F414" s="332"/>
      <c r="G414" s="332"/>
      <c r="H414" s="332"/>
      <c r="I414" s="332"/>
      <c r="J414" s="332"/>
      <c r="K414" s="332"/>
      <c r="L414" s="332"/>
      <c r="M414" s="332"/>
      <c r="N414" s="156"/>
      <c r="O414" s="332"/>
      <c r="P414" s="332"/>
      <c r="Q414" s="332"/>
      <c r="R414" s="332"/>
      <c r="S414" s="332"/>
      <c r="T414" s="156"/>
      <c r="U414" s="332"/>
      <c r="V414" s="156"/>
      <c r="W414" s="332"/>
      <c r="X414" s="332"/>
      <c r="Y414" s="156"/>
      <c r="Z414" s="332"/>
      <c r="AA414" s="332"/>
      <c r="AB414" s="156"/>
      <c r="AC414" s="156"/>
      <c r="AD414" s="156"/>
      <c r="AE414" s="156"/>
      <c r="AF414" s="156"/>
      <c r="AG414" s="332"/>
      <c r="AH414" s="332"/>
      <c r="AI414" s="332"/>
      <c r="AJ414" s="332"/>
      <c r="AK414" s="332"/>
      <c r="AL414" s="332"/>
      <c r="AM414" s="332"/>
      <c r="AN414" s="332"/>
      <c r="AO414" s="332"/>
    </row>
    <row r="415" spans="1:41">
      <c r="A415" s="332"/>
      <c r="B415" s="332"/>
      <c r="C415" s="332"/>
      <c r="D415" s="332"/>
      <c r="E415" s="332"/>
      <c r="F415" s="332"/>
      <c r="G415" s="156"/>
      <c r="H415" s="332"/>
      <c r="I415" s="332"/>
      <c r="J415" s="332"/>
      <c r="K415" s="332"/>
      <c r="L415" s="332"/>
      <c r="M415" s="332"/>
      <c r="N415" s="156"/>
      <c r="O415" s="332"/>
      <c r="P415" s="332"/>
      <c r="Q415" s="332"/>
      <c r="R415" s="156"/>
      <c r="S415" s="332"/>
      <c r="T415" s="156"/>
      <c r="U415" s="332"/>
      <c r="V415" s="156"/>
      <c r="W415" s="332"/>
      <c r="X415" s="332"/>
      <c r="Y415" s="156"/>
      <c r="Z415" s="332"/>
      <c r="AA415" s="332"/>
      <c r="AB415" s="156"/>
      <c r="AC415" s="332"/>
      <c r="AD415" s="156"/>
      <c r="AE415" s="156"/>
      <c r="AF415" s="156"/>
      <c r="AG415" s="332"/>
      <c r="AH415" s="332"/>
      <c r="AI415" s="332"/>
      <c r="AJ415" s="332"/>
      <c r="AK415" s="332"/>
      <c r="AL415" s="332"/>
      <c r="AM415" s="332"/>
      <c r="AN415" s="332"/>
      <c r="AO415" s="332"/>
    </row>
    <row r="416" spans="1:41">
      <c r="A416" s="332"/>
      <c r="B416" s="332"/>
      <c r="C416" s="156"/>
      <c r="D416" s="332"/>
      <c r="E416" s="332"/>
      <c r="F416" s="332"/>
      <c r="G416" s="156"/>
      <c r="H416" s="332"/>
      <c r="I416" s="332"/>
      <c r="J416" s="332"/>
      <c r="K416" s="332"/>
      <c r="L416" s="332"/>
      <c r="M416" s="332"/>
      <c r="N416" s="156"/>
      <c r="O416" s="332"/>
      <c r="P416" s="332"/>
      <c r="Q416" s="332"/>
      <c r="R416" s="156"/>
      <c r="S416" s="332"/>
      <c r="T416" s="156"/>
      <c r="U416" s="332"/>
      <c r="V416" s="156"/>
      <c r="W416" s="332"/>
      <c r="X416" s="332"/>
      <c r="Y416" s="156"/>
      <c r="Z416" s="332"/>
      <c r="AA416" s="332"/>
      <c r="AB416" s="156"/>
      <c r="AC416" s="156"/>
      <c r="AD416" s="156"/>
      <c r="AE416" s="156"/>
      <c r="AF416" s="156"/>
      <c r="AG416" s="332"/>
      <c r="AH416" s="332"/>
      <c r="AI416" s="332"/>
      <c r="AJ416" s="332"/>
      <c r="AK416" s="332"/>
      <c r="AL416" s="332"/>
      <c r="AM416" s="332"/>
      <c r="AN416" s="332"/>
      <c r="AO416" s="332"/>
    </row>
    <row r="417" spans="1:41">
      <c r="A417" s="332"/>
      <c r="B417" s="332"/>
      <c r="C417" s="332"/>
      <c r="D417" s="332"/>
      <c r="E417" s="332"/>
      <c r="F417" s="332"/>
      <c r="G417" s="156"/>
      <c r="H417" s="332"/>
      <c r="I417" s="332"/>
      <c r="J417" s="332"/>
      <c r="K417" s="332"/>
      <c r="L417" s="332"/>
      <c r="M417" s="332"/>
      <c r="N417" s="156"/>
      <c r="O417" s="332"/>
      <c r="P417" s="332"/>
      <c r="Q417" s="332"/>
      <c r="R417" s="156"/>
      <c r="S417" s="332"/>
      <c r="T417" s="156"/>
      <c r="U417" s="332"/>
      <c r="V417" s="156"/>
      <c r="W417" s="332"/>
      <c r="X417" s="332"/>
      <c r="Y417" s="156"/>
      <c r="Z417" s="332"/>
      <c r="AA417" s="332"/>
      <c r="AB417" s="156"/>
      <c r="AC417" s="332"/>
      <c r="AD417" s="156"/>
      <c r="AE417" s="156"/>
      <c r="AF417" s="156"/>
      <c r="AG417" s="332"/>
      <c r="AH417" s="332"/>
      <c r="AI417" s="332"/>
      <c r="AJ417" s="332"/>
      <c r="AK417" s="332"/>
      <c r="AL417" s="332"/>
      <c r="AM417" s="332"/>
      <c r="AN417" s="332"/>
      <c r="AO417" s="332"/>
    </row>
    <row r="418" spans="1:41">
      <c r="A418" s="332"/>
      <c r="B418" s="332"/>
      <c r="C418" s="156"/>
      <c r="D418" s="332"/>
      <c r="E418" s="332"/>
      <c r="F418" s="332"/>
      <c r="G418" s="156"/>
      <c r="H418" s="332"/>
      <c r="I418" s="332"/>
      <c r="J418" s="332"/>
      <c r="K418" s="332"/>
      <c r="L418" s="332"/>
      <c r="M418" s="332"/>
      <c r="N418" s="156"/>
      <c r="O418" s="332"/>
      <c r="P418" s="332"/>
      <c r="Q418" s="332"/>
      <c r="R418" s="156"/>
      <c r="S418" s="332"/>
      <c r="T418" s="156"/>
      <c r="U418" s="332"/>
      <c r="V418" s="156"/>
      <c r="W418" s="332"/>
      <c r="X418" s="332"/>
      <c r="Y418" s="156"/>
      <c r="Z418" s="332"/>
      <c r="AA418" s="332"/>
      <c r="AB418" s="156"/>
      <c r="AC418" s="156"/>
      <c r="AD418" s="156"/>
      <c r="AE418" s="156"/>
      <c r="AF418" s="156"/>
      <c r="AG418" s="332"/>
      <c r="AH418" s="332"/>
      <c r="AI418" s="332"/>
      <c r="AJ418" s="332"/>
      <c r="AK418" s="332"/>
      <c r="AL418" s="332"/>
      <c r="AM418" s="332"/>
      <c r="AN418" s="332"/>
      <c r="AO418" s="332"/>
    </row>
    <row r="419" spans="1:41">
      <c r="A419" s="332"/>
      <c r="B419" s="332"/>
      <c r="C419" s="156"/>
      <c r="D419" s="332"/>
      <c r="E419" s="332"/>
      <c r="F419" s="332"/>
      <c r="G419" s="332"/>
      <c r="H419" s="332"/>
      <c r="I419" s="332"/>
      <c r="J419" s="332"/>
      <c r="K419" s="332"/>
      <c r="L419" s="332"/>
      <c r="M419" s="332"/>
      <c r="N419" s="156"/>
      <c r="O419" s="332"/>
      <c r="P419" s="332"/>
      <c r="Q419" s="332"/>
      <c r="R419" s="332"/>
      <c r="S419" s="332"/>
      <c r="T419" s="156"/>
      <c r="U419" s="332"/>
      <c r="V419" s="156"/>
      <c r="W419" s="332"/>
      <c r="X419" s="332"/>
      <c r="Y419" s="156"/>
      <c r="Z419" s="332"/>
      <c r="AA419" s="332"/>
      <c r="AB419" s="156"/>
      <c r="AC419" s="332"/>
      <c r="AD419" s="156"/>
      <c r="AE419" s="156"/>
      <c r="AF419" s="156"/>
      <c r="AG419" s="332"/>
      <c r="AH419" s="332"/>
      <c r="AI419" s="332"/>
      <c r="AJ419" s="332"/>
      <c r="AK419" s="332"/>
      <c r="AL419" s="332"/>
      <c r="AM419" s="332"/>
      <c r="AN419" s="332"/>
      <c r="AO419" s="332"/>
    </row>
    <row r="420" spans="1:41">
      <c r="A420" s="332"/>
      <c r="B420" s="332"/>
      <c r="C420" s="156"/>
      <c r="D420" s="332"/>
      <c r="E420" s="332"/>
      <c r="F420" s="332"/>
      <c r="G420" s="156"/>
      <c r="H420" s="332"/>
      <c r="I420" s="332"/>
      <c r="J420" s="332"/>
      <c r="K420" s="332"/>
      <c r="L420" s="332"/>
      <c r="M420" s="332"/>
      <c r="N420" s="156"/>
      <c r="O420" s="332"/>
      <c r="P420" s="332"/>
      <c r="Q420" s="332"/>
      <c r="R420" s="156"/>
      <c r="S420" s="332"/>
      <c r="T420" s="156"/>
      <c r="U420" s="332"/>
      <c r="V420" s="156"/>
      <c r="W420" s="332"/>
      <c r="X420" s="332"/>
      <c r="Y420" s="156"/>
      <c r="Z420" s="332"/>
      <c r="AA420" s="332"/>
      <c r="AB420" s="156"/>
      <c r="AC420" s="156"/>
      <c r="AD420" s="156"/>
      <c r="AE420" s="156"/>
      <c r="AF420" s="156"/>
      <c r="AG420" s="332"/>
      <c r="AH420" s="332"/>
      <c r="AI420" s="332"/>
      <c r="AJ420" s="332"/>
      <c r="AK420" s="332"/>
      <c r="AL420" s="332"/>
      <c r="AM420" s="332"/>
      <c r="AN420" s="332"/>
      <c r="AO420" s="332"/>
    </row>
    <row r="421" spans="1:41">
      <c r="A421" s="332"/>
      <c r="B421" s="332"/>
      <c r="C421" s="156"/>
      <c r="D421" s="332"/>
      <c r="E421" s="332"/>
      <c r="F421" s="332"/>
      <c r="G421" s="156"/>
      <c r="H421" s="332"/>
      <c r="I421" s="332"/>
      <c r="J421" s="332"/>
      <c r="K421" s="332"/>
      <c r="L421" s="332"/>
      <c r="M421" s="332"/>
      <c r="N421" s="156"/>
      <c r="O421" s="332"/>
      <c r="P421" s="332"/>
      <c r="Q421" s="332"/>
      <c r="R421" s="156"/>
      <c r="S421" s="332"/>
      <c r="T421" s="156"/>
      <c r="U421" s="332"/>
      <c r="V421" s="156"/>
      <c r="W421" s="332"/>
      <c r="X421" s="332"/>
      <c r="Y421" s="156"/>
      <c r="Z421" s="332"/>
      <c r="AA421" s="332"/>
      <c r="AB421" s="156"/>
      <c r="AC421" s="156"/>
      <c r="AD421" s="156"/>
      <c r="AE421" s="156"/>
      <c r="AF421" s="156"/>
      <c r="AG421" s="332"/>
      <c r="AH421" s="332"/>
      <c r="AI421" s="332"/>
      <c r="AJ421" s="332"/>
      <c r="AK421" s="332"/>
      <c r="AL421" s="332"/>
      <c r="AM421" s="332"/>
      <c r="AN421" s="332"/>
      <c r="AO421" s="332"/>
    </row>
    <row r="422" spans="1:41">
      <c r="A422" s="332"/>
      <c r="B422" s="332"/>
      <c r="C422" s="156"/>
      <c r="D422" s="332"/>
      <c r="E422" s="332"/>
      <c r="F422" s="332"/>
      <c r="G422" s="156"/>
      <c r="H422" s="332"/>
      <c r="I422" s="332"/>
      <c r="J422" s="332"/>
      <c r="K422" s="332"/>
      <c r="L422" s="332"/>
      <c r="M422" s="332"/>
      <c r="N422" s="156"/>
      <c r="O422" s="332"/>
      <c r="P422" s="332"/>
      <c r="Q422" s="332"/>
      <c r="R422" s="156"/>
      <c r="S422" s="332"/>
      <c r="T422" s="156"/>
      <c r="U422" s="332"/>
      <c r="V422" s="156"/>
      <c r="W422" s="332"/>
      <c r="X422" s="332"/>
      <c r="Y422" s="156"/>
      <c r="Z422" s="332"/>
      <c r="AA422" s="332"/>
      <c r="AB422" s="156"/>
      <c r="AC422" s="156"/>
      <c r="AD422" s="156"/>
      <c r="AE422" s="156"/>
      <c r="AF422" s="156"/>
      <c r="AG422" s="332"/>
      <c r="AH422" s="332"/>
      <c r="AI422" s="332"/>
      <c r="AJ422" s="332"/>
      <c r="AK422" s="332"/>
      <c r="AL422" s="332"/>
      <c r="AM422" s="332"/>
      <c r="AN422" s="332"/>
      <c r="AO422" s="332"/>
    </row>
    <row r="423" spans="1:41">
      <c r="A423" s="332"/>
      <c r="B423" s="332"/>
      <c r="C423" s="156"/>
      <c r="D423" s="332"/>
      <c r="E423" s="332"/>
      <c r="F423" s="332"/>
      <c r="G423" s="332"/>
      <c r="H423" s="332"/>
      <c r="I423" s="332"/>
      <c r="J423" s="332"/>
      <c r="K423" s="332"/>
      <c r="L423" s="332"/>
      <c r="M423" s="332"/>
      <c r="N423" s="156"/>
      <c r="O423" s="332"/>
      <c r="P423" s="332"/>
      <c r="Q423" s="332"/>
      <c r="R423" s="156"/>
      <c r="S423" s="332"/>
      <c r="T423" s="156"/>
      <c r="U423" s="332"/>
      <c r="V423" s="156"/>
      <c r="W423" s="332"/>
      <c r="X423" s="332"/>
      <c r="Y423" s="156"/>
      <c r="Z423" s="332"/>
      <c r="AA423" s="332"/>
      <c r="AB423" s="156"/>
      <c r="AC423" s="156"/>
      <c r="AD423" s="156"/>
      <c r="AE423" s="156"/>
      <c r="AF423" s="156"/>
      <c r="AG423" s="332"/>
      <c r="AH423" s="332"/>
      <c r="AI423" s="332"/>
      <c r="AJ423" s="332"/>
      <c r="AK423" s="332"/>
      <c r="AL423" s="332"/>
      <c r="AM423" s="332"/>
      <c r="AN423" s="332"/>
      <c r="AO423" s="332"/>
    </row>
    <row r="424" spans="1:41">
      <c r="A424" s="332"/>
      <c r="B424" s="332"/>
      <c r="C424" s="156"/>
      <c r="D424" s="332"/>
      <c r="E424" s="332"/>
      <c r="F424" s="332"/>
      <c r="G424" s="156"/>
      <c r="H424" s="332"/>
      <c r="I424" s="332"/>
      <c r="J424" s="332"/>
      <c r="K424" s="332"/>
      <c r="L424" s="332"/>
      <c r="M424" s="332"/>
      <c r="N424" s="156"/>
      <c r="O424" s="332"/>
      <c r="P424" s="332"/>
      <c r="Q424" s="332"/>
      <c r="R424" s="332"/>
      <c r="S424" s="332"/>
      <c r="T424" s="156"/>
      <c r="U424" s="332"/>
      <c r="V424" s="156"/>
      <c r="W424" s="332"/>
      <c r="X424" s="332"/>
      <c r="Y424" s="156"/>
      <c r="Z424" s="332"/>
      <c r="AA424" s="332"/>
      <c r="AB424" s="156"/>
      <c r="AC424" s="156"/>
      <c r="AD424" s="156"/>
      <c r="AE424" s="156"/>
      <c r="AF424" s="156"/>
      <c r="AG424" s="332"/>
      <c r="AH424" s="332"/>
      <c r="AI424" s="332"/>
      <c r="AJ424" s="332"/>
      <c r="AK424" s="332"/>
      <c r="AL424" s="332"/>
      <c r="AM424" s="332"/>
      <c r="AN424" s="332"/>
      <c r="AO424" s="332"/>
    </row>
    <row r="425" spans="1:41">
      <c r="A425" s="332"/>
      <c r="B425" s="332"/>
      <c r="C425" s="156"/>
      <c r="D425" s="332"/>
      <c r="E425" s="332"/>
      <c r="F425" s="332"/>
      <c r="G425" s="332"/>
      <c r="H425" s="332"/>
      <c r="I425" s="332"/>
      <c r="J425" s="332"/>
      <c r="K425" s="332"/>
      <c r="L425" s="332"/>
      <c r="M425" s="332"/>
      <c r="N425" s="156"/>
      <c r="O425" s="332"/>
      <c r="P425" s="332"/>
      <c r="Q425" s="332"/>
      <c r="R425" s="332"/>
      <c r="S425" s="332"/>
      <c r="T425" s="156"/>
      <c r="U425" s="332"/>
      <c r="V425" s="156"/>
      <c r="W425" s="332"/>
      <c r="X425" s="332"/>
      <c r="Y425" s="156"/>
      <c r="Z425" s="332"/>
      <c r="AA425" s="332"/>
      <c r="AB425" s="156"/>
      <c r="AC425" s="156"/>
      <c r="AD425" s="156"/>
      <c r="AE425" s="156"/>
      <c r="AF425" s="156"/>
      <c r="AG425" s="332"/>
      <c r="AH425" s="332"/>
      <c r="AI425" s="332"/>
      <c r="AJ425" s="332"/>
      <c r="AK425" s="332"/>
      <c r="AL425" s="332"/>
      <c r="AM425" s="332"/>
      <c r="AN425" s="332"/>
      <c r="AO425" s="332"/>
    </row>
    <row r="426" spans="1:41">
      <c r="A426" s="332"/>
      <c r="B426" s="332"/>
      <c r="C426" s="156"/>
      <c r="D426" s="332"/>
      <c r="E426" s="332"/>
      <c r="F426" s="332"/>
      <c r="G426" s="156"/>
      <c r="H426" s="332"/>
      <c r="I426" s="332"/>
      <c r="J426" s="332"/>
      <c r="K426" s="332"/>
      <c r="L426" s="332"/>
      <c r="M426" s="332"/>
      <c r="N426" s="156"/>
      <c r="O426" s="332"/>
      <c r="P426" s="332"/>
      <c r="Q426" s="332"/>
      <c r="R426" s="156"/>
      <c r="S426" s="332"/>
      <c r="T426" s="332"/>
      <c r="U426" s="332"/>
      <c r="V426" s="156"/>
      <c r="W426" s="332"/>
      <c r="X426" s="332"/>
      <c r="Y426" s="156"/>
      <c r="Z426" s="332"/>
      <c r="AA426" s="332"/>
      <c r="AB426" s="156"/>
      <c r="AC426" s="156"/>
      <c r="AD426" s="332"/>
      <c r="AE426" s="156"/>
      <c r="AF426" s="156"/>
      <c r="AG426" s="332"/>
      <c r="AH426" s="332"/>
      <c r="AI426" s="332"/>
      <c r="AJ426" s="332"/>
      <c r="AK426" s="332"/>
      <c r="AL426" s="332"/>
      <c r="AM426" s="332"/>
      <c r="AN426" s="332"/>
      <c r="AO426" s="332"/>
    </row>
    <row r="427" spans="1:41">
      <c r="A427" s="332"/>
      <c r="B427" s="332"/>
      <c r="C427" s="156"/>
      <c r="D427" s="332"/>
      <c r="E427" s="332"/>
      <c r="F427" s="332"/>
      <c r="G427" s="156"/>
      <c r="H427" s="332"/>
      <c r="I427" s="332"/>
      <c r="J427" s="332"/>
      <c r="K427" s="332"/>
      <c r="L427" s="332"/>
      <c r="M427" s="332"/>
      <c r="N427" s="156"/>
      <c r="O427" s="332"/>
      <c r="P427" s="332"/>
      <c r="Q427" s="332"/>
      <c r="R427" s="332"/>
      <c r="S427" s="332"/>
      <c r="T427" s="156"/>
      <c r="U427" s="332"/>
      <c r="V427" s="156"/>
      <c r="W427" s="332"/>
      <c r="X427" s="332"/>
      <c r="Y427" s="156"/>
      <c r="Z427" s="332"/>
      <c r="AA427" s="332"/>
      <c r="AB427" s="156"/>
      <c r="AC427" s="332"/>
      <c r="AD427" s="156"/>
      <c r="AE427" s="156"/>
      <c r="AF427" s="156"/>
      <c r="AG427" s="332"/>
      <c r="AH427" s="332"/>
      <c r="AI427" s="332"/>
      <c r="AJ427" s="332"/>
      <c r="AK427" s="332"/>
      <c r="AL427" s="332"/>
      <c r="AM427" s="332"/>
      <c r="AN427" s="332"/>
      <c r="AO427" s="332"/>
    </row>
    <row r="428" spans="1:41">
      <c r="A428" s="332"/>
      <c r="B428" s="332"/>
      <c r="C428" s="156"/>
      <c r="D428" s="332"/>
      <c r="E428" s="332"/>
      <c r="F428" s="332"/>
      <c r="G428" s="156"/>
      <c r="H428" s="332"/>
      <c r="I428" s="332"/>
      <c r="J428" s="332"/>
      <c r="K428" s="332"/>
      <c r="L428" s="332"/>
      <c r="M428" s="332"/>
      <c r="N428" s="156"/>
      <c r="O428" s="332"/>
      <c r="P428" s="332"/>
      <c r="Q428" s="332"/>
      <c r="R428" s="332"/>
      <c r="S428" s="332"/>
      <c r="T428" s="156"/>
      <c r="U428" s="332"/>
      <c r="V428" s="156"/>
      <c r="W428" s="332"/>
      <c r="X428" s="332"/>
      <c r="Y428" s="156"/>
      <c r="Z428" s="332"/>
      <c r="AA428" s="332"/>
      <c r="AB428" s="156"/>
      <c r="AC428" s="156"/>
      <c r="AD428" s="156"/>
      <c r="AE428" s="156"/>
      <c r="AF428" s="156"/>
      <c r="AG428" s="332"/>
      <c r="AH428" s="332"/>
      <c r="AI428" s="332"/>
      <c r="AJ428" s="332"/>
      <c r="AK428" s="332"/>
      <c r="AL428" s="332"/>
      <c r="AM428" s="332"/>
      <c r="AN428" s="332"/>
      <c r="AO428" s="332"/>
    </row>
    <row r="429" spans="1:41">
      <c r="A429" s="332"/>
      <c r="B429" s="332"/>
      <c r="C429" s="156"/>
      <c r="D429" s="332"/>
      <c r="E429" s="332"/>
      <c r="F429" s="332"/>
      <c r="G429" s="156"/>
      <c r="H429" s="332"/>
      <c r="I429" s="332"/>
      <c r="J429" s="332"/>
      <c r="K429" s="332"/>
      <c r="L429" s="332"/>
      <c r="M429" s="332"/>
      <c r="N429" s="156"/>
      <c r="O429" s="332"/>
      <c r="P429" s="332"/>
      <c r="Q429" s="332"/>
      <c r="R429" s="332"/>
      <c r="S429" s="332"/>
      <c r="T429" s="156"/>
      <c r="U429" s="332"/>
      <c r="V429" s="156"/>
      <c r="W429" s="332"/>
      <c r="X429" s="332"/>
      <c r="Y429" s="156"/>
      <c r="Z429" s="332"/>
      <c r="AA429" s="332"/>
      <c r="AB429" s="332"/>
      <c r="AC429" s="156"/>
      <c r="AD429" s="156"/>
      <c r="AE429" s="156"/>
      <c r="AF429" s="156"/>
      <c r="AG429" s="332"/>
      <c r="AH429" s="332"/>
      <c r="AI429" s="332"/>
      <c r="AJ429" s="332"/>
      <c r="AK429" s="332"/>
      <c r="AL429" s="332"/>
      <c r="AM429" s="332"/>
      <c r="AN429" s="332"/>
      <c r="AO429" s="332"/>
    </row>
    <row r="430" spans="1:41">
      <c r="A430" s="332"/>
      <c r="B430" s="332"/>
      <c r="C430" s="156"/>
      <c r="D430" s="332"/>
      <c r="E430" s="332"/>
      <c r="F430" s="332"/>
      <c r="G430" s="332"/>
      <c r="H430" s="332"/>
      <c r="I430" s="332"/>
      <c r="J430" s="332"/>
      <c r="K430" s="332"/>
      <c r="L430" s="332"/>
      <c r="M430" s="332"/>
      <c r="N430" s="156"/>
      <c r="O430" s="332"/>
      <c r="P430" s="332"/>
      <c r="Q430" s="332"/>
      <c r="R430" s="332"/>
      <c r="S430" s="332"/>
      <c r="T430" s="156"/>
      <c r="U430" s="332"/>
      <c r="V430" s="156"/>
      <c r="W430" s="332"/>
      <c r="X430" s="332"/>
      <c r="Y430" s="156"/>
      <c r="Z430" s="332"/>
      <c r="AA430" s="332"/>
      <c r="AB430" s="156"/>
      <c r="AC430" s="156"/>
      <c r="AD430" s="156"/>
      <c r="AE430" s="156"/>
      <c r="AF430" s="156"/>
      <c r="AG430" s="332"/>
      <c r="AH430" s="332"/>
      <c r="AI430" s="332"/>
      <c r="AJ430" s="332"/>
      <c r="AK430" s="332"/>
      <c r="AL430" s="332"/>
      <c r="AM430" s="332"/>
      <c r="AN430" s="332"/>
      <c r="AO430" s="332"/>
    </row>
    <row r="431" spans="1:41">
      <c r="A431" s="332"/>
      <c r="B431" s="332"/>
      <c r="C431" s="156"/>
      <c r="D431" s="332"/>
      <c r="E431" s="332"/>
      <c r="F431" s="332"/>
      <c r="G431" s="156"/>
      <c r="H431" s="332"/>
      <c r="I431" s="332"/>
      <c r="J431" s="332"/>
      <c r="K431" s="332"/>
      <c r="L431" s="332"/>
      <c r="M431" s="332"/>
      <c r="N431" s="156"/>
      <c r="O431" s="332"/>
      <c r="P431" s="332"/>
      <c r="Q431" s="332"/>
      <c r="R431" s="156"/>
      <c r="S431" s="332"/>
      <c r="T431" s="156"/>
      <c r="U431" s="332"/>
      <c r="V431" s="156"/>
      <c r="W431" s="332"/>
      <c r="X431" s="332"/>
      <c r="Y431" s="156"/>
      <c r="Z431" s="332"/>
      <c r="AA431" s="332"/>
      <c r="AB431" s="156"/>
      <c r="AC431" s="156"/>
      <c r="AD431" s="156"/>
      <c r="AE431" s="156"/>
      <c r="AF431" s="156"/>
      <c r="AG431" s="332"/>
      <c r="AH431" s="332"/>
      <c r="AI431" s="332"/>
      <c r="AJ431" s="332"/>
      <c r="AK431" s="332"/>
      <c r="AL431" s="332"/>
      <c r="AM431" s="332"/>
      <c r="AN431" s="332"/>
      <c r="AO431" s="332"/>
    </row>
    <row r="432" spans="1:41">
      <c r="A432" s="332"/>
      <c r="B432" s="332"/>
      <c r="C432" s="156"/>
      <c r="D432" s="332"/>
      <c r="E432" s="332"/>
      <c r="F432" s="332"/>
      <c r="G432" s="156"/>
      <c r="H432" s="332"/>
      <c r="I432" s="332"/>
      <c r="J432" s="332"/>
      <c r="K432" s="332"/>
      <c r="L432" s="332"/>
      <c r="M432" s="332"/>
      <c r="N432" s="156"/>
      <c r="O432" s="332"/>
      <c r="P432" s="332"/>
      <c r="Q432" s="332"/>
      <c r="R432" s="156"/>
      <c r="S432" s="332"/>
      <c r="T432" s="332"/>
      <c r="U432" s="332"/>
      <c r="V432" s="156"/>
      <c r="W432" s="332"/>
      <c r="X432" s="332"/>
      <c r="Y432" s="156"/>
      <c r="Z432" s="332"/>
      <c r="AA432" s="332"/>
      <c r="AB432" s="156"/>
      <c r="AC432" s="156"/>
      <c r="AD432" s="332"/>
      <c r="AE432" s="156"/>
      <c r="AF432" s="156"/>
      <c r="AG432" s="332"/>
      <c r="AH432" s="332"/>
      <c r="AI432" s="332"/>
      <c r="AJ432" s="332"/>
      <c r="AK432" s="332"/>
      <c r="AL432" s="332"/>
      <c r="AM432" s="332"/>
      <c r="AN432" s="332"/>
      <c r="AO432" s="332"/>
    </row>
    <row r="433" spans="1:41">
      <c r="A433" s="332"/>
      <c r="B433" s="332"/>
      <c r="C433" s="156"/>
      <c r="D433" s="332"/>
      <c r="E433" s="332"/>
      <c r="F433" s="332"/>
      <c r="G433" s="156"/>
      <c r="H433" s="332"/>
      <c r="I433" s="332"/>
      <c r="J433" s="332"/>
      <c r="K433" s="332"/>
      <c r="L433" s="332"/>
      <c r="M433" s="332"/>
      <c r="N433" s="156"/>
      <c r="O433" s="332"/>
      <c r="P433" s="332"/>
      <c r="Q433" s="332"/>
      <c r="R433" s="156"/>
      <c r="S433" s="332"/>
      <c r="T433" s="156"/>
      <c r="U433" s="332"/>
      <c r="V433" s="156"/>
      <c r="W433" s="332"/>
      <c r="X433" s="332"/>
      <c r="Y433" s="156"/>
      <c r="Z433" s="332"/>
      <c r="AA433" s="332"/>
      <c r="AB433" s="156"/>
      <c r="AC433" s="156"/>
      <c r="AD433" s="156"/>
      <c r="AE433" s="156"/>
      <c r="AF433" s="156"/>
      <c r="AG433" s="332"/>
      <c r="AH433" s="332"/>
      <c r="AI433" s="332"/>
      <c r="AJ433" s="332"/>
      <c r="AK433" s="332"/>
      <c r="AL433" s="332"/>
      <c r="AM433" s="332"/>
      <c r="AN433" s="332"/>
      <c r="AO433" s="332"/>
    </row>
    <row r="434" spans="1:41">
      <c r="A434" s="332"/>
      <c r="B434" s="332"/>
      <c r="C434" s="156"/>
      <c r="D434" s="332"/>
      <c r="E434" s="332"/>
      <c r="F434" s="332"/>
      <c r="G434" s="156"/>
      <c r="H434" s="332"/>
      <c r="I434" s="332"/>
      <c r="J434" s="332"/>
      <c r="K434" s="332"/>
      <c r="L434" s="332"/>
      <c r="M434" s="332"/>
      <c r="N434" s="156"/>
      <c r="O434" s="332"/>
      <c r="P434" s="332"/>
      <c r="Q434" s="332"/>
      <c r="R434" s="332"/>
      <c r="S434" s="332"/>
      <c r="T434" s="156"/>
      <c r="U434" s="332"/>
      <c r="V434" s="156"/>
      <c r="W434" s="332"/>
      <c r="X434" s="332"/>
      <c r="Y434" s="156"/>
      <c r="Z434" s="332"/>
      <c r="AA434" s="332"/>
      <c r="AB434" s="156"/>
      <c r="AC434" s="156"/>
      <c r="AD434" s="156"/>
      <c r="AE434" s="156"/>
      <c r="AF434" s="156"/>
      <c r="AG434" s="332"/>
      <c r="AH434" s="332"/>
      <c r="AI434" s="332"/>
      <c r="AJ434" s="332"/>
      <c r="AK434" s="332"/>
      <c r="AL434" s="332"/>
      <c r="AM434" s="332"/>
      <c r="AN434" s="332"/>
      <c r="AO434" s="332"/>
    </row>
    <row r="435" spans="1:41">
      <c r="A435" s="332"/>
      <c r="B435" s="332"/>
      <c r="C435" s="156"/>
      <c r="D435" s="332"/>
      <c r="E435" s="332"/>
      <c r="F435" s="332"/>
      <c r="G435" s="156"/>
      <c r="H435" s="332"/>
      <c r="I435" s="332"/>
      <c r="J435" s="332"/>
      <c r="K435" s="332"/>
      <c r="L435" s="332"/>
      <c r="M435" s="332"/>
      <c r="N435" s="156"/>
      <c r="O435" s="332"/>
      <c r="P435" s="332"/>
      <c r="Q435" s="332"/>
      <c r="R435" s="332"/>
      <c r="S435" s="332"/>
      <c r="T435" s="156"/>
      <c r="U435" s="332"/>
      <c r="V435" s="156"/>
      <c r="W435" s="332"/>
      <c r="X435" s="332"/>
      <c r="Y435" s="156"/>
      <c r="Z435" s="332"/>
      <c r="AA435" s="332"/>
      <c r="AB435" s="332"/>
      <c r="AC435" s="332"/>
      <c r="AD435" s="156"/>
      <c r="AE435" s="156"/>
      <c r="AF435" s="156"/>
      <c r="AG435" s="332"/>
      <c r="AH435" s="332"/>
      <c r="AI435" s="332"/>
      <c r="AJ435" s="332"/>
      <c r="AK435" s="332"/>
      <c r="AL435" s="332"/>
      <c r="AM435" s="332"/>
      <c r="AN435" s="332"/>
      <c r="AO435" s="332"/>
    </row>
    <row r="436" spans="1:41">
      <c r="A436" s="332"/>
      <c r="B436" s="332"/>
      <c r="C436" s="332"/>
      <c r="D436" s="332"/>
      <c r="E436" s="332"/>
      <c r="F436" s="332"/>
      <c r="G436" s="156"/>
      <c r="H436" s="332"/>
      <c r="I436" s="332"/>
      <c r="J436" s="332"/>
      <c r="K436" s="332"/>
      <c r="L436" s="332"/>
      <c r="M436" s="332"/>
      <c r="N436" s="156"/>
      <c r="O436" s="332"/>
      <c r="P436" s="332"/>
      <c r="Q436" s="332"/>
      <c r="R436" s="156"/>
      <c r="S436" s="332"/>
      <c r="T436" s="156"/>
      <c r="U436" s="332"/>
      <c r="V436" s="156"/>
      <c r="W436" s="332"/>
      <c r="X436" s="332"/>
      <c r="Y436" s="156"/>
      <c r="Z436" s="332"/>
      <c r="AA436" s="332"/>
      <c r="AB436" s="156"/>
      <c r="AC436" s="156"/>
      <c r="AD436" s="156"/>
      <c r="AE436" s="156"/>
      <c r="AF436" s="156"/>
      <c r="AG436" s="332"/>
      <c r="AH436" s="332"/>
      <c r="AI436" s="332"/>
      <c r="AJ436" s="332"/>
      <c r="AK436" s="332"/>
      <c r="AL436" s="332"/>
      <c r="AM436" s="332"/>
      <c r="AN436" s="332"/>
      <c r="AO436" s="332"/>
    </row>
    <row r="437" spans="1:41">
      <c r="A437" s="332"/>
      <c r="B437" s="332"/>
      <c r="C437" s="156"/>
      <c r="D437" s="332"/>
      <c r="E437" s="332"/>
      <c r="F437" s="332"/>
      <c r="G437" s="332"/>
      <c r="H437" s="332"/>
      <c r="I437" s="332"/>
      <c r="J437" s="332"/>
      <c r="K437" s="332"/>
      <c r="L437" s="332"/>
      <c r="M437" s="332"/>
      <c r="N437" s="156"/>
      <c r="O437" s="332"/>
      <c r="P437" s="332"/>
      <c r="Q437" s="332"/>
      <c r="R437" s="156"/>
      <c r="S437" s="332"/>
      <c r="T437" s="156"/>
      <c r="U437" s="332"/>
      <c r="V437" s="156"/>
      <c r="W437" s="332"/>
      <c r="X437" s="332"/>
      <c r="Y437" s="156"/>
      <c r="Z437" s="332"/>
      <c r="AA437" s="332"/>
      <c r="AB437" s="156"/>
      <c r="AC437" s="156"/>
      <c r="AD437" s="156"/>
      <c r="AE437" s="156"/>
      <c r="AF437" s="156"/>
      <c r="AG437" s="332"/>
      <c r="AH437" s="332"/>
      <c r="AI437" s="332"/>
      <c r="AJ437" s="332"/>
      <c r="AK437" s="332"/>
      <c r="AL437" s="332"/>
      <c r="AM437" s="332"/>
      <c r="AN437" s="332"/>
      <c r="AO437" s="332"/>
    </row>
    <row r="438" spans="1:41">
      <c r="A438" s="332"/>
      <c r="B438" s="332"/>
      <c r="C438" s="156"/>
      <c r="D438" s="332"/>
      <c r="E438" s="332"/>
      <c r="F438" s="332"/>
      <c r="G438" s="156"/>
      <c r="H438" s="332"/>
      <c r="I438" s="332"/>
      <c r="J438" s="332"/>
      <c r="K438" s="332"/>
      <c r="L438" s="332"/>
      <c r="M438" s="332"/>
      <c r="N438" s="156"/>
      <c r="O438" s="332"/>
      <c r="P438" s="332"/>
      <c r="Q438" s="332"/>
      <c r="R438" s="156"/>
      <c r="S438" s="332"/>
      <c r="T438" s="156"/>
      <c r="U438" s="332"/>
      <c r="V438" s="156"/>
      <c r="W438" s="332"/>
      <c r="X438" s="332"/>
      <c r="Y438" s="156"/>
      <c r="Z438" s="332"/>
      <c r="AA438" s="332"/>
      <c r="AB438" s="156"/>
      <c r="AC438" s="156"/>
      <c r="AD438" s="156"/>
      <c r="AE438" s="156"/>
      <c r="AF438" s="156"/>
      <c r="AG438" s="332"/>
      <c r="AH438" s="332"/>
      <c r="AI438" s="332"/>
      <c r="AJ438" s="332"/>
      <c r="AK438" s="332"/>
      <c r="AL438" s="332"/>
      <c r="AM438" s="332"/>
      <c r="AN438" s="332"/>
      <c r="AO438" s="332"/>
    </row>
    <row r="439" spans="1:41">
      <c r="A439" s="332"/>
      <c r="B439" s="332"/>
      <c r="C439" s="156"/>
      <c r="D439" s="332"/>
      <c r="E439" s="332"/>
      <c r="F439" s="332"/>
      <c r="G439" s="156"/>
      <c r="H439" s="332"/>
      <c r="I439" s="332"/>
      <c r="J439" s="332"/>
      <c r="K439" s="332"/>
      <c r="L439" s="332"/>
      <c r="M439" s="332"/>
      <c r="N439" s="156"/>
      <c r="O439" s="332"/>
      <c r="P439" s="332"/>
      <c r="Q439" s="332"/>
      <c r="R439" s="156"/>
      <c r="S439" s="332"/>
      <c r="T439" s="156"/>
      <c r="U439" s="332"/>
      <c r="V439" s="156"/>
      <c r="W439" s="332"/>
      <c r="X439" s="332"/>
      <c r="Y439" s="156"/>
      <c r="Z439" s="332"/>
      <c r="AA439" s="332"/>
      <c r="AB439" s="156"/>
      <c r="AC439" s="332"/>
      <c r="AD439" s="156"/>
      <c r="AE439" s="156"/>
      <c r="AF439" s="156"/>
      <c r="AG439" s="332"/>
      <c r="AH439" s="332"/>
      <c r="AI439" s="332"/>
      <c r="AJ439" s="332"/>
      <c r="AK439" s="332"/>
      <c r="AL439" s="332"/>
      <c r="AM439" s="332"/>
      <c r="AN439" s="332"/>
      <c r="AO439" s="332"/>
    </row>
    <row r="440" spans="1:41">
      <c r="A440" s="332"/>
      <c r="B440" s="332"/>
      <c r="C440" s="156"/>
      <c r="D440" s="332"/>
      <c r="E440" s="332"/>
      <c r="F440" s="332"/>
      <c r="G440" s="332"/>
      <c r="H440" s="332"/>
      <c r="I440" s="332"/>
      <c r="J440" s="332"/>
      <c r="K440" s="332"/>
      <c r="L440" s="332"/>
      <c r="M440" s="332"/>
      <c r="N440" s="156"/>
      <c r="O440" s="332"/>
      <c r="P440" s="332"/>
      <c r="Q440" s="332"/>
      <c r="R440" s="156"/>
      <c r="S440" s="332"/>
      <c r="T440" s="156"/>
      <c r="U440" s="332"/>
      <c r="V440" s="156"/>
      <c r="W440" s="332"/>
      <c r="X440" s="332"/>
      <c r="Y440" s="156"/>
      <c r="Z440" s="332"/>
      <c r="AA440" s="332"/>
      <c r="AB440" s="156"/>
      <c r="AC440" s="156"/>
      <c r="AD440" s="156"/>
      <c r="AE440" s="156"/>
      <c r="AF440" s="156"/>
      <c r="AG440" s="332"/>
      <c r="AH440" s="332"/>
      <c r="AI440" s="332"/>
      <c r="AJ440" s="332"/>
      <c r="AK440" s="332"/>
      <c r="AL440" s="332"/>
      <c r="AM440" s="332"/>
      <c r="AN440" s="332"/>
      <c r="AO440" s="332"/>
    </row>
    <row r="441" spans="1:41">
      <c r="A441" s="332"/>
      <c r="B441" s="332"/>
      <c r="C441" s="332"/>
      <c r="D441" s="332"/>
      <c r="E441" s="332"/>
      <c r="F441" s="332"/>
      <c r="G441" s="156"/>
      <c r="H441" s="332"/>
      <c r="I441" s="332"/>
      <c r="J441" s="332"/>
      <c r="K441" s="332"/>
      <c r="L441" s="332"/>
      <c r="M441" s="332"/>
      <c r="N441" s="156"/>
      <c r="O441" s="332"/>
      <c r="P441" s="332"/>
      <c r="Q441" s="332"/>
      <c r="R441" s="332"/>
      <c r="S441" s="332"/>
      <c r="T441" s="156"/>
      <c r="U441" s="332"/>
      <c r="V441" s="156"/>
      <c r="W441" s="332"/>
      <c r="X441" s="332"/>
      <c r="Y441" s="156"/>
      <c r="Z441" s="332"/>
      <c r="AA441" s="332"/>
      <c r="AB441" s="156"/>
      <c r="AC441" s="332"/>
      <c r="AD441" s="156"/>
      <c r="AE441" s="156"/>
      <c r="AF441" s="156"/>
      <c r="AG441" s="332"/>
      <c r="AH441" s="332"/>
      <c r="AI441" s="332"/>
      <c r="AJ441" s="332"/>
      <c r="AK441" s="332"/>
      <c r="AL441" s="332"/>
      <c r="AM441" s="332"/>
      <c r="AN441" s="332"/>
      <c r="AO441" s="332"/>
    </row>
    <row r="442" spans="1:41">
      <c r="A442" s="332"/>
      <c r="B442" s="332"/>
      <c r="C442" s="156"/>
      <c r="D442" s="332"/>
      <c r="E442" s="332"/>
      <c r="F442" s="332"/>
      <c r="G442" s="332"/>
      <c r="H442" s="332"/>
      <c r="I442" s="332"/>
      <c r="J442" s="332"/>
      <c r="K442" s="332"/>
      <c r="L442" s="332"/>
      <c r="M442" s="332"/>
      <c r="N442" s="156"/>
      <c r="O442" s="332"/>
      <c r="P442" s="332"/>
      <c r="Q442" s="332"/>
      <c r="R442" s="156"/>
      <c r="S442" s="332"/>
      <c r="T442" s="156"/>
      <c r="U442" s="332"/>
      <c r="V442" s="156"/>
      <c r="W442" s="332"/>
      <c r="X442" s="332"/>
      <c r="Y442" s="156"/>
      <c r="Z442" s="332"/>
      <c r="AA442" s="332"/>
      <c r="AB442" s="156"/>
      <c r="AC442" s="156"/>
      <c r="AD442" s="156"/>
      <c r="AE442" s="156"/>
      <c r="AF442" s="156"/>
      <c r="AG442" s="332"/>
      <c r="AH442" s="332"/>
      <c r="AI442" s="332"/>
      <c r="AJ442" s="332"/>
      <c r="AK442" s="332"/>
      <c r="AL442" s="332"/>
      <c r="AM442" s="332"/>
      <c r="AN442" s="332"/>
      <c r="AO442" s="332"/>
    </row>
    <row r="443" spans="1:41">
      <c r="A443" s="332"/>
      <c r="B443" s="332"/>
      <c r="C443" s="156"/>
      <c r="D443" s="332"/>
      <c r="E443" s="332"/>
      <c r="F443" s="332"/>
      <c r="G443" s="156"/>
      <c r="H443" s="332"/>
      <c r="I443" s="332"/>
      <c r="J443" s="332"/>
      <c r="K443" s="332"/>
      <c r="L443" s="332"/>
      <c r="M443" s="332"/>
      <c r="N443" s="156"/>
      <c r="O443" s="332"/>
      <c r="P443" s="332"/>
      <c r="Q443" s="332"/>
      <c r="R443" s="332"/>
      <c r="S443" s="332"/>
      <c r="T443" s="332"/>
      <c r="U443" s="332"/>
      <c r="V443" s="156"/>
      <c r="W443" s="332"/>
      <c r="X443" s="332"/>
      <c r="Y443" s="156"/>
      <c r="Z443" s="332"/>
      <c r="AA443" s="332"/>
      <c r="AB443" s="156"/>
      <c r="AC443" s="156"/>
      <c r="AD443" s="332"/>
      <c r="AE443" s="156"/>
      <c r="AF443" s="156"/>
      <c r="AG443" s="332"/>
      <c r="AH443" s="332"/>
      <c r="AI443" s="332"/>
      <c r="AJ443" s="332"/>
      <c r="AK443" s="332"/>
      <c r="AL443" s="332"/>
      <c r="AM443" s="332"/>
      <c r="AN443" s="332"/>
      <c r="AO443" s="332"/>
    </row>
    <row r="444" spans="1:41">
      <c r="A444" s="332"/>
      <c r="B444" s="332"/>
      <c r="C444" s="156"/>
      <c r="D444" s="332"/>
      <c r="E444" s="332"/>
      <c r="F444" s="332"/>
      <c r="G444" s="332"/>
      <c r="H444" s="332"/>
      <c r="I444" s="332"/>
      <c r="J444" s="332"/>
      <c r="K444" s="332"/>
      <c r="L444" s="332"/>
      <c r="M444" s="332"/>
      <c r="N444" s="156"/>
      <c r="O444" s="332"/>
      <c r="P444" s="332"/>
      <c r="Q444" s="332"/>
      <c r="R444" s="156"/>
      <c r="S444" s="332"/>
      <c r="T444" s="156"/>
      <c r="U444" s="332"/>
      <c r="V444" s="156"/>
      <c r="W444" s="332"/>
      <c r="X444" s="332"/>
      <c r="Y444" s="156"/>
      <c r="Z444" s="332"/>
      <c r="AA444" s="332"/>
      <c r="AB444" s="156"/>
      <c r="AC444" s="156"/>
      <c r="AD444" s="156"/>
      <c r="AE444" s="156"/>
      <c r="AF444" s="156"/>
      <c r="AG444" s="332"/>
      <c r="AH444" s="332"/>
      <c r="AI444" s="332"/>
      <c r="AJ444" s="332"/>
      <c r="AK444" s="332"/>
      <c r="AL444" s="332"/>
      <c r="AM444" s="332"/>
      <c r="AN444" s="332"/>
      <c r="AO444" s="332"/>
    </row>
    <row r="445" spans="1:41">
      <c r="A445" s="332"/>
      <c r="B445" s="332"/>
      <c r="C445" s="156"/>
      <c r="D445" s="332"/>
      <c r="E445" s="332"/>
      <c r="F445" s="332"/>
      <c r="G445" s="332"/>
      <c r="H445" s="332"/>
      <c r="I445" s="332"/>
      <c r="J445" s="332"/>
      <c r="K445" s="332"/>
      <c r="L445" s="332"/>
      <c r="M445" s="332"/>
      <c r="N445" s="156"/>
      <c r="O445" s="332"/>
      <c r="P445" s="332"/>
      <c r="Q445" s="332"/>
      <c r="R445" s="156"/>
      <c r="S445" s="332"/>
      <c r="T445" s="156"/>
      <c r="U445" s="332"/>
      <c r="V445" s="156"/>
      <c r="W445" s="332"/>
      <c r="X445" s="332"/>
      <c r="Y445" s="156"/>
      <c r="Z445" s="332"/>
      <c r="AA445" s="332"/>
      <c r="AB445" s="156"/>
      <c r="AC445" s="156"/>
      <c r="AD445" s="156"/>
      <c r="AE445" s="156"/>
      <c r="AF445" s="156"/>
      <c r="AG445" s="332"/>
      <c r="AH445" s="332"/>
      <c r="AI445" s="332"/>
      <c r="AJ445" s="332"/>
      <c r="AK445" s="332"/>
      <c r="AL445" s="332"/>
      <c r="AM445" s="332"/>
      <c r="AN445" s="332"/>
      <c r="AO445" s="332"/>
    </row>
    <row r="446" spans="1:41">
      <c r="A446" s="332"/>
      <c r="B446" s="332"/>
      <c r="C446" s="156"/>
      <c r="D446" s="332"/>
      <c r="E446" s="332"/>
      <c r="F446" s="332"/>
      <c r="G446" s="156"/>
      <c r="H446" s="332"/>
      <c r="I446" s="332"/>
      <c r="J446" s="332"/>
      <c r="K446" s="332"/>
      <c r="L446" s="332"/>
      <c r="M446" s="332"/>
      <c r="N446" s="156"/>
      <c r="O446" s="332"/>
      <c r="P446" s="332"/>
      <c r="Q446" s="332"/>
      <c r="R446" s="156"/>
      <c r="S446" s="332"/>
      <c r="T446" s="156"/>
      <c r="U446" s="332"/>
      <c r="V446" s="156"/>
      <c r="W446" s="332"/>
      <c r="X446" s="332"/>
      <c r="Y446" s="156"/>
      <c r="Z446" s="332"/>
      <c r="AA446" s="332"/>
      <c r="AB446" s="156"/>
      <c r="AC446" s="156"/>
      <c r="AD446" s="156"/>
      <c r="AE446" s="156"/>
      <c r="AF446" s="156"/>
      <c r="AG446" s="332"/>
      <c r="AH446" s="332"/>
      <c r="AI446" s="332"/>
      <c r="AJ446" s="332"/>
      <c r="AK446" s="332"/>
      <c r="AL446" s="332"/>
      <c r="AM446" s="332"/>
      <c r="AN446" s="332"/>
      <c r="AO446" s="332"/>
    </row>
    <row r="447" spans="1:41">
      <c r="A447" s="332"/>
      <c r="B447" s="332"/>
      <c r="C447" s="332"/>
      <c r="D447" s="332"/>
      <c r="E447" s="332"/>
      <c r="F447" s="332"/>
      <c r="G447" s="156"/>
      <c r="H447" s="332"/>
      <c r="I447" s="332"/>
      <c r="J447" s="332"/>
      <c r="K447" s="332"/>
      <c r="L447" s="332"/>
      <c r="M447" s="332"/>
      <c r="N447" s="156"/>
      <c r="O447" s="332"/>
      <c r="P447" s="332"/>
      <c r="Q447" s="332"/>
      <c r="R447" s="332"/>
      <c r="S447" s="332"/>
      <c r="T447" s="156"/>
      <c r="U447" s="332"/>
      <c r="V447" s="156"/>
      <c r="W447" s="332"/>
      <c r="X447" s="332"/>
      <c r="Y447" s="156"/>
      <c r="Z447" s="332"/>
      <c r="AA447" s="332"/>
      <c r="AB447" s="156"/>
      <c r="AC447" s="332"/>
      <c r="AD447" s="156"/>
      <c r="AE447" s="156"/>
      <c r="AF447" s="156"/>
      <c r="AG447" s="332"/>
      <c r="AH447" s="332"/>
      <c r="AI447" s="332"/>
      <c r="AJ447" s="332"/>
      <c r="AK447" s="332"/>
      <c r="AL447" s="332"/>
      <c r="AM447" s="332"/>
      <c r="AN447" s="332"/>
      <c r="AO447" s="332"/>
    </row>
    <row r="448" spans="1:41">
      <c r="A448" s="332"/>
      <c r="B448" s="332"/>
      <c r="C448" s="156"/>
      <c r="D448" s="332"/>
      <c r="E448" s="332"/>
      <c r="F448" s="332"/>
      <c r="G448" s="332"/>
      <c r="H448" s="332"/>
      <c r="I448" s="332"/>
      <c r="J448" s="332"/>
      <c r="K448" s="332"/>
      <c r="L448" s="332"/>
      <c r="M448" s="332"/>
      <c r="N448" s="156"/>
      <c r="O448" s="332"/>
      <c r="P448" s="332"/>
      <c r="Q448" s="332"/>
      <c r="R448" s="156"/>
      <c r="S448" s="332"/>
      <c r="T448" s="156"/>
      <c r="U448" s="332"/>
      <c r="V448" s="156"/>
      <c r="W448" s="332"/>
      <c r="X448" s="332"/>
      <c r="Y448" s="156"/>
      <c r="Z448" s="332"/>
      <c r="AA448" s="332"/>
      <c r="AB448" s="156"/>
      <c r="AC448" s="156"/>
      <c r="AD448" s="156"/>
      <c r="AE448" s="156"/>
      <c r="AF448" s="156"/>
      <c r="AG448" s="332"/>
      <c r="AH448" s="332"/>
      <c r="AI448" s="332"/>
      <c r="AJ448" s="332"/>
      <c r="AK448" s="332"/>
      <c r="AL448" s="332"/>
      <c r="AM448" s="332"/>
      <c r="AN448" s="332"/>
      <c r="AO448" s="332"/>
    </row>
    <row r="449" spans="1:41">
      <c r="A449" s="332"/>
      <c r="B449" s="332"/>
      <c r="C449" s="156"/>
      <c r="D449" s="332"/>
      <c r="E449" s="332"/>
      <c r="F449" s="332"/>
      <c r="G449" s="156"/>
      <c r="H449" s="332"/>
      <c r="I449" s="332"/>
      <c r="J449" s="332"/>
      <c r="K449" s="332"/>
      <c r="L449" s="332"/>
      <c r="M449" s="332"/>
      <c r="N449" s="156"/>
      <c r="O449" s="332"/>
      <c r="P449" s="332"/>
      <c r="Q449" s="332"/>
      <c r="R449" s="156"/>
      <c r="S449" s="332"/>
      <c r="T449" s="156"/>
      <c r="U449" s="332"/>
      <c r="V449" s="156"/>
      <c r="W449" s="332"/>
      <c r="X449" s="332"/>
      <c r="Y449" s="156"/>
      <c r="Z449" s="332"/>
      <c r="AA449" s="332"/>
      <c r="AB449" s="156"/>
      <c r="AC449" s="156"/>
      <c r="AD449" s="156"/>
      <c r="AE449" s="156"/>
      <c r="AF449" s="156"/>
      <c r="AG449" s="332"/>
      <c r="AH449" s="332"/>
      <c r="AI449" s="332"/>
      <c r="AJ449" s="332"/>
      <c r="AK449" s="332"/>
      <c r="AL449" s="332"/>
      <c r="AM449" s="332"/>
      <c r="AN449" s="332"/>
      <c r="AO449" s="332"/>
    </row>
    <row r="450" spans="1:41">
      <c r="A450" s="332"/>
      <c r="B450" s="332"/>
      <c r="C450" s="156"/>
      <c r="D450" s="332"/>
      <c r="E450" s="332"/>
      <c r="F450" s="332"/>
      <c r="G450" s="332"/>
      <c r="H450" s="332"/>
      <c r="I450" s="332"/>
      <c r="J450" s="332"/>
      <c r="K450" s="332"/>
      <c r="L450" s="332"/>
      <c r="M450" s="332"/>
      <c r="N450" s="156"/>
      <c r="O450" s="332"/>
      <c r="P450" s="332"/>
      <c r="Q450" s="332"/>
      <c r="R450" s="156"/>
      <c r="S450" s="332"/>
      <c r="T450" s="156"/>
      <c r="U450" s="332"/>
      <c r="V450" s="156"/>
      <c r="W450" s="332"/>
      <c r="X450" s="332"/>
      <c r="Y450" s="156"/>
      <c r="Z450" s="332"/>
      <c r="AA450" s="332"/>
      <c r="AB450" s="156"/>
      <c r="AC450" s="156"/>
      <c r="AD450" s="156"/>
      <c r="AE450" s="156"/>
      <c r="AF450" s="156"/>
      <c r="AG450" s="332"/>
      <c r="AH450" s="332"/>
      <c r="AI450" s="332"/>
      <c r="AJ450" s="332"/>
      <c r="AK450" s="332"/>
      <c r="AL450" s="332"/>
      <c r="AM450" s="332"/>
      <c r="AN450" s="332"/>
      <c r="AO450" s="332"/>
    </row>
    <row r="451" spans="1:41">
      <c r="A451" s="332"/>
      <c r="B451" s="332"/>
      <c r="C451" s="332"/>
      <c r="D451" s="332"/>
      <c r="E451" s="332"/>
      <c r="F451" s="332"/>
      <c r="G451" s="156"/>
      <c r="H451" s="332"/>
      <c r="I451" s="332"/>
      <c r="J451" s="332"/>
      <c r="K451" s="332"/>
      <c r="L451" s="332"/>
      <c r="M451" s="332"/>
      <c r="N451" s="156"/>
      <c r="O451" s="332"/>
      <c r="P451" s="332"/>
      <c r="Q451" s="332"/>
      <c r="R451" s="156"/>
      <c r="S451" s="332"/>
      <c r="T451" s="156"/>
      <c r="U451" s="332"/>
      <c r="V451" s="156"/>
      <c r="W451" s="332"/>
      <c r="X451" s="332"/>
      <c r="Y451" s="156"/>
      <c r="Z451" s="332"/>
      <c r="AA451" s="332"/>
      <c r="AB451" s="332"/>
      <c r="AC451" s="332"/>
      <c r="AD451" s="156"/>
      <c r="AE451" s="156"/>
      <c r="AF451" s="156"/>
      <c r="AG451" s="332"/>
      <c r="AH451" s="332"/>
      <c r="AI451" s="332"/>
      <c r="AJ451" s="332"/>
      <c r="AK451" s="332"/>
      <c r="AL451" s="332"/>
      <c r="AM451" s="332"/>
      <c r="AN451" s="332"/>
      <c r="AO451" s="332"/>
    </row>
    <row r="452" spans="1:41">
      <c r="A452" s="332"/>
      <c r="B452" s="332"/>
      <c r="C452" s="332"/>
      <c r="D452" s="332"/>
      <c r="E452" s="332"/>
      <c r="F452" s="332"/>
      <c r="G452" s="156"/>
      <c r="H452" s="332"/>
      <c r="I452" s="332"/>
      <c r="J452" s="332"/>
      <c r="K452" s="332"/>
      <c r="L452" s="332"/>
      <c r="M452" s="332"/>
      <c r="N452" s="156"/>
      <c r="O452" s="332"/>
      <c r="P452" s="332"/>
      <c r="Q452" s="332"/>
      <c r="R452" s="332"/>
      <c r="S452" s="332"/>
      <c r="T452" s="156"/>
      <c r="U452" s="332"/>
      <c r="V452" s="156"/>
      <c r="W452" s="332"/>
      <c r="X452" s="332"/>
      <c r="Y452" s="156"/>
      <c r="Z452" s="332"/>
      <c r="AA452" s="332"/>
      <c r="AB452" s="156"/>
      <c r="AC452" s="332"/>
      <c r="AD452" s="156"/>
      <c r="AE452" s="156"/>
      <c r="AF452" s="156"/>
      <c r="AG452" s="332"/>
      <c r="AH452" s="332"/>
      <c r="AI452" s="332"/>
      <c r="AJ452" s="332"/>
      <c r="AK452" s="332"/>
      <c r="AL452" s="332"/>
      <c r="AM452" s="332"/>
      <c r="AN452" s="332"/>
      <c r="AO452" s="332"/>
    </row>
    <row r="453" spans="1:41">
      <c r="A453" s="332"/>
      <c r="B453" s="332"/>
      <c r="C453" s="156"/>
      <c r="D453" s="332"/>
      <c r="E453" s="332"/>
      <c r="F453" s="332"/>
      <c r="G453" s="156"/>
      <c r="H453" s="332"/>
      <c r="I453" s="332"/>
      <c r="J453" s="332"/>
      <c r="K453" s="332"/>
      <c r="L453" s="332"/>
      <c r="M453" s="332"/>
      <c r="N453" s="156"/>
      <c r="O453" s="332"/>
      <c r="P453" s="332"/>
      <c r="Q453" s="332"/>
      <c r="R453" s="156"/>
      <c r="S453" s="332"/>
      <c r="T453" s="156"/>
      <c r="U453" s="332"/>
      <c r="V453" s="156"/>
      <c r="W453" s="332"/>
      <c r="X453" s="332"/>
      <c r="Y453" s="156"/>
      <c r="Z453" s="332"/>
      <c r="AA453" s="332"/>
      <c r="AB453" s="156"/>
      <c r="AC453" s="156"/>
      <c r="AD453" s="156"/>
      <c r="AE453" s="156"/>
      <c r="AF453" s="156"/>
      <c r="AG453" s="332"/>
      <c r="AH453" s="332"/>
      <c r="AI453" s="332"/>
      <c r="AJ453" s="332"/>
      <c r="AK453" s="332"/>
      <c r="AL453" s="332"/>
      <c r="AM453" s="332"/>
      <c r="AN453" s="332"/>
      <c r="AO453" s="332"/>
    </row>
    <row r="454" spans="1:41">
      <c r="A454" s="332"/>
      <c r="B454" s="332"/>
      <c r="C454" s="156"/>
      <c r="D454" s="332"/>
      <c r="E454" s="332"/>
      <c r="F454" s="332"/>
      <c r="G454" s="332"/>
      <c r="H454" s="332"/>
      <c r="I454" s="332"/>
      <c r="J454" s="332"/>
      <c r="K454" s="332"/>
      <c r="L454" s="332"/>
      <c r="M454" s="332"/>
      <c r="N454" s="156"/>
      <c r="O454" s="332"/>
      <c r="P454" s="332"/>
      <c r="Q454" s="332"/>
      <c r="R454" s="156"/>
      <c r="S454" s="332"/>
      <c r="T454" s="156"/>
      <c r="U454" s="332"/>
      <c r="V454" s="156"/>
      <c r="W454" s="332"/>
      <c r="X454" s="332"/>
      <c r="Y454" s="156"/>
      <c r="Z454" s="332"/>
      <c r="AA454" s="332"/>
      <c r="AB454" s="156"/>
      <c r="AC454" s="156"/>
      <c r="AD454" s="156"/>
      <c r="AE454" s="156"/>
      <c r="AF454" s="156"/>
      <c r="AG454" s="332"/>
      <c r="AH454" s="332"/>
      <c r="AI454" s="332"/>
      <c r="AJ454" s="332"/>
      <c r="AK454" s="332"/>
      <c r="AL454" s="332"/>
      <c r="AM454" s="332"/>
      <c r="AN454" s="332"/>
      <c r="AO454" s="332"/>
    </row>
    <row r="455" spans="1:41">
      <c r="A455" s="332"/>
      <c r="B455" s="332"/>
      <c r="C455" s="332"/>
      <c r="D455" s="332"/>
      <c r="E455" s="332"/>
      <c r="F455" s="332"/>
      <c r="G455" s="156"/>
      <c r="H455" s="332"/>
      <c r="I455" s="332"/>
      <c r="J455" s="332"/>
      <c r="K455" s="332"/>
      <c r="L455" s="332"/>
      <c r="M455" s="332"/>
      <c r="N455" s="156"/>
      <c r="O455" s="332"/>
      <c r="P455" s="332"/>
      <c r="Q455" s="332"/>
      <c r="R455" s="332"/>
      <c r="S455" s="332"/>
      <c r="T455" s="156"/>
      <c r="U455" s="332"/>
      <c r="V455" s="156"/>
      <c r="W455" s="332"/>
      <c r="X455" s="332"/>
      <c r="Y455" s="156"/>
      <c r="Z455" s="332"/>
      <c r="AA455" s="332"/>
      <c r="AB455" s="156"/>
      <c r="AC455" s="332"/>
      <c r="AD455" s="156"/>
      <c r="AE455" s="156"/>
      <c r="AF455" s="156"/>
      <c r="AG455" s="332"/>
      <c r="AH455" s="332"/>
      <c r="AI455" s="332"/>
      <c r="AJ455" s="332"/>
      <c r="AK455" s="332"/>
      <c r="AL455" s="332"/>
      <c r="AM455" s="332"/>
      <c r="AN455" s="332"/>
      <c r="AO455" s="332"/>
    </row>
    <row r="456" spans="1:41">
      <c r="A456" s="332"/>
      <c r="B456" s="332"/>
      <c r="C456" s="156"/>
      <c r="D456" s="332"/>
      <c r="E456" s="332"/>
      <c r="F456" s="332"/>
      <c r="G456" s="156"/>
      <c r="H456" s="332"/>
      <c r="I456" s="332"/>
      <c r="J456" s="332"/>
      <c r="K456" s="332"/>
      <c r="L456" s="332"/>
      <c r="M456" s="332"/>
      <c r="N456" s="156"/>
      <c r="O456" s="332"/>
      <c r="P456" s="332"/>
      <c r="Q456" s="332"/>
      <c r="R456" s="332"/>
      <c r="S456" s="332"/>
      <c r="T456" s="156"/>
      <c r="U456" s="332"/>
      <c r="V456" s="156"/>
      <c r="W456" s="332"/>
      <c r="X456" s="332"/>
      <c r="Y456" s="156"/>
      <c r="Z456" s="332"/>
      <c r="AA456" s="332"/>
      <c r="AB456" s="332"/>
      <c r="AC456" s="156"/>
      <c r="AD456" s="156"/>
      <c r="AE456" s="156"/>
      <c r="AF456" s="156"/>
      <c r="AG456" s="332"/>
      <c r="AH456" s="332"/>
      <c r="AI456" s="332"/>
      <c r="AJ456" s="332"/>
      <c r="AK456" s="332"/>
      <c r="AL456" s="332"/>
      <c r="AM456" s="332"/>
      <c r="AN456" s="332"/>
      <c r="AO456" s="332"/>
    </row>
    <row r="457" spans="1:41">
      <c r="A457" s="332"/>
      <c r="B457" s="332"/>
      <c r="C457" s="156"/>
      <c r="D457" s="332"/>
      <c r="E457" s="332"/>
      <c r="F457" s="332"/>
      <c r="G457" s="332"/>
      <c r="H457" s="332"/>
      <c r="I457" s="332"/>
      <c r="J457" s="332"/>
      <c r="K457" s="332"/>
      <c r="L457" s="332"/>
      <c r="M457" s="332"/>
      <c r="N457" s="156"/>
      <c r="O457" s="332"/>
      <c r="P457" s="332"/>
      <c r="Q457" s="332"/>
      <c r="R457" s="332"/>
      <c r="S457" s="332"/>
      <c r="T457" s="156"/>
      <c r="U457" s="332"/>
      <c r="V457" s="156"/>
      <c r="W457" s="332"/>
      <c r="X457" s="332"/>
      <c r="Y457" s="156"/>
      <c r="Z457" s="332"/>
      <c r="AA457" s="332"/>
      <c r="AB457" s="156"/>
      <c r="AC457" s="332"/>
      <c r="AD457" s="156"/>
      <c r="AE457" s="156"/>
      <c r="AF457" s="156"/>
      <c r="AG457" s="332"/>
      <c r="AH457" s="332"/>
      <c r="AI457" s="332"/>
      <c r="AJ457" s="332"/>
      <c r="AK457" s="332"/>
      <c r="AL457" s="332"/>
      <c r="AM457" s="332"/>
      <c r="AN457" s="332"/>
      <c r="AO457" s="332"/>
    </row>
    <row r="458" spans="1:41">
      <c r="A458" s="332"/>
      <c r="B458" s="332"/>
      <c r="C458" s="156"/>
      <c r="D458" s="332"/>
      <c r="E458" s="332"/>
      <c r="F458" s="332"/>
      <c r="G458" s="332"/>
      <c r="H458" s="332"/>
      <c r="I458" s="332"/>
      <c r="J458" s="332"/>
      <c r="K458" s="332"/>
      <c r="L458" s="332"/>
      <c r="M458" s="332"/>
      <c r="N458" s="156"/>
      <c r="O458" s="332"/>
      <c r="P458" s="332"/>
      <c r="Q458" s="332"/>
      <c r="R458" s="332"/>
      <c r="S458" s="332"/>
      <c r="T458" s="156"/>
      <c r="U458" s="332"/>
      <c r="V458" s="156"/>
      <c r="W458" s="332"/>
      <c r="X458" s="332"/>
      <c r="Y458" s="156"/>
      <c r="Z458" s="332"/>
      <c r="AA458" s="332"/>
      <c r="AB458" s="332"/>
      <c r="AC458" s="156"/>
      <c r="AD458" s="156"/>
      <c r="AE458" s="156"/>
      <c r="AF458" s="156"/>
      <c r="AG458" s="332"/>
      <c r="AH458" s="332"/>
      <c r="AI458" s="332"/>
      <c r="AJ458" s="332"/>
      <c r="AK458" s="332"/>
      <c r="AL458" s="332"/>
      <c r="AM458" s="332"/>
      <c r="AN458" s="332"/>
      <c r="AO458" s="332"/>
    </row>
    <row r="459" spans="1:41">
      <c r="A459" s="332"/>
      <c r="B459" s="332"/>
      <c r="C459" s="156"/>
      <c r="D459" s="332"/>
      <c r="E459" s="332"/>
      <c r="F459" s="332"/>
      <c r="G459" s="332"/>
      <c r="H459" s="332"/>
      <c r="I459" s="332"/>
      <c r="J459" s="332"/>
      <c r="K459" s="332"/>
      <c r="L459" s="332"/>
      <c r="M459" s="332"/>
      <c r="N459" s="156"/>
      <c r="O459" s="332"/>
      <c r="P459" s="332"/>
      <c r="Q459" s="332"/>
      <c r="R459" s="156"/>
      <c r="S459" s="332"/>
      <c r="T459" s="156"/>
      <c r="U459" s="332"/>
      <c r="V459" s="156"/>
      <c r="W459" s="332"/>
      <c r="X459" s="332"/>
      <c r="Y459" s="156"/>
      <c r="Z459" s="332"/>
      <c r="AA459" s="332"/>
      <c r="AB459" s="156"/>
      <c r="AC459" s="156"/>
      <c r="AD459" s="156"/>
      <c r="AE459" s="156"/>
      <c r="AF459" s="156"/>
      <c r="AG459" s="332"/>
      <c r="AH459" s="332"/>
      <c r="AI459" s="332"/>
      <c r="AJ459" s="332"/>
      <c r="AK459" s="332"/>
      <c r="AL459" s="332"/>
      <c r="AM459" s="332"/>
      <c r="AN459" s="332"/>
      <c r="AO459" s="332"/>
    </row>
    <row r="460" spans="1:41">
      <c r="A460" s="332"/>
      <c r="B460" s="332"/>
      <c r="C460" s="156"/>
      <c r="D460" s="332"/>
      <c r="E460" s="332"/>
      <c r="F460" s="332"/>
      <c r="G460" s="156"/>
      <c r="H460" s="332"/>
      <c r="I460" s="332"/>
      <c r="J460" s="332"/>
      <c r="K460" s="332"/>
      <c r="L460" s="332"/>
      <c r="M460" s="332"/>
      <c r="N460" s="156"/>
      <c r="O460" s="332"/>
      <c r="P460" s="332"/>
      <c r="Q460" s="332"/>
      <c r="R460" s="332"/>
      <c r="S460" s="332"/>
      <c r="T460" s="332"/>
      <c r="U460" s="332"/>
      <c r="V460" s="156"/>
      <c r="W460" s="332"/>
      <c r="X460" s="332"/>
      <c r="Y460" s="156"/>
      <c r="Z460" s="332"/>
      <c r="AA460" s="332"/>
      <c r="AB460" s="156"/>
      <c r="AC460" s="156"/>
      <c r="AD460" s="332"/>
      <c r="AE460" s="156"/>
      <c r="AF460" s="156"/>
      <c r="AG460" s="332"/>
      <c r="AH460" s="332"/>
      <c r="AI460" s="332"/>
      <c r="AJ460" s="332"/>
      <c r="AK460" s="332"/>
      <c r="AL460" s="332"/>
      <c r="AM460" s="332"/>
      <c r="AN460" s="332"/>
      <c r="AO460" s="332"/>
    </row>
    <row r="461" spans="1:41">
      <c r="A461" s="332"/>
      <c r="B461" s="332"/>
      <c r="C461" s="156"/>
      <c r="D461" s="332"/>
      <c r="E461" s="332"/>
      <c r="F461" s="332"/>
      <c r="G461" s="156"/>
      <c r="H461" s="332"/>
      <c r="I461" s="332"/>
      <c r="J461" s="332"/>
      <c r="K461" s="332"/>
      <c r="L461" s="332"/>
      <c r="M461" s="332"/>
      <c r="N461" s="156"/>
      <c r="O461" s="332"/>
      <c r="P461" s="332"/>
      <c r="Q461" s="332"/>
      <c r="R461" s="156"/>
      <c r="S461" s="332"/>
      <c r="T461" s="332"/>
      <c r="U461" s="332"/>
      <c r="V461" s="156"/>
      <c r="W461" s="332"/>
      <c r="X461" s="332"/>
      <c r="Y461" s="156"/>
      <c r="Z461" s="332"/>
      <c r="AA461" s="332"/>
      <c r="AB461" s="156"/>
      <c r="AC461" s="156"/>
      <c r="AD461" s="332"/>
      <c r="AE461" s="156"/>
      <c r="AF461" s="156"/>
      <c r="AG461" s="332"/>
      <c r="AH461" s="332"/>
      <c r="AI461" s="332"/>
      <c r="AJ461" s="332"/>
      <c r="AK461" s="332"/>
      <c r="AL461" s="332"/>
      <c r="AM461" s="332"/>
      <c r="AN461" s="332"/>
      <c r="AO461" s="332"/>
    </row>
    <row r="462" spans="1:41">
      <c r="A462" s="332"/>
      <c r="B462" s="332"/>
      <c r="C462" s="156"/>
      <c r="D462" s="332"/>
      <c r="E462" s="332"/>
      <c r="F462" s="332"/>
      <c r="G462" s="156"/>
      <c r="H462" s="332"/>
      <c r="I462" s="332"/>
      <c r="J462" s="332"/>
      <c r="K462" s="332"/>
      <c r="L462" s="332"/>
      <c r="M462" s="332"/>
      <c r="N462" s="156"/>
      <c r="O462" s="332"/>
      <c r="P462" s="332"/>
      <c r="Q462" s="332"/>
      <c r="R462" s="332"/>
      <c r="S462" s="332"/>
      <c r="T462" s="156"/>
      <c r="U462" s="332"/>
      <c r="V462" s="156"/>
      <c r="W462" s="332"/>
      <c r="X462" s="332"/>
      <c r="Y462" s="156"/>
      <c r="Z462" s="332"/>
      <c r="AA462" s="332"/>
      <c r="AB462" s="156"/>
      <c r="AC462" s="156"/>
      <c r="AD462" s="156"/>
      <c r="AE462" s="156"/>
      <c r="AF462" s="156"/>
      <c r="AG462" s="332"/>
      <c r="AH462" s="332"/>
      <c r="AI462" s="332"/>
      <c r="AJ462" s="332"/>
      <c r="AK462" s="332"/>
      <c r="AL462" s="332"/>
      <c r="AM462" s="332"/>
      <c r="AN462" s="332"/>
      <c r="AO462" s="332"/>
    </row>
    <row r="463" spans="1:41">
      <c r="A463" s="332"/>
      <c r="B463" s="332"/>
      <c r="C463" s="156"/>
      <c r="D463" s="332"/>
      <c r="E463" s="332"/>
      <c r="F463" s="332"/>
      <c r="G463" s="156"/>
      <c r="H463" s="332"/>
      <c r="I463" s="332"/>
      <c r="J463" s="332"/>
      <c r="K463" s="332"/>
      <c r="L463" s="332"/>
      <c r="M463" s="332"/>
      <c r="N463" s="156"/>
      <c r="O463" s="332"/>
      <c r="P463" s="332"/>
      <c r="Q463" s="332"/>
      <c r="R463" s="156"/>
      <c r="S463" s="332"/>
      <c r="T463" s="156"/>
      <c r="U463" s="332"/>
      <c r="V463" s="156"/>
      <c r="W463" s="332"/>
      <c r="X463" s="332"/>
      <c r="Y463" s="156"/>
      <c r="Z463" s="332"/>
      <c r="AA463" s="332"/>
      <c r="AB463" s="156"/>
      <c r="AC463" s="156"/>
      <c r="AD463" s="156"/>
      <c r="AE463" s="156"/>
      <c r="AF463" s="156"/>
      <c r="AG463" s="332"/>
      <c r="AH463" s="332"/>
      <c r="AI463" s="332"/>
      <c r="AJ463" s="332"/>
      <c r="AK463" s="332"/>
      <c r="AL463" s="332"/>
      <c r="AM463" s="332"/>
      <c r="AN463" s="332"/>
      <c r="AO463" s="332"/>
    </row>
    <row r="464" spans="1:41">
      <c r="A464" s="332"/>
      <c r="B464" s="332"/>
      <c r="C464" s="156"/>
      <c r="D464" s="332"/>
      <c r="E464" s="332"/>
      <c r="F464" s="332"/>
      <c r="G464" s="156"/>
      <c r="H464" s="332"/>
      <c r="I464" s="332"/>
      <c r="J464" s="332"/>
      <c r="K464" s="332"/>
      <c r="L464" s="332"/>
      <c r="M464" s="332"/>
      <c r="N464" s="156"/>
      <c r="O464" s="332"/>
      <c r="P464" s="332"/>
      <c r="Q464" s="332"/>
      <c r="R464" s="156"/>
      <c r="S464" s="332"/>
      <c r="T464" s="156"/>
      <c r="U464" s="332"/>
      <c r="V464" s="156"/>
      <c r="W464" s="332"/>
      <c r="X464" s="332"/>
      <c r="Y464" s="156"/>
      <c r="Z464" s="332"/>
      <c r="AA464" s="332"/>
      <c r="AB464" s="156"/>
      <c r="AC464" s="156"/>
      <c r="AD464" s="156"/>
      <c r="AE464" s="156"/>
      <c r="AF464" s="156"/>
      <c r="AG464" s="332"/>
      <c r="AH464" s="332"/>
      <c r="AI464" s="332"/>
      <c r="AJ464" s="332"/>
      <c r="AK464" s="332"/>
      <c r="AL464" s="332"/>
      <c r="AM464" s="332"/>
      <c r="AN464" s="332"/>
      <c r="AO464" s="332"/>
    </row>
    <row r="465" spans="1:41">
      <c r="A465" s="332"/>
      <c r="B465" s="332"/>
      <c r="C465" s="332"/>
      <c r="D465" s="332"/>
      <c r="E465" s="332"/>
      <c r="F465" s="332"/>
      <c r="G465" s="156"/>
      <c r="H465" s="332"/>
      <c r="I465" s="332"/>
      <c r="J465" s="332"/>
      <c r="K465" s="332"/>
      <c r="L465" s="332"/>
      <c r="M465" s="332"/>
      <c r="N465" s="156"/>
      <c r="O465" s="332"/>
      <c r="P465" s="332"/>
      <c r="Q465" s="332"/>
      <c r="R465" s="332"/>
      <c r="S465" s="332"/>
      <c r="T465" s="156"/>
      <c r="U465" s="332"/>
      <c r="V465" s="156"/>
      <c r="W465" s="332"/>
      <c r="X465" s="332"/>
      <c r="Y465" s="156"/>
      <c r="Z465" s="332"/>
      <c r="AA465" s="332"/>
      <c r="AB465" s="156"/>
      <c r="AC465" s="156"/>
      <c r="AD465" s="156"/>
      <c r="AE465" s="156"/>
      <c r="AF465" s="156"/>
      <c r="AG465" s="332"/>
      <c r="AH465" s="332"/>
      <c r="AI465" s="332"/>
      <c r="AJ465" s="332"/>
      <c r="AK465" s="332"/>
      <c r="AL465" s="332"/>
      <c r="AM465" s="332"/>
      <c r="AN465" s="332"/>
      <c r="AO465" s="332"/>
    </row>
    <row r="466" spans="1:41">
      <c r="A466" s="332"/>
      <c r="B466" s="332"/>
      <c r="C466" s="156"/>
      <c r="D466" s="332"/>
      <c r="E466" s="332"/>
      <c r="F466" s="332"/>
      <c r="G466" s="156"/>
      <c r="H466" s="332"/>
      <c r="I466" s="332"/>
      <c r="J466" s="332"/>
      <c r="K466" s="332"/>
      <c r="L466" s="332"/>
      <c r="M466" s="332"/>
      <c r="N466" s="156"/>
      <c r="O466" s="332"/>
      <c r="P466" s="332"/>
      <c r="Q466" s="332"/>
      <c r="R466" s="156"/>
      <c r="S466" s="332"/>
      <c r="T466" s="156"/>
      <c r="U466" s="332"/>
      <c r="V466" s="156"/>
      <c r="W466" s="332"/>
      <c r="X466" s="332"/>
      <c r="Y466" s="156"/>
      <c r="Z466" s="332"/>
      <c r="AA466" s="332"/>
      <c r="AB466" s="156"/>
      <c r="AC466" s="156"/>
      <c r="AD466" s="156"/>
      <c r="AE466" s="156"/>
      <c r="AF466" s="156"/>
      <c r="AG466" s="332"/>
      <c r="AH466" s="332"/>
      <c r="AI466" s="332"/>
      <c r="AJ466" s="332"/>
      <c r="AK466" s="332"/>
      <c r="AL466" s="332"/>
      <c r="AM466" s="332"/>
      <c r="AN466" s="332"/>
      <c r="AO466" s="332"/>
    </row>
    <row r="467" spans="1:41">
      <c r="A467" s="332"/>
      <c r="B467" s="332"/>
      <c r="C467" s="156"/>
      <c r="D467" s="332"/>
      <c r="E467" s="332"/>
      <c r="F467" s="332"/>
      <c r="G467" s="156"/>
      <c r="H467" s="332"/>
      <c r="I467" s="332"/>
      <c r="J467" s="332"/>
      <c r="K467" s="332"/>
      <c r="L467" s="332"/>
      <c r="M467" s="332"/>
      <c r="N467" s="156"/>
      <c r="O467" s="332"/>
      <c r="P467" s="332"/>
      <c r="Q467" s="332"/>
      <c r="R467" s="156"/>
      <c r="S467" s="332"/>
      <c r="T467" s="156"/>
      <c r="U467" s="332"/>
      <c r="V467" s="156"/>
      <c r="W467" s="332"/>
      <c r="X467" s="332"/>
      <c r="Y467" s="156"/>
      <c r="Z467" s="332"/>
      <c r="AA467" s="332"/>
      <c r="AB467" s="156"/>
      <c r="AC467" s="156"/>
      <c r="AD467" s="156"/>
      <c r="AE467" s="156"/>
      <c r="AF467" s="156"/>
      <c r="AG467" s="332"/>
      <c r="AH467" s="332"/>
      <c r="AI467" s="332"/>
      <c r="AJ467" s="332"/>
      <c r="AK467" s="332"/>
      <c r="AL467" s="332"/>
      <c r="AM467" s="332"/>
      <c r="AN467" s="332"/>
      <c r="AO467" s="332"/>
    </row>
    <row r="468" spans="1:41">
      <c r="A468" s="332"/>
      <c r="B468" s="332"/>
      <c r="C468" s="156"/>
      <c r="D468" s="332"/>
      <c r="E468" s="332"/>
      <c r="F468" s="332"/>
      <c r="G468" s="156"/>
      <c r="H468" s="332"/>
      <c r="I468" s="332"/>
      <c r="J468" s="332"/>
      <c r="K468" s="332"/>
      <c r="L468" s="332"/>
      <c r="M468" s="332"/>
      <c r="N468" s="156"/>
      <c r="O468" s="332"/>
      <c r="P468" s="332"/>
      <c r="Q468" s="332"/>
      <c r="R468" s="332"/>
      <c r="S468" s="332"/>
      <c r="T468" s="332"/>
      <c r="U468" s="332"/>
      <c r="V468" s="156"/>
      <c r="W468" s="332"/>
      <c r="X468" s="332"/>
      <c r="Y468" s="156"/>
      <c r="Z468" s="332"/>
      <c r="AA468" s="332"/>
      <c r="AB468" s="156"/>
      <c r="AC468" s="156"/>
      <c r="AD468" s="332"/>
      <c r="AE468" s="156"/>
      <c r="AF468" s="156"/>
      <c r="AG468" s="332"/>
      <c r="AH468" s="332"/>
      <c r="AI468" s="332"/>
      <c r="AJ468" s="332"/>
      <c r="AK468" s="332"/>
      <c r="AL468" s="332"/>
      <c r="AM468" s="332"/>
      <c r="AN468" s="332"/>
      <c r="AO468" s="332"/>
    </row>
    <row r="469" spans="1:41">
      <c r="A469" s="332"/>
      <c r="B469" s="332"/>
      <c r="C469" s="156"/>
      <c r="D469" s="332"/>
      <c r="E469" s="332"/>
      <c r="F469" s="332"/>
      <c r="G469" s="156"/>
      <c r="H469" s="332"/>
      <c r="I469" s="332"/>
      <c r="J469" s="332"/>
      <c r="K469" s="332"/>
      <c r="L469" s="332"/>
      <c r="M469" s="332"/>
      <c r="N469" s="156"/>
      <c r="O469" s="332"/>
      <c r="P469" s="332"/>
      <c r="Q469" s="332"/>
      <c r="R469" s="156"/>
      <c r="S469" s="332"/>
      <c r="T469" s="156"/>
      <c r="U469" s="332"/>
      <c r="V469" s="156"/>
      <c r="W469" s="332"/>
      <c r="X469" s="332"/>
      <c r="Y469" s="156"/>
      <c r="Z469" s="332"/>
      <c r="AA469" s="332"/>
      <c r="AB469" s="156"/>
      <c r="AC469" s="332"/>
      <c r="AD469" s="156"/>
      <c r="AE469" s="156"/>
      <c r="AF469" s="156"/>
      <c r="AG469" s="332"/>
      <c r="AH469" s="332"/>
      <c r="AI469" s="332"/>
      <c r="AJ469" s="332"/>
      <c r="AK469" s="332"/>
      <c r="AL469" s="332"/>
      <c r="AM469" s="332"/>
      <c r="AN469" s="332"/>
      <c r="AO469" s="332"/>
    </row>
    <row r="470" spans="1:41">
      <c r="A470" s="332"/>
      <c r="B470" s="332"/>
      <c r="C470" s="332"/>
      <c r="D470" s="332"/>
      <c r="E470" s="332"/>
      <c r="F470" s="332"/>
      <c r="G470" s="156"/>
      <c r="H470" s="332"/>
      <c r="I470" s="332"/>
      <c r="J470" s="332"/>
      <c r="K470" s="332"/>
      <c r="L470" s="332"/>
      <c r="M470" s="332"/>
      <c r="N470" s="156"/>
      <c r="O470" s="332"/>
      <c r="P470" s="332"/>
      <c r="Q470" s="332"/>
      <c r="R470" s="332"/>
      <c r="S470" s="332"/>
      <c r="T470" s="332"/>
      <c r="U470" s="332"/>
      <c r="V470" s="156"/>
      <c r="W470" s="332"/>
      <c r="X470" s="332"/>
      <c r="Y470" s="156"/>
      <c r="Z470" s="332"/>
      <c r="AA470" s="332"/>
      <c r="AB470" s="332"/>
      <c r="AC470" s="156"/>
      <c r="AD470" s="332"/>
      <c r="AE470" s="156"/>
      <c r="AF470" s="156"/>
      <c r="AG470" s="332"/>
      <c r="AH470" s="332"/>
      <c r="AI470" s="332"/>
      <c r="AJ470" s="332"/>
      <c r="AK470" s="332"/>
      <c r="AL470" s="332"/>
      <c r="AM470" s="332"/>
      <c r="AN470" s="332"/>
      <c r="AO470" s="332"/>
    </row>
    <row r="471" spans="1:41">
      <c r="A471" s="332"/>
      <c r="B471" s="332"/>
      <c r="C471" s="156"/>
      <c r="D471" s="332"/>
      <c r="E471" s="332"/>
      <c r="F471" s="332"/>
      <c r="G471" s="156"/>
      <c r="H471" s="332"/>
      <c r="I471" s="332"/>
      <c r="J471" s="332"/>
      <c r="K471" s="332"/>
      <c r="L471" s="332"/>
      <c r="M471" s="332"/>
      <c r="N471" s="156"/>
      <c r="O471" s="332"/>
      <c r="P471" s="332"/>
      <c r="Q471" s="332"/>
      <c r="R471" s="156"/>
      <c r="S471" s="332"/>
      <c r="T471" s="156"/>
      <c r="U471" s="332"/>
      <c r="V471" s="156"/>
      <c r="W471" s="332"/>
      <c r="X471" s="332"/>
      <c r="Y471" s="156"/>
      <c r="Z471" s="332"/>
      <c r="AA471" s="332"/>
      <c r="AB471" s="156"/>
      <c r="AC471" s="156"/>
      <c r="AD471" s="156"/>
      <c r="AE471" s="156"/>
      <c r="AF471" s="156"/>
      <c r="AG471" s="332"/>
      <c r="AH471" s="332"/>
      <c r="AI471" s="332"/>
      <c r="AJ471" s="332"/>
      <c r="AK471" s="332"/>
      <c r="AL471" s="332"/>
      <c r="AM471" s="332"/>
      <c r="AN471" s="332"/>
      <c r="AO471" s="332"/>
    </row>
    <row r="472" spans="1:41">
      <c r="A472" s="332"/>
      <c r="B472" s="332"/>
      <c r="C472" s="156"/>
      <c r="D472" s="332"/>
      <c r="E472" s="332"/>
      <c r="F472" s="332"/>
      <c r="G472" s="156"/>
      <c r="H472" s="332"/>
      <c r="I472" s="332"/>
      <c r="J472" s="332"/>
      <c r="K472" s="332"/>
      <c r="L472" s="332"/>
      <c r="M472" s="332"/>
      <c r="N472" s="156"/>
      <c r="O472" s="332"/>
      <c r="P472" s="332"/>
      <c r="Q472" s="332"/>
      <c r="R472" s="156"/>
      <c r="S472" s="332"/>
      <c r="T472" s="156"/>
      <c r="U472" s="332"/>
      <c r="V472" s="156"/>
      <c r="W472" s="332"/>
      <c r="X472" s="332"/>
      <c r="Y472" s="156"/>
      <c r="Z472" s="332"/>
      <c r="AA472" s="332"/>
      <c r="AB472" s="156"/>
      <c r="AC472" s="156"/>
      <c r="AD472" s="156"/>
      <c r="AE472" s="156"/>
      <c r="AF472" s="156"/>
      <c r="AG472" s="332"/>
      <c r="AH472" s="332"/>
      <c r="AI472" s="332"/>
      <c r="AJ472" s="332"/>
      <c r="AK472" s="332"/>
      <c r="AL472" s="332"/>
      <c r="AM472" s="332"/>
      <c r="AN472" s="332"/>
      <c r="AO472" s="332"/>
    </row>
    <row r="473" spans="1:41">
      <c r="A473" s="332"/>
      <c r="B473" s="332"/>
      <c r="C473" s="156"/>
      <c r="D473" s="332"/>
      <c r="E473" s="332"/>
      <c r="F473" s="332"/>
      <c r="G473" s="332"/>
      <c r="H473" s="332"/>
      <c r="I473" s="332"/>
      <c r="J473" s="332"/>
      <c r="K473" s="332"/>
      <c r="L473" s="332"/>
      <c r="M473" s="332"/>
      <c r="N473" s="156"/>
      <c r="O473" s="332"/>
      <c r="P473" s="332"/>
      <c r="Q473" s="332"/>
      <c r="R473" s="156"/>
      <c r="S473" s="332"/>
      <c r="T473" s="156"/>
      <c r="U473" s="332"/>
      <c r="V473" s="156"/>
      <c r="W473" s="332"/>
      <c r="X473" s="332"/>
      <c r="Y473" s="156"/>
      <c r="Z473" s="332"/>
      <c r="AA473" s="332"/>
      <c r="AB473" s="156"/>
      <c r="AC473" s="156"/>
      <c r="AD473" s="156"/>
      <c r="AE473" s="156"/>
      <c r="AF473" s="156"/>
      <c r="AG473" s="332"/>
      <c r="AH473" s="332"/>
      <c r="AI473" s="332"/>
      <c r="AJ473" s="332"/>
      <c r="AK473" s="332"/>
      <c r="AL473" s="332"/>
      <c r="AM473" s="332"/>
      <c r="AN473" s="332"/>
      <c r="AO473" s="332"/>
    </row>
    <row r="474" spans="1:41">
      <c r="A474" s="332"/>
      <c r="B474" s="332"/>
      <c r="C474" s="156"/>
      <c r="D474" s="332"/>
      <c r="E474" s="332"/>
      <c r="F474" s="332"/>
      <c r="G474" s="156"/>
      <c r="H474" s="332"/>
      <c r="I474" s="332"/>
      <c r="J474" s="332"/>
      <c r="K474" s="332"/>
      <c r="L474" s="332"/>
      <c r="M474" s="332"/>
      <c r="N474" s="156"/>
      <c r="O474" s="332"/>
      <c r="P474" s="332"/>
      <c r="Q474" s="332"/>
      <c r="R474" s="156"/>
      <c r="S474" s="332"/>
      <c r="T474" s="156"/>
      <c r="U474" s="332"/>
      <c r="V474" s="156"/>
      <c r="W474" s="332"/>
      <c r="X474" s="332"/>
      <c r="Y474" s="156"/>
      <c r="Z474" s="332"/>
      <c r="AA474" s="332"/>
      <c r="AB474" s="156"/>
      <c r="AC474" s="332"/>
      <c r="AD474" s="156"/>
      <c r="AE474" s="156"/>
      <c r="AF474" s="156"/>
      <c r="AG474" s="332"/>
      <c r="AH474" s="332"/>
      <c r="AI474" s="332"/>
      <c r="AJ474" s="332"/>
      <c r="AK474" s="332"/>
      <c r="AL474" s="332"/>
      <c r="AM474" s="332"/>
      <c r="AN474" s="332"/>
      <c r="AO474" s="332"/>
    </row>
    <row r="475" spans="1:41">
      <c r="A475" s="332"/>
      <c r="B475" s="332"/>
      <c r="C475" s="156"/>
      <c r="D475" s="332"/>
      <c r="E475" s="332"/>
      <c r="F475" s="332"/>
      <c r="G475" s="156"/>
      <c r="H475" s="332"/>
      <c r="I475" s="332"/>
      <c r="J475" s="332"/>
      <c r="K475" s="332"/>
      <c r="L475" s="332"/>
      <c r="M475" s="332"/>
      <c r="N475" s="156"/>
      <c r="O475" s="332"/>
      <c r="P475" s="332"/>
      <c r="Q475" s="332"/>
      <c r="R475" s="332"/>
      <c r="S475" s="332"/>
      <c r="T475" s="156"/>
      <c r="U475" s="332"/>
      <c r="V475" s="156"/>
      <c r="W475" s="332"/>
      <c r="X475" s="332"/>
      <c r="Y475" s="156"/>
      <c r="Z475" s="332"/>
      <c r="AA475" s="332"/>
      <c r="AB475" s="156"/>
      <c r="AC475" s="156"/>
      <c r="AD475" s="156"/>
      <c r="AE475" s="156"/>
      <c r="AF475" s="156"/>
      <c r="AG475" s="332"/>
      <c r="AH475" s="332"/>
      <c r="AI475" s="332"/>
      <c r="AJ475" s="332"/>
      <c r="AK475" s="332"/>
      <c r="AL475" s="332"/>
      <c r="AM475" s="332"/>
      <c r="AN475" s="332"/>
      <c r="AO475" s="332"/>
    </row>
    <row r="476" spans="1:41">
      <c r="A476" s="332"/>
      <c r="B476" s="332"/>
      <c r="C476" s="156"/>
      <c r="D476" s="332"/>
      <c r="E476" s="332"/>
      <c r="F476" s="332"/>
      <c r="G476" s="156"/>
      <c r="H476" s="332"/>
      <c r="I476" s="332"/>
      <c r="J476" s="332"/>
      <c r="K476" s="332"/>
      <c r="L476" s="332"/>
      <c r="M476" s="332"/>
      <c r="N476" s="156"/>
      <c r="O476" s="332"/>
      <c r="P476" s="332"/>
      <c r="Q476" s="332"/>
      <c r="R476" s="332"/>
      <c r="S476" s="332"/>
      <c r="T476" s="156"/>
      <c r="U476" s="332"/>
      <c r="V476" s="156"/>
      <c r="W476" s="332"/>
      <c r="X476" s="332"/>
      <c r="Y476" s="156"/>
      <c r="Z476" s="332"/>
      <c r="AA476" s="332"/>
      <c r="AB476" s="156"/>
      <c r="AC476" s="156"/>
      <c r="AD476" s="156"/>
      <c r="AE476" s="156"/>
      <c r="AF476" s="156"/>
      <c r="AG476" s="332"/>
      <c r="AH476" s="332"/>
      <c r="AI476" s="332"/>
      <c r="AJ476" s="332"/>
      <c r="AK476" s="332"/>
      <c r="AL476" s="332"/>
      <c r="AM476" s="332"/>
      <c r="AN476" s="332"/>
      <c r="AO476" s="332"/>
    </row>
    <row r="477" spans="1:41">
      <c r="A477" s="332"/>
      <c r="B477" s="332"/>
      <c r="C477" s="156"/>
      <c r="D477" s="332"/>
      <c r="E477" s="332"/>
      <c r="F477" s="332"/>
      <c r="G477" s="332"/>
      <c r="H477" s="332"/>
      <c r="I477" s="332"/>
      <c r="J477" s="332"/>
      <c r="K477" s="332"/>
      <c r="L477" s="332"/>
      <c r="M477" s="332"/>
      <c r="N477" s="156"/>
      <c r="O477" s="332"/>
      <c r="P477" s="332"/>
      <c r="Q477" s="332"/>
      <c r="R477" s="156"/>
      <c r="S477" s="332"/>
      <c r="T477" s="156"/>
      <c r="U477" s="332"/>
      <c r="V477" s="156"/>
      <c r="W477" s="332"/>
      <c r="X477" s="332"/>
      <c r="Y477" s="156"/>
      <c r="Z477" s="332"/>
      <c r="AA477" s="332"/>
      <c r="AB477" s="156"/>
      <c r="AC477" s="156"/>
      <c r="AD477" s="156"/>
      <c r="AE477" s="156"/>
      <c r="AF477" s="156"/>
      <c r="AG477" s="332"/>
      <c r="AH477" s="332"/>
      <c r="AI477" s="332"/>
      <c r="AJ477" s="332"/>
      <c r="AK477" s="332"/>
      <c r="AL477" s="332"/>
      <c r="AM477" s="332"/>
      <c r="AN477" s="332"/>
      <c r="AO477" s="332"/>
    </row>
    <row r="478" spans="1:41">
      <c r="A478" s="332"/>
      <c r="B478" s="332"/>
      <c r="C478" s="156"/>
      <c r="D478" s="332"/>
      <c r="E478" s="332"/>
      <c r="F478" s="332"/>
      <c r="G478" s="156"/>
      <c r="H478" s="332"/>
      <c r="I478" s="332"/>
      <c r="J478" s="332"/>
      <c r="K478" s="332"/>
      <c r="L478" s="332"/>
      <c r="M478" s="332"/>
      <c r="N478" s="156"/>
      <c r="O478" s="332"/>
      <c r="P478" s="332"/>
      <c r="Q478" s="332"/>
      <c r="R478" s="332"/>
      <c r="S478" s="332"/>
      <c r="T478" s="156"/>
      <c r="U478" s="332"/>
      <c r="V478" s="156"/>
      <c r="W478" s="332"/>
      <c r="X478" s="332"/>
      <c r="Y478" s="156"/>
      <c r="Z478" s="332"/>
      <c r="AA478" s="332"/>
      <c r="AB478" s="156"/>
      <c r="AC478" s="156"/>
      <c r="AD478" s="156"/>
      <c r="AE478" s="156"/>
      <c r="AF478" s="156"/>
      <c r="AG478" s="332"/>
      <c r="AH478" s="332"/>
      <c r="AI478" s="332"/>
      <c r="AJ478" s="332"/>
      <c r="AK478" s="332"/>
      <c r="AL478" s="332"/>
      <c r="AM478" s="332"/>
      <c r="AN478" s="332"/>
      <c r="AO478" s="332"/>
    </row>
    <row r="479" spans="1:41">
      <c r="A479" s="332"/>
      <c r="B479" s="332"/>
      <c r="C479" s="156"/>
      <c r="D479" s="332"/>
      <c r="E479" s="332"/>
      <c r="F479" s="332"/>
      <c r="G479" s="156"/>
      <c r="H479" s="332"/>
      <c r="I479" s="332"/>
      <c r="J479" s="332"/>
      <c r="K479" s="332"/>
      <c r="L479" s="332"/>
      <c r="M479" s="332"/>
      <c r="N479" s="156"/>
      <c r="O479" s="332"/>
      <c r="P479" s="332"/>
      <c r="Q479" s="332"/>
      <c r="R479" s="332"/>
      <c r="S479" s="332"/>
      <c r="T479" s="156"/>
      <c r="U479" s="332"/>
      <c r="V479" s="156"/>
      <c r="W479" s="332"/>
      <c r="X479" s="332"/>
      <c r="Y479" s="156"/>
      <c r="Z479" s="332"/>
      <c r="AA479" s="332"/>
      <c r="AB479" s="156"/>
      <c r="AC479" s="156"/>
      <c r="AD479" s="156"/>
      <c r="AE479" s="156"/>
      <c r="AF479" s="156"/>
      <c r="AG479" s="332"/>
      <c r="AH479" s="332"/>
      <c r="AI479" s="332"/>
      <c r="AJ479" s="332"/>
      <c r="AK479" s="332"/>
      <c r="AL479" s="332"/>
      <c r="AM479" s="332"/>
      <c r="AN479" s="332"/>
      <c r="AO479" s="332"/>
    </row>
    <row r="480" spans="1:41">
      <c r="A480" s="332"/>
      <c r="B480" s="332"/>
      <c r="C480" s="332"/>
      <c r="D480" s="332"/>
      <c r="E480" s="332"/>
      <c r="F480" s="332"/>
      <c r="G480" s="156"/>
      <c r="H480" s="332"/>
      <c r="I480" s="332"/>
      <c r="J480" s="332"/>
      <c r="K480" s="332"/>
      <c r="L480" s="332"/>
      <c r="M480" s="332"/>
      <c r="N480" s="156"/>
      <c r="O480" s="332"/>
      <c r="P480" s="332"/>
      <c r="Q480" s="332"/>
      <c r="R480" s="332"/>
      <c r="S480" s="332"/>
      <c r="T480" s="156"/>
      <c r="U480" s="332"/>
      <c r="V480" s="156"/>
      <c r="W480" s="332"/>
      <c r="X480" s="332"/>
      <c r="Y480" s="156"/>
      <c r="Z480" s="332"/>
      <c r="AA480" s="332"/>
      <c r="AB480" s="156"/>
      <c r="AC480" s="332"/>
      <c r="AD480" s="156"/>
      <c r="AE480" s="156"/>
      <c r="AF480" s="156"/>
      <c r="AG480" s="332"/>
      <c r="AH480" s="332"/>
      <c r="AI480" s="332"/>
      <c r="AJ480" s="332"/>
      <c r="AK480" s="332"/>
      <c r="AL480" s="332"/>
      <c r="AM480" s="332"/>
      <c r="AN480" s="332"/>
      <c r="AO480" s="332"/>
    </row>
    <row r="481" spans="1:41">
      <c r="A481" s="332"/>
      <c r="B481" s="332"/>
      <c r="C481" s="156"/>
      <c r="D481" s="332"/>
      <c r="E481" s="332"/>
      <c r="F481" s="332"/>
      <c r="G481" s="332"/>
      <c r="H481" s="332"/>
      <c r="I481" s="332"/>
      <c r="J481" s="332"/>
      <c r="K481" s="332"/>
      <c r="L481" s="332"/>
      <c r="M481" s="332"/>
      <c r="N481" s="156"/>
      <c r="O481" s="332"/>
      <c r="P481" s="332"/>
      <c r="Q481" s="332"/>
      <c r="R481" s="156"/>
      <c r="S481" s="332"/>
      <c r="T481" s="156"/>
      <c r="U481" s="332"/>
      <c r="V481" s="156"/>
      <c r="W481" s="332"/>
      <c r="X481" s="332"/>
      <c r="Y481" s="156"/>
      <c r="Z481" s="332"/>
      <c r="AA481" s="332"/>
      <c r="AB481" s="156"/>
      <c r="AC481" s="332"/>
      <c r="AD481" s="156"/>
      <c r="AE481" s="156"/>
      <c r="AF481" s="156"/>
      <c r="AG481" s="332"/>
      <c r="AH481" s="332"/>
      <c r="AI481" s="332"/>
      <c r="AJ481" s="332"/>
      <c r="AK481" s="332"/>
      <c r="AL481" s="332"/>
      <c r="AM481" s="332"/>
      <c r="AN481" s="332"/>
      <c r="AO481" s="332"/>
    </row>
    <row r="482" spans="1:41">
      <c r="A482" s="332"/>
      <c r="B482" s="332"/>
      <c r="C482" s="156"/>
      <c r="D482" s="332"/>
      <c r="E482" s="332"/>
      <c r="F482" s="332"/>
      <c r="G482" s="156"/>
      <c r="H482" s="332"/>
      <c r="I482" s="332"/>
      <c r="J482" s="332"/>
      <c r="K482" s="332"/>
      <c r="L482" s="332"/>
      <c r="M482" s="332"/>
      <c r="N482" s="156"/>
      <c r="O482" s="332"/>
      <c r="P482" s="332"/>
      <c r="Q482" s="332"/>
      <c r="R482" s="332"/>
      <c r="S482" s="332"/>
      <c r="T482" s="156"/>
      <c r="U482" s="332"/>
      <c r="V482" s="156"/>
      <c r="W482" s="332"/>
      <c r="X482" s="332"/>
      <c r="Y482" s="156"/>
      <c r="Z482" s="332"/>
      <c r="AA482" s="332"/>
      <c r="AB482" s="156"/>
      <c r="AC482" s="156"/>
      <c r="AD482" s="156"/>
      <c r="AE482" s="156"/>
      <c r="AF482" s="156"/>
      <c r="AG482" s="332"/>
      <c r="AH482" s="332"/>
      <c r="AI482" s="332"/>
      <c r="AJ482" s="332"/>
      <c r="AK482" s="332"/>
      <c r="AL482" s="332"/>
      <c r="AM482" s="332"/>
      <c r="AN482" s="332"/>
      <c r="AO482" s="332"/>
    </row>
    <row r="483" spans="1:41">
      <c r="A483" s="332"/>
      <c r="B483" s="332"/>
      <c r="C483" s="332"/>
      <c r="D483" s="332"/>
      <c r="E483" s="332"/>
      <c r="F483" s="332"/>
      <c r="G483" s="156"/>
      <c r="H483" s="332"/>
      <c r="I483" s="332"/>
      <c r="J483" s="332"/>
      <c r="K483" s="332"/>
      <c r="L483" s="332"/>
      <c r="M483" s="332"/>
      <c r="N483" s="156"/>
      <c r="O483" s="332"/>
      <c r="P483" s="332"/>
      <c r="Q483" s="332"/>
      <c r="R483" s="332"/>
      <c r="S483" s="332"/>
      <c r="T483" s="156"/>
      <c r="U483" s="332"/>
      <c r="V483" s="156"/>
      <c r="W483" s="332"/>
      <c r="X483" s="332"/>
      <c r="Y483" s="156"/>
      <c r="Z483" s="332"/>
      <c r="AA483" s="332"/>
      <c r="AB483" s="156"/>
      <c r="AC483" s="156"/>
      <c r="AD483" s="156"/>
      <c r="AE483" s="156"/>
      <c r="AF483" s="156"/>
      <c r="AG483" s="332"/>
      <c r="AH483" s="332"/>
      <c r="AI483" s="332"/>
      <c r="AJ483" s="332"/>
      <c r="AK483" s="332"/>
      <c r="AL483" s="332"/>
      <c r="AM483" s="332"/>
      <c r="AN483" s="332"/>
      <c r="AO483" s="332"/>
    </row>
    <row r="484" spans="1:41">
      <c r="A484" s="332"/>
      <c r="B484" s="332"/>
      <c r="C484" s="156"/>
      <c r="D484" s="332"/>
      <c r="E484" s="332"/>
      <c r="F484" s="332"/>
      <c r="G484" s="156"/>
      <c r="H484" s="332"/>
      <c r="I484" s="332"/>
      <c r="J484" s="332"/>
      <c r="K484" s="332"/>
      <c r="L484" s="332"/>
      <c r="M484" s="332"/>
      <c r="N484" s="156"/>
      <c r="O484" s="332"/>
      <c r="P484" s="332"/>
      <c r="Q484" s="332"/>
      <c r="R484" s="156"/>
      <c r="S484" s="332"/>
      <c r="T484" s="156"/>
      <c r="U484" s="332"/>
      <c r="V484" s="156"/>
      <c r="W484" s="332"/>
      <c r="X484" s="332"/>
      <c r="Y484" s="156"/>
      <c r="Z484" s="332"/>
      <c r="AA484" s="332"/>
      <c r="AB484" s="156"/>
      <c r="AC484" s="156"/>
      <c r="AD484" s="156"/>
      <c r="AE484" s="156"/>
      <c r="AF484" s="156"/>
      <c r="AG484" s="332"/>
      <c r="AH484" s="332"/>
      <c r="AI484" s="332"/>
      <c r="AJ484" s="332"/>
      <c r="AK484" s="332"/>
      <c r="AL484" s="332"/>
      <c r="AM484" s="332"/>
      <c r="AN484" s="332"/>
      <c r="AO484" s="332"/>
    </row>
    <row r="485" spans="1:41">
      <c r="A485" s="332"/>
      <c r="B485" s="332"/>
      <c r="C485" s="156"/>
      <c r="D485" s="332"/>
      <c r="E485" s="332"/>
      <c r="F485" s="332"/>
      <c r="G485" s="156"/>
      <c r="H485" s="332"/>
      <c r="I485" s="332"/>
      <c r="J485" s="332"/>
      <c r="K485" s="332"/>
      <c r="L485" s="332"/>
      <c r="M485" s="332"/>
      <c r="N485" s="156"/>
      <c r="O485" s="332"/>
      <c r="P485" s="332"/>
      <c r="Q485" s="332"/>
      <c r="R485" s="156"/>
      <c r="S485" s="332"/>
      <c r="T485" s="156"/>
      <c r="U485" s="332"/>
      <c r="V485" s="156"/>
      <c r="W485" s="332"/>
      <c r="X485" s="332"/>
      <c r="Y485" s="156"/>
      <c r="Z485" s="332"/>
      <c r="AA485" s="332"/>
      <c r="AB485" s="156"/>
      <c r="AC485" s="332"/>
      <c r="AD485" s="156"/>
      <c r="AE485" s="156"/>
      <c r="AF485" s="156"/>
      <c r="AG485" s="332"/>
      <c r="AH485" s="332"/>
      <c r="AI485" s="332"/>
      <c r="AJ485" s="332"/>
      <c r="AK485" s="332"/>
      <c r="AL485" s="332"/>
      <c r="AM485" s="332"/>
      <c r="AN485" s="332"/>
      <c r="AO485" s="332"/>
    </row>
    <row r="486" spans="1:41">
      <c r="A486" s="332"/>
      <c r="B486" s="332"/>
      <c r="C486" s="156"/>
      <c r="D486" s="332"/>
      <c r="E486" s="332"/>
      <c r="F486" s="332"/>
      <c r="G486" s="156"/>
      <c r="H486" s="332"/>
      <c r="I486" s="332"/>
      <c r="J486" s="332"/>
      <c r="K486" s="332"/>
      <c r="L486" s="332"/>
      <c r="M486" s="332"/>
      <c r="N486" s="156"/>
      <c r="O486" s="332"/>
      <c r="P486" s="332"/>
      <c r="Q486" s="332"/>
      <c r="R486" s="156"/>
      <c r="S486" s="332"/>
      <c r="T486" s="156"/>
      <c r="U486" s="332"/>
      <c r="V486" s="156"/>
      <c r="W486" s="332"/>
      <c r="X486" s="332"/>
      <c r="Y486" s="156"/>
      <c r="Z486" s="332"/>
      <c r="AA486" s="332"/>
      <c r="AB486" s="156"/>
      <c r="AC486" s="156"/>
      <c r="AD486" s="156"/>
      <c r="AE486" s="156"/>
      <c r="AF486" s="156"/>
      <c r="AG486" s="332"/>
      <c r="AH486" s="332"/>
      <c r="AI486" s="332"/>
      <c r="AJ486" s="332"/>
      <c r="AK486" s="332"/>
      <c r="AL486" s="332"/>
      <c r="AM486" s="332"/>
      <c r="AN486" s="332"/>
      <c r="AO486" s="332"/>
    </row>
    <row r="487" spans="1:41">
      <c r="A487" s="332"/>
      <c r="B487" s="332"/>
      <c r="C487" s="156"/>
      <c r="D487" s="332"/>
      <c r="E487" s="332"/>
      <c r="F487" s="332"/>
      <c r="G487" s="156"/>
      <c r="H487" s="332"/>
      <c r="I487" s="332"/>
      <c r="J487" s="332"/>
      <c r="K487" s="332"/>
      <c r="L487" s="332"/>
      <c r="M487" s="332"/>
      <c r="N487" s="156"/>
      <c r="O487" s="332"/>
      <c r="P487" s="332"/>
      <c r="Q487" s="332"/>
      <c r="R487" s="332"/>
      <c r="S487" s="332"/>
      <c r="T487" s="156"/>
      <c r="U487" s="332"/>
      <c r="V487" s="156"/>
      <c r="W487" s="332"/>
      <c r="X487" s="332"/>
      <c r="Y487" s="156"/>
      <c r="Z487" s="332"/>
      <c r="AA487" s="332"/>
      <c r="AB487" s="156"/>
      <c r="AC487" s="156"/>
      <c r="AD487" s="156"/>
      <c r="AE487" s="156"/>
      <c r="AF487" s="156"/>
      <c r="AG487" s="332"/>
      <c r="AH487" s="332"/>
      <c r="AI487" s="332"/>
      <c r="AJ487" s="332"/>
      <c r="AK487" s="332"/>
      <c r="AL487" s="332"/>
      <c r="AM487" s="332"/>
      <c r="AN487" s="332"/>
      <c r="AO487" s="332"/>
    </row>
    <row r="488" spans="1:41">
      <c r="A488" s="332"/>
      <c r="B488" s="332"/>
      <c r="C488" s="156"/>
      <c r="D488" s="332"/>
      <c r="E488" s="332"/>
      <c r="F488" s="332"/>
      <c r="G488" s="156"/>
      <c r="H488" s="332"/>
      <c r="I488" s="332"/>
      <c r="J488" s="332"/>
      <c r="K488" s="332"/>
      <c r="L488" s="332"/>
      <c r="M488" s="332"/>
      <c r="N488" s="156"/>
      <c r="O488" s="332"/>
      <c r="P488" s="332"/>
      <c r="Q488" s="332"/>
      <c r="R488" s="156"/>
      <c r="S488" s="332"/>
      <c r="T488" s="156"/>
      <c r="U488" s="332"/>
      <c r="V488" s="156"/>
      <c r="W488" s="332"/>
      <c r="X488" s="332"/>
      <c r="Y488" s="156"/>
      <c r="Z488" s="332"/>
      <c r="AA488" s="332"/>
      <c r="AB488" s="156"/>
      <c r="AC488" s="332"/>
      <c r="AD488" s="156"/>
      <c r="AE488" s="156"/>
      <c r="AF488" s="156"/>
      <c r="AG488" s="332"/>
      <c r="AH488" s="332"/>
      <c r="AI488" s="332"/>
      <c r="AJ488" s="332"/>
      <c r="AK488" s="332"/>
      <c r="AL488" s="332"/>
      <c r="AM488" s="332"/>
      <c r="AN488" s="332"/>
      <c r="AO488" s="332"/>
    </row>
    <row r="489" spans="1:41">
      <c r="A489" s="332"/>
      <c r="B489" s="332"/>
      <c r="C489" s="156"/>
      <c r="D489" s="332"/>
      <c r="E489" s="332"/>
      <c r="F489" s="332"/>
      <c r="G489" s="332"/>
      <c r="H489" s="332"/>
      <c r="I489" s="332"/>
      <c r="J489" s="332"/>
      <c r="K489" s="332"/>
      <c r="L489" s="332"/>
      <c r="M489" s="332"/>
      <c r="N489" s="156"/>
      <c r="O489" s="332"/>
      <c r="P489" s="332"/>
      <c r="Q489" s="332"/>
      <c r="R489" s="156"/>
      <c r="S489" s="332"/>
      <c r="T489" s="156"/>
      <c r="U489" s="332"/>
      <c r="V489" s="156"/>
      <c r="W489" s="332"/>
      <c r="X489" s="332"/>
      <c r="Y489" s="156"/>
      <c r="Z489" s="332"/>
      <c r="AA489" s="332"/>
      <c r="AB489" s="156"/>
      <c r="AC489" s="156"/>
      <c r="AD489" s="156"/>
      <c r="AE489" s="156"/>
      <c r="AF489" s="156"/>
      <c r="AG489" s="332"/>
      <c r="AH489" s="332"/>
      <c r="AI489" s="332"/>
      <c r="AJ489" s="332"/>
      <c r="AK489" s="332"/>
      <c r="AL489" s="332"/>
      <c r="AM489" s="332"/>
      <c r="AN489" s="332"/>
      <c r="AO489" s="332"/>
    </row>
    <row r="490" spans="1:41">
      <c r="A490" s="332"/>
      <c r="B490" s="332"/>
      <c r="C490" s="332"/>
      <c r="D490" s="332"/>
      <c r="E490" s="332"/>
      <c r="F490" s="332"/>
      <c r="G490" s="156"/>
      <c r="H490" s="332"/>
      <c r="I490" s="332"/>
      <c r="J490" s="332"/>
      <c r="K490" s="332"/>
      <c r="L490" s="332"/>
      <c r="M490" s="332"/>
      <c r="N490" s="156"/>
      <c r="O490" s="332"/>
      <c r="P490" s="332"/>
      <c r="Q490" s="332"/>
      <c r="R490" s="332"/>
      <c r="S490" s="332"/>
      <c r="T490" s="156"/>
      <c r="U490" s="332"/>
      <c r="V490" s="156"/>
      <c r="W490" s="332"/>
      <c r="X490" s="332"/>
      <c r="Y490" s="156"/>
      <c r="Z490" s="332"/>
      <c r="AA490" s="332"/>
      <c r="AB490" s="156"/>
      <c r="AC490" s="156"/>
      <c r="AD490" s="156"/>
      <c r="AE490" s="156"/>
      <c r="AF490" s="156"/>
      <c r="AG490" s="332"/>
      <c r="AH490" s="332"/>
      <c r="AI490" s="332"/>
      <c r="AJ490" s="332"/>
      <c r="AK490" s="332"/>
      <c r="AL490" s="332"/>
      <c r="AM490" s="332"/>
      <c r="AN490" s="332"/>
      <c r="AO490" s="332"/>
    </row>
  </sheetData>
  <autoFilter ref="B2:AO2">
    <filterColumn colId="31">
      <filters>
        <filter val="1"/>
      </filters>
    </filterColumn>
  </autoFilter>
  <phoneticPr fontId="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180"/>
  <sheetViews>
    <sheetView workbookViewId="0">
      <selection activeCell="A12" sqref="A12"/>
    </sheetView>
  </sheetViews>
  <sheetFormatPr defaultRowHeight="13.5"/>
  <cols>
    <col min="1" max="1" width="4" bestFit="1" customWidth="1"/>
    <col min="2" max="2" width="8.75" bestFit="1" customWidth="1"/>
    <col min="3" max="3" width="31.625" bestFit="1" customWidth="1"/>
    <col min="4" max="4" width="33.125" bestFit="1" customWidth="1"/>
    <col min="5" max="5" width="18.875" bestFit="1" customWidth="1"/>
  </cols>
  <sheetData>
    <row r="1" spans="1:5">
      <c r="A1" t="s">
        <v>141</v>
      </c>
      <c r="B1" t="s">
        <v>140</v>
      </c>
      <c r="C1" t="s">
        <v>139</v>
      </c>
      <c r="D1" t="s">
        <v>138</v>
      </c>
      <c r="E1" t="s">
        <v>137</v>
      </c>
    </row>
    <row r="2" spans="1:5">
      <c r="A2">
        <v>1</v>
      </c>
      <c r="B2" t="s">
        <v>136</v>
      </c>
    </row>
    <row r="3" spans="1:5">
      <c r="A3">
        <v>2</v>
      </c>
      <c r="B3" t="s">
        <v>135</v>
      </c>
      <c r="C3" t="s">
        <v>134</v>
      </c>
      <c r="D3" t="s">
        <v>133</v>
      </c>
      <c r="E3" t="s">
        <v>132</v>
      </c>
    </row>
    <row r="4" spans="1:5">
      <c r="A4">
        <v>3</v>
      </c>
      <c r="B4" t="s">
        <v>70</v>
      </c>
      <c r="C4" t="s">
        <v>131</v>
      </c>
      <c r="D4" t="s">
        <v>131</v>
      </c>
    </row>
    <row r="5" spans="1:5">
      <c r="A5">
        <v>4</v>
      </c>
      <c r="B5" t="s">
        <v>70</v>
      </c>
      <c r="C5" t="s">
        <v>898</v>
      </c>
      <c r="D5" t="s">
        <v>899</v>
      </c>
      <c r="E5" t="s">
        <v>6</v>
      </c>
    </row>
    <row r="6" spans="1:5">
      <c r="A6">
        <v>5</v>
      </c>
      <c r="B6" t="s">
        <v>71</v>
      </c>
      <c r="C6" s="156" t="s">
        <v>898</v>
      </c>
      <c r="D6" s="156" t="s">
        <v>899</v>
      </c>
      <c r="E6" t="s">
        <v>6</v>
      </c>
    </row>
    <row r="7" spans="1:5">
      <c r="A7">
        <v>6</v>
      </c>
      <c r="B7" t="s">
        <v>67</v>
      </c>
      <c r="C7" s="156" t="s">
        <v>898</v>
      </c>
      <c r="D7" s="156" t="s">
        <v>899</v>
      </c>
      <c r="E7" t="s">
        <v>6</v>
      </c>
    </row>
    <row r="8" spans="1:5">
      <c r="A8">
        <v>7</v>
      </c>
      <c r="B8" t="s">
        <v>68</v>
      </c>
      <c r="C8" s="156" t="s">
        <v>898</v>
      </c>
      <c r="D8" s="156" t="s">
        <v>899</v>
      </c>
      <c r="E8" t="s">
        <v>6</v>
      </c>
    </row>
    <row r="9" spans="1:5">
      <c r="A9">
        <v>8</v>
      </c>
      <c r="B9" t="s">
        <v>130</v>
      </c>
      <c r="C9" s="156" t="s">
        <v>898</v>
      </c>
      <c r="D9" s="156" t="s">
        <v>899</v>
      </c>
      <c r="E9" t="s">
        <v>6</v>
      </c>
    </row>
    <row r="10" spans="1:5">
      <c r="A10">
        <v>9</v>
      </c>
      <c r="B10" t="s">
        <v>129</v>
      </c>
      <c r="C10" s="156" t="s">
        <v>898</v>
      </c>
      <c r="D10" s="156" t="s">
        <v>899</v>
      </c>
      <c r="E10" t="s">
        <v>6</v>
      </c>
    </row>
    <row r="11" spans="1:5">
      <c r="A11">
        <v>10</v>
      </c>
      <c r="B11" t="s">
        <v>70</v>
      </c>
      <c r="C11" s="156" t="s">
        <v>898</v>
      </c>
      <c r="D11" s="156" t="s">
        <v>899</v>
      </c>
      <c r="E11" t="s">
        <v>7</v>
      </c>
    </row>
    <row r="12" spans="1:5">
      <c r="A12">
        <v>11</v>
      </c>
      <c r="B12" t="s">
        <v>71</v>
      </c>
      <c r="C12" s="156" t="s">
        <v>898</v>
      </c>
      <c r="D12" s="156" t="s">
        <v>899</v>
      </c>
      <c r="E12" t="s">
        <v>7</v>
      </c>
    </row>
    <row r="13" spans="1:5">
      <c r="A13">
        <v>12</v>
      </c>
      <c r="B13" t="s">
        <v>67</v>
      </c>
      <c r="C13" s="156" t="s">
        <v>898</v>
      </c>
      <c r="D13" s="156" t="s">
        <v>899</v>
      </c>
      <c r="E13" t="s">
        <v>7</v>
      </c>
    </row>
    <row r="14" spans="1:5">
      <c r="A14">
        <v>13</v>
      </c>
      <c r="B14" t="s">
        <v>68</v>
      </c>
      <c r="C14" s="156" t="s">
        <v>898</v>
      </c>
      <c r="D14" s="156" t="s">
        <v>899</v>
      </c>
      <c r="E14" t="s">
        <v>7</v>
      </c>
    </row>
    <row r="15" spans="1:5">
      <c r="A15">
        <v>14</v>
      </c>
      <c r="B15" t="s">
        <v>130</v>
      </c>
      <c r="C15" s="156" t="s">
        <v>898</v>
      </c>
      <c r="D15" s="156" t="s">
        <v>899</v>
      </c>
      <c r="E15" t="s">
        <v>7</v>
      </c>
    </row>
    <row r="16" spans="1:5">
      <c r="A16">
        <v>15</v>
      </c>
      <c r="B16" t="s">
        <v>129</v>
      </c>
      <c r="C16" s="156" t="s">
        <v>898</v>
      </c>
      <c r="D16" s="156" t="s">
        <v>899</v>
      </c>
      <c r="E16" t="s">
        <v>7</v>
      </c>
    </row>
    <row r="17" spans="1:5">
      <c r="A17">
        <v>16</v>
      </c>
      <c r="B17" t="s">
        <v>70</v>
      </c>
      <c r="C17" s="156" t="s">
        <v>898</v>
      </c>
      <c r="D17" s="156" t="s">
        <v>899</v>
      </c>
      <c r="E17" t="s">
        <v>8</v>
      </c>
    </row>
    <row r="18" spans="1:5">
      <c r="A18">
        <v>17</v>
      </c>
      <c r="B18" t="s">
        <v>71</v>
      </c>
      <c r="C18" s="156" t="s">
        <v>898</v>
      </c>
      <c r="D18" s="156" t="s">
        <v>899</v>
      </c>
      <c r="E18" t="s">
        <v>8</v>
      </c>
    </row>
    <row r="19" spans="1:5">
      <c r="A19">
        <v>18</v>
      </c>
      <c r="B19" t="s">
        <v>67</v>
      </c>
      <c r="C19" s="156" t="s">
        <v>898</v>
      </c>
      <c r="D19" s="156" t="s">
        <v>899</v>
      </c>
      <c r="E19" t="s">
        <v>8</v>
      </c>
    </row>
    <row r="20" spans="1:5">
      <c r="A20">
        <v>19</v>
      </c>
      <c r="B20" t="s">
        <v>68</v>
      </c>
      <c r="C20" s="156" t="s">
        <v>898</v>
      </c>
      <c r="D20" s="156" t="s">
        <v>899</v>
      </c>
      <c r="E20" t="s">
        <v>8</v>
      </c>
    </row>
    <row r="21" spans="1:5">
      <c r="A21">
        <v>20</v>
      </c>
      <c r="B21" t="s">
        <v>130</v>
      </c>
      <c r="C21" s="156" t="s">
        <v>898</v>
      </c>
      <c r="D21" s="156" t="s">
        <v>899</v>
      </c>
      <c r="E21" t="s">
        <v>8</v>
      </c>
    </row>
    <row r="22" spans="1:5">
      <c r="A22">
        <v>21</v>
      </c>
      <c r="B22" t="s">
        <v>129</v>
      </c>
      <c r="C22" s="156" t="s">
        <v>898</v>
      </c>
      <c r="D22" s="156" t="s">
        <v>899</v>
      </c>
      <c r="E22" t="s">
        <v>8</v>
      </c>
    </row>
    <row r="23" spans="1:5">
      <c r="A23">
        <v>22</v>
      </c>
      <c r="B23" t="s">
        <v>70</v>
      </c>
      <c r="C23" s="156" t="s">
        <v>898</v>
      </c>
      <c r="D23" s="156" t="s">
        <v>899</v>
      </c>
      <c r="E23" t="s">
        <v>9</v>
      </c>
    </row>
    <row r="24" spans="1:5">
      <c r="A24">
        <v>23</v>
      </c>
      <c r="B24" t="s">
        <v>71</v>
      </c>
      <c r="C24" s="156" t="s">
        <v>898</v>
      </c>
      <c r="D24" s="156" t="s">
        <v>899</v>
      </c>
      <c r="E24" t="s">
        <v>9</v>
      </c>
    </row>
    <row r="25" spans="1:5">
      <c r="A25">
        <v>24</v>
      </c>
      <c r="B25" t="s">
        <v>67</v>
      </c>
      <c r="C25" s="156" t="s">
        <v>898</v>
      </c>
      <c r="D25" s="156" t="s">
        <v>899</v>
      </c>
      <c r="E25" t="s">
        <v>9</v>
      </c>
    </row>
    <row r="26" spans="1:5">
      <c r="A26">
        <v>25</v>
      </c>
      <c r="B26" t="s">
        <v>68</v>
      </c>
      <c r="C26" s="156" t="s">
        <v>898</v>
      </c>
      <c r="D26" s="156" t="s">
        <v>899</v>
      </c>
      <c r="E26" t="s">
        <v>9</v>
      </c>
    </row>
    <row r="27" spans="1:5">
      <c r="A27">
        <v>26</v>
      </c>
      <c r="B27" t="s">
        <v>130</v>
      </c>
      <c r="C27" s="156" t="s">
        <v>898</v>
      </c>
      <c r="D27" s="156" t="s">
        <v>899</v>
      </c>
      <c r="E27" t="s">
        <v>9</v>
      </c>
    </row>
    <row r="28" spans="1:5">
      <c r="A28">
        <v>27</v>
      </c>
      <c r="B28" t="s">
        <v>129</v>
      </c>
      <c r="C28" s="156" t="s">
        <v>898</v>
      </c>
      <c r="D28" s="156" t="s">
        <v>899</v>
      </c>
      <c r="E28" t="s">
        <v>9</v>
      </c>
    </row>
    <row r="29" spans="1:5">
      <c r="A29" s="156">
        <v>28</v>
      </c>
      <c r="B29" s="113" t="s">
        <v>128</v>
      </c>
      <c r="C29" s="113" t="s">
        <v>62</v>
      </c>
      <c r="D29" s="113" t="s">
        <v>63</v>
      </c>
      <c r="E29" s="113" t="s">
        <v>6</v>
      </c>
    </row>
    <row r="30" spans="1:5">
      <c r="A30" s="156">
        <v>29</v>
      </c>
      <c r="B30" s="114" t="s">
        <v>50</v>
      </c>
      <c r="C30" s="156" t="s">
        <v>898</v>
      </c>
      <c r="D30" s="156" t="s">
        <v>898</v>
      </c>
      <c r="E30" t="s">
        <v>6</v>
      </c>
    </row>
    <row r="31" spans="1:5">
      <c r="A31" s="156">
        <v>30</v>
      </c>
      <c r="B31" t="s">
        <v>51</v>
      </c>
      <c r="C31" s="156" t="s">
        <v>898</v>
      </c>
      <c r="D31" s="156" t="s">
        <v>898</v>
      </c>
      <c r="E31" t="s">
        <v>6</v>
      </c>
    </row>
    <row r="32" spans="1:5">
      <c r="A32" s="156">
        <v>31</v>
      </c>
      <c r="B32" t="s">
        <v>52</v>
      </c>
      <c r="C32" s="156" t="s">
        <v>898</v>
      </c>
      <c r="D32" s="156" t="s">
        <v>898</v>
      </c>
      <c r="E32" t="s">
        <v>6</v>
      </c>
    </row>
    <row r="33" spans="1:5">
      <c r="A33" s="156">
        <v>32</v>
      </c>
      <c r="B33" t="s">
        <v>53</v>
      </c>
      <c r="C33" s="156" t="s">
        <v>898</v>
      </c>
      <c r="D33" s="156" t="s">
        <v>898</v>
      </c>
      <c r="E33" t="s">
        <v>6</v>
      </c>
    </row>
    <row r="34" spans="1:5">
      <c r="A34" s="156">
        <v>33</v>
      </c>
      <c r="B34" t="s">
        <v>54</v>
      </c>
      <c r="C34" s="156" t="s">
        <v>898</v>
      </c>
      <c r="D34" s="156" t="s">
        <v>898</v>
      </c>
      <c r="E34" t="s">
        <v>6</v>
      </c>
    </row>
    <row r="35" spans="1:5">
      <c r="A35" s="156">
        <v>34</v>
      </c>
      <c r="B35" t="s">
        <v>55</v>
      </c>
      <c r="C35" s="156" t="s">
        <v>898</v>
      </c>
      <c r="D35" s="156" t="s">
        <v>898</v>
      </c>
      <c r="E35" t="s">
        <v>6</v>
      </c>
    </row>
    <row r="36" spans="1:5">
      <c r="A36" s="156">
        <v>35</v>
      </c>
      <c r="B36" t="s">
        <v>56</v>
      </c>
      <c r="C36" s="156" t="s">
        <v>898</v>
      </c>
      <c r="D36" s="156" t="s">
        <v>898</v>
      </c>
      <c r="E36" t="s">
        <v>6</v>
      </c>
    </row>
    <row r="37" spans="1:5">
      <c r="A37" s="156">
        <v>36</v>
      </c>
      <c r="B37" t="s">
        <v>57</v>
      </c>
      <c r="C37" s="156" t="s">
        <v>898</v>
      </c>
      <c r="D37" s="156" t="s">
        <v>898</v>
      </c>
      <c r="E37" t="s">
        <v>6</v>
      </c>
    </row>
    <row r="38" spans="1:5">
      <c r="A38" s="156">
        <v>37</v>
      </c>
      <c r="B38" t="s">
        <v>58</v>
      </c>
      <c r="C38" s="156" t="s">
        <v>898</v>
      </c>
      <c r="D38" s="156" t="s">
        <v>898</v>
      </c>
      <c r="E38" t="s">
        <v>6</v>
      </c>
    </row>
    <row r="39" spans="1:5">
      <c r="A39" s="156">
        <v>38</v>
      </c>
      <c r="B39" t="s">
        <v>59</v>
      </c>
      <c r="C39" s="156" t="s">
        <v>898</v>
      </c>
      <c r="D39" s="156" t="s">
        <v>898</v>
      </c>
      <c r="E39" t="s">
        <v>6</v>
      </c>
    </row>
    <row r="40" spans="1:5">
      <c r="A40" s="156">
        <v>39</v>
      </c>
      <c r="B40" t="s">
        <v>60</v>
      </c>
      <c r="C40" s="156" t="s">
        <v>898</v>
      </c>
      <c r="D40" s="156" t="s">
        <v>898</v>
      </c>
      <c r="E40" t="s">
        <v>6</v>
      </c>
    </row>
    <row r="41" spans="1:5">
      <c r="A41" s="156">
        <v>40</v>
      </c>
      <c r="B41" t="s">
        <v>61</v>
      </c>
      <c r="C41" s="156" t="s">
        <v>898</v>
      </c>
      <c r="D41" s="156" t="s">
        <v>898</v>
      </c>
      <c r="E41" t="s">
        <v>6</v>
      </c>
    </row>
    <row r="42" spans="1:5">
      <c r="A42" s="156">
        <v>41</v>
      </c>
      <c r="B42" s="113" t="s">
        <v>128</v>
      </c>
      <c r="C42" s="113" t="s">
        <v>64</v>
      </c>
      <c r="D42" s="113" t="s">
        <v>65</v>
      </c>
      <c r="E42" s="113" t="s">
        <v>6</v>
      </c>
    </row>
    <row r="43" spans="1:5">
      <c r="A43" s="156">
        <v>42</v>
      </c>
      <c r="B43" s="114" t="s">
        <v>50</v>
      </c>
      <c r="C43" s="156" t="s">
        <v>899</v>
      </c>
      <c r="D43" s="156" t="s">
        <v>899</v>
      </c>
      <c r="E43" t="s">
        <v>6</v>
      </c>
    </row>
    <row r="44" spans="1:5">
      <c r="A44" s="156">
        <v>43</v>
      </c>
      <c r="B44" s="156" t="s">
        <v>51</v>
      </c>
      <c r="C44" s="156" t="s">
        <v>899</v>
      </c>
      <c r="D44" s="156" t="s">
        <v>899</v>
      </c>
      <c r="E44" t="s">
        <v>6</v>
      </c>
    </row>
    <row r="45" spans="1:5">
      <c r="A45" s="156">
        <v>44</v>
      </c>
      <c r="B45" s="156" t="s">
        <v>52</v>
      </c>
      <c r="C45" s="156" t="s">
        <v>899</v>
      </c>
      <c r="D45" s="156" t="s">
        <v>899</v>
      </c>
      <c r="E45" t="s">
        <v>6</v>
      </c>
    </row>
    <row r="46" spans="1:5">
      <c r="A46" s="156">
        <v>45</v>
      </c>
      <c r="B46" s="156" t="s">
        <v>53</v>
      </c>
      <c r="C46" s="156" t="s">
        <v>899</v>
      </c>
      <c r="D46" s="156" t="s">
        <v>899</v>
      </c>
      <c r="E46" t="s">
        <v>6</v>
      </c>
    </row>
    <row r="47" spans="1:5">
      <c r="A47" s="156">
        <v>46</v>
      </c>
      <c r="B47" s="156" t="s">
        <v>54</v>
      </c>
      <c r="C47" s="156" t="s">
        <v>899</v>
      </c>
      <c r="D47" s="156" t="s">
        <v>899</v>
      </c>
      <c r="E47" t="s">
        <v>6</v>
      </c>
    </row>
    <row r="48" spans="1:5">
      <c r="A48" s="156">
        <v>47</v>
      </c>
      <c r="B48" s="156" t="s">
        <v>55</v>
      </c>
      <c r="C48" s="156" t="s">
        <v>899</v>
      </c>
      <c r="D48" s="156" t="s">
        <v>899</v>
      </c>
      <c r="E48" t="s">
        <v>6</v>
      </c>
    </row>
    <row r="49" spans="1:5">
      <c r="A49" s="156">
        <v>48</v>
      </c>
      <c r="B49" s="156" t="s">
        <v>56</v>
      </c>
      <c r="C49" s="156" t="s">
        <v>899</v>
      </c>
      <c r="D49" s="156" t="s">
        <v>899</v>
      </c>
      <c r="E49" t="s">
        <v>6</v>
      </c>
    </row>
    <row r="50" spans="1:5">
      <c r="A50" s="156">
        <v>49</v>
      </c>
      <c r="B50" s="156" t="s">
        <v>57</v>
      </c>
      <c r="C50" s="156" t="s">
        <v>899</v>
      </c>
      <c r="D50" s="156" t="s">
        <v>899</v>
      </c>
      <c r="E50" t="s">
        <v>6</v>
      </c>
    </row>
    <row r="51" spans="1:5">
      <c r="A51" s="156">
        <v>50</v>
      </c>
      <c r="B51" s="156" t="s">
        <v>58</v>
      </c>
      <c r="C51" s="156" t="s">
        <v>899</v>
      </c>
      <c r="D51" s="156" t="s">
        <v>899</v>
      </c>
      <c r="E51" t="s">
        <v>6</v>
      </c>
    </row>
    <row r="52" spans="1:5">
      <c r="A52" s="156">
        <v>51</v>
      </c>
      <c r="B52" s="156" t="s">
        <v>59</v>
      </c>
      <c r="C52" s="156" t="s">
        <v>899</v>
      </c>
      <c r="D52" s="156" t="s">
        <v>899</v>
      </c>
      <c r="E52" t="s">
        <v>6</v>
      </c>
    </row>
    <row r="53" spans="1:5">
      <c r="A53" s="156">
        <v>52</v>
      </c>
      <c r="B53" s="156" t="s">
        <v>60</v>
      </c>
      <c r="C53" s="156" t="s">
        <v>899</v>
      </c>
      <c r="D53" s="156" t="s">
        <v>899</v>
      </c>
      <c r="E53" t="s">
        <v>6</v>
      </c>
    </row>
    <row r="54" spans="1:5">
      <c r="A54" s="156">
        <v>53</v>
      </c>
      <c r="B54" s="156" t="s">
        <v>61</v>
      </c>
      <c r="C54" s="156" t="s">
        <v>899</v>
      </c>
      <c r="D54" s="156" t="s">
        <v>899</v>
      </c>
      <c r="E54" t="s">
        <v>6</v>
      </c>
    </row>
    <row r="55" spans="1:5">
      <c r="A55" s="156">
        <v>54</v>
      </c>
      <c r="B55" s="113" t="s">
        <v>128</v>
      </c>
      <c r="C55" s="113" t="s">
        <v>62</v>
      </c>
      <c r="D55" s="113" t="s">
        <v>63</v>
      </c>
      <c r="E55" s="113" t="s">
        <v>7</v>
      </c>
    </row>
    <row r="56" spans="1:5">
      <c r="A56" s="156">
        <v>55</v>
      </c>
      <c r="B56" s="114" t="s">
        <v>50</v>
      </c>
      <c r="C56" s="156" t="s">
        <v>898</v>
      </c>
      <c r="D56" s="156" t="s">
        <v>898</v>
      </c>
      <c r="E56" t="s">
        <v>7</v>
      </c>
    </row>
    <row r="57" spans="1:5">
      <c r="A57" s="156">
        <v>56</v>
      </c>
      <c r="B57" s="156" t="s">
        <v>51</v>
      </c>
      <c r="C57" s="156" t="s">
        <v>898</v>
      </c>
      <c r="D57" s="156" t="s">
        <v>898</v>
      </c>
      <c r="E57" t="s">
        <v>7</v>
      </c>
    </row>
    <row r="58" spans="1:5">
      <c r="A58" s="156">
        <v>57</v>
      </c>
      <c r="B58" s="156" t="s">
        <v>52</v>
      </c>
      <c r="C58" s="156" t="s">
        <v>898</v>
      </c>
      <c r="D58" s="156" t="s">
        <v>898</v>
      </c>
      <c r="E58" t="s">
        <v>7</v>
      </c>
    </row>
    <row r="59" spans="1:5">
      <c r="A59" s="156">
        <v>58</v>
      </c>
      <c r="B59" s="156" t="s">
        <v>53</v>
      </c>
      <c r="C59" s="156" t="s">
        <v>898</v>
      </c>
      <c r="D59" s="156" t="s">
        <v>898</v>
      </c>
      <c r="E59" t="s">
        <v>7</v>
      </c>
    </row>
    <row r="60" spans="1:5">
      <c r="A60" s="156">
        <v>59</v>
      </c>
      <c r="B60" s="156" t="s">
        <v>54</v>
      </c>
      <c r="C60" s="156" t="s">
        <v>898</v>
      </c>
      <c r="D60" s="156" t="s">
        <v>898</v>
      </c>
      <c r="E60" t="s">
        <v>7</v>
      </c>
    </row>
    <row r="61" spans="1:5">
      <c r="A61" s="156">
        <v>60</v>
      </c>
      <c r="B61" s="156" t="s">
        <v>55</v>
      </c>
      <c r="C61" s="156" t="s">
        <v>898</v>
      </c>
      <c r="D61" s="156" t="s">
        <v>898</v>
      </c>
      <c r="E61" t="s">
        <v>7</v>
      </c>
    </row>
    <row r="62" spans="1:5">
      <c r="A62" s="156">
        <v>61</v>
      </c>
      <c r="B62" s="156" t="s">
        <v>56</v>
      </c>
      <c r="C62" s="156" t="s">
        <v>898</v>
      </c>
      <c r="D62" s="156" t="s">
        <v>898</v>
      </c>
      <c r="E62" t="s">
        <v>7</v>
      </c>
    </row>
    <row r="63" spans="1:5">
      <c r="A63" s="156">
        <v>62</v>
      </c>
      <c r="B63" s="156" t="s">
        <v>57</v>
      </c>
      <c r="C63" s="156" t="s">
        <v>898</v>
      </c>
      <c r="D63" s="156" t="s">
        <v>898</v>
      </c>
      <c r="E63" t="s">
        <v>7</v>
      </c>
    </row>
    <row r="64" spans="1:5">
      <c r="A64" s="156">
        <v>63</v>
      </c>
      <c r="B64" s="156" t="s">
        <v>58</v>
      </c>
      <c r="C64" s="156" t="s">
        <v>898</v>
      </c>
      <c r="D64" s="156" t="s">
        <v>898</v>
      </c>
      <c r="E64" t="s">
        <v>7</v>
      </c>
    </row>
    <row r="65" spans="1:5">
      <c r="A65" s="156">
        <v>64</v>
      </c>
      <c r="B65" s="156" t="s">
        <v>59</v>
      </c>
      <c r="C65" s="156" t="s">
        <v>898</v>
      </c>
      <c r="D65" s="156" t="s">
        <v>898</v>
      </c>
      <c r="E65" t="s">
        <v>7</v>
      </c>
    </row>
    <row r="66" spans="1:5">
      <c r="A66" s="156">
        <v>65</v>
      </c>
      <c r="B66" s="156" t="s">
        <v>60</v>
      </c>
      <c r="C66" s="156" t="s">
        <v>898</v>
      </c>
      <c r="D66" s="156" t="s">
        <v>898</v>
      </c>
      <c r="E66" t="s">
        <v>7</v>
      </c>
    </row>
    <row r="67" spans="1:5">
      <c r="A67" s="156">
        <v>66</v>
      </c>
      <c r="B67" s="156" t="s">
        <v>61</v>
      </c>
      <c r="C67" s="156" t="s">
        <v>898</v>
      </c>
      <c r="D67" s="156" t="s">
        <v>898</v>
      </c>
      <c r="E67" t="s">
        <v>7</v>
      </c>
    </row>
    <row r="68" spans="1:5">
      <c r="A68" s="156">
        <v>67</v>
      </c>
      <c r="B68" s="113" t="s">
        <v>128</v>
      </c>
      <c r="C68" s="113" t="s">
        <v>64</v>
      </c>
      <c r="D68" s="113" t="s">
        <v>65</v>
      </c>
      <c r="E68" s="113" t="s">
        <v>7</v>
      </c>
    </row>
    <row r="69" spans="1:5">
      <c r="A69" s="156">
        <v>68</v>
      </c>
      <c r="B69" s="114" t="s">
        <v>50</v>
      </c>
      <c r="C69" s="156" t="s">
        <v>899</v>
      </c>
      <c r="D69" s="156" t="s">
        <v>899</v>
      </c>
      <c r="E69" t="s">
        <v>7</v>
      </c>
    </row>
    <row r="70" spans="1:5">
      <c r="A70" s="156">
        <v>69</v>
      </c>
      <c r="B70" s="156" t="s">
        <v>51</v>
      </c>
      <c r="C70" s="156" t="s">
        <v>899</v>
      </c>
      <c r="D70" s="156" t="s">
        <v>899</v>
      </c>
      <c r="E70" t="s">
        <v>7</v>
      </c>
    </row>
    <row r="71" spans="1:5">
      <c r="A71" s="156">
        <v>70</v>
      </c>
      <c r="B71" s="156" t="s">
        <v>52</v>
      </c>
      <c r="C71" s="156" t="s">
        <v>899</v>
      </c>
      <c r="D71" s="156" t="s">
        <v>899</v>
      </c>
      <c r="E71" t="s">
        <v>7</v>
      </c>
    </row>
    <row r="72" spans="1:5">
      <c r="A72" s="156">
        <v>71</v>
      </c>
      <c r="B72" s="156" t="s">
        <v>53</v>
      </c>
      <c r="C72" s="156" t="s">
        <v>899</v>
      </c>
      <c r="D72" s="156" t="s">
        <v>899</v>
      </c>
      <c r="E72" t="s">
        <v>7</v>
      </c>
    </row>
    <row r="73" spans="1:5">
      <c r="A73" s="156">
        <v>72</v>
      </c>
      <c r="B73" s="156" t="s">
        <v>54</v>
      </c>
      <c r="C73" s="156" t="s">
        <v>899</v>
      </c>
      <c r="D73" s="156" t="s">
        <v>899</v>
      </c>
      <c r="E73" t="s">
        <v>7</v>
      </c>
    </row>
    <row r="74" spans="1:5">
      <c r="A74" s="156">
        <v>73</v>
      </c>
      <c r="B74" s="156" t="s">
        <v>55</v>
      </c>
      <c r="C74" s="156" t="s">
        <v>899</v>
      </c>
      <c r="D74" s="156" t="s">
        <v>899</v>
      </c>
      <c r="E74" t="s">
        <v>7</v>
      </c>
    </row>
    <row r="75" spans="1:5">
      <c r="A75" s="156">
        <v>74</v>
      </c>
      <c r="B75" s="156" t="s">
        <v>56</v>
      </c>
      <c r="C75" s="156" t="s">
        <v>899</v>
      </c>
      <c r="D75" s="156" t="s">
        <v>899</v>
      </c>
      <c r="E75" t="s">
        <v>7</v>
      </c>
    </row>
    <row r="76" spans="1:5">
      <c r="A76" s="156">
        <v>75</v>
      </c>
      <c r="B76" s="156" t="s">
        <v>57</v>
      </c>
      <c r="C76" s="156" t="s">
        <v>899</v>
      </c>
      <c r="D76" s="156" t="s">
        <v>899</v>
      </c>
      <c r="E76" t="s">
        <v>7</v>
      </c>
    </row>
    <row r="77" spans="1:5">
      <c r="A77" s="156">
        <v>76</v>
      </c>
      <c r="B77" s="156" t="s">
        <v>58</v>
      </c>
      <c r="C77" s="156" t="s">
        <v>899</v>
      </c>
      <c r="D77" s="156" t="s">
        <v>899</v>
      </c>
      <c r="E77" t="s">
        <v>7</v>
      </c>
    </row>
    <row r="78" spans="1:5">
      <c r="A78" s="156">
        <v>77</v>
      </c>
      <c r="B78" s="156" t="s">
        <v>59</v>
      </c>
      <c r="C78" s="156" t="s">
        <v>899</v>
      </c>
      <c r="D78" s="156" t="s">
        <v>899</v>
      </c>
      <c r="E78" t="s">
        <v>7</v>
      </c>
    </row>
    <row r="79" spans="1:5">
      <c r="A79" s="156">
        <v>78</v>
      </c>
      <c r="B79" s="156" t="s">
        <v>60</v>
      </c>
      <c r="C79" s="156" t="s">
        <v>899</v>
      </c>
      <c r="D79" s="156" t="s">
        <v>899</v>
      </c>
      <c r="E79" t="s">
        <v>7</v>
      </c>
    </row>
    <row r="80" spans="1:5">
      <c r="A80" s="156">
        <v>79</v>
      </c>
      <c r="B80" s="156" t="s">
        <v>61</v>
      </c>
      <c r="C80" s="156" t="s">
        <v>899</v>
      </c>
      <c r="D80" s="156" t="s">
        <v>899</v>
      </c>
      <c r="E80" t="s">
        <v>7</v>
      </c>
    </row>
    <row r="81" spans="1:5">
      <c r="A81" s="156">
        <v>80</v>
      </c>
      <c r="B81" s="113" t="s">
        <v>128</v>
      </c>
      <c r="C81" s="113" t="s">
        <v>62</v>
      </c>
      <c r="D81" s="113" t="s">
        <v>63</v>
      </c>
      <c r="E81" s="113" t="s">
        <v>8</v>
      </c>
    </row>
    <row r="82" spans="1:5">
      <c r="A82" s="156">
        <v>81</v>
      </c>
      <c r="B82" s="114" t="s">
        <v>50</v>
      </c>
      <c r="C82" s="156" t="s">
        <v>898</v>
      </c>
      <c r="D82" s="156" t="s">
        <v>898</v>
      </c>
      <c r="E82" t="s">
        <v>8</v>
      </c>
    </row>
    <row r="83" spans="1:5">
      <c r="A83" s="156">
        <v>82</v>
      </c>
      <c r="B83" s="156" t="s">
        <v>51</v>
      </c>
      <c r="C83" s="156" t="s">
        <v>898</v>
      </c>
      <c r="D83" s="156" t="s">
        <v>898</v>
      </c>
      <c r="E83" t="s">
        <v>8</v>
      </c>
    </row>
    <row r="84" spans="1:5">
      <c r="A84" s="156">
        <v>83</v>
      </c>
      <c r="B84" s="156" t="s">
        <v>52</v>
      </c>
      <c r="C84" s="156" t="s">
        <v>898</v>
      </c>
      <c r="D84" s="156" t="s">
        <v>898</v>
      </c>
      <c r="E84" t="s">
        <v>8</v>
      </c>
    </row>
    <row r="85" spans="1:5">
      <c r="A85" s="156">
        <v>84</v>
      </c>
      <c r="B85" s="156" t="s">
        <v>53</v>
      </c>
      <c r="C85" s="156" t="s">
        <v>898</v>
      </c>
      <c r="D85" s="156" t="s">
        <v>898</v>
      </c>
      <c r="E85" t="s">
        <v>8</v>
      </c>
    </row>
    <row r="86" spans="1:5">
      <c r="A86" s="156">
        <v>85</v>
      </c>
      <c r="B86" s="156" t="s">
        <v>54</v>
      </c>
      <c r="C86" s="156" t="s">
        <v>898</v>
      </c>
      <c r="D86" s="156" t="s">
        <v>898</v>
      </c>
      <c r="E86" t="s">
        <v>8</v>
      </c>
    </row>
    <row r="87" spans="1:5">
      <c r="A87" s="156">
        <v>86</v>
      </c>
      <c r="B87" s="156" t="s">
        <v>55</v>
      </c>
      <c r="C87" s="156" t="s">
        <v>898</v>
      </c>
      <c r="D87" s="156" t="s">
        <v>898</v>
      </c>
      <c r="E87" t="s">
        <v>8</v>
      </c>
    </row>
    <row r="88" spans="1:5">
      <c r="A88" s="156">
        <v>87</v>
      </c>
      <c r="B88" s="156" t="s">
        <v>56</v>
      </c>
      <c r="C88" s="156" t="s">
        <v>898</v>
      </c>
      <c r="D88" s="156" t="s">
        <v>898</v>
      </c>
      <c r="E88" t="s">
        <v>8</v>
      </c>
    </row>
    <row r="89" spans="1:5">
      <c r="A89" s="156">
        <v>88</v>
      </c>
      <c r="B89" s="156" t="s">
        <v>57</v>
      </c>
      <c r="C89" s="156" t="s">
        <v>898</v>
      </c>
      <c r="D89" s="156" t="s">
        <v>898</v>
      </c>
      <c r="E89" t="s">
        <v>8</v>
      </c>
    </row>
    <row r="90" spans="1:5">
      <c r="A90" s="156">
        <v>89</v>
      </c>
      <c r="B90" s="156" t="s">
        <v>58</v>
      </c>
      <c r="C90" s="156" t="s">
        <v>898</v>
      </c>
      <c r="D90" s="156" t="s">
        <v>898</v>
      </c>
      <c r="E90" t="s">
        <v>8</v>
      </c>
    </row>
    <row r="91" spans="1:5">
      <c r="A91" s="156">
        <v>90</v>
      </c>
      <c r="B91" s="156" t="s">
        <v>59</v>
      </c>
      <c r="C91" s="156" t="s">
        <v>898</v>
      </c>
      <c r="D91" s="156" t="s">
        <v>898</v>
      </c>
      <c r="E91" t="s">
        <v>8</v>
      </c>
    </row>
    <row r="92" spans="1:5">
      <c r="A92" s="156">
        <v>91</v>
      </c>
      <c r="B92" s="156" t="s">
        <v>60</v>
      </c>
      <c r="C92" s="156" t="s">
        <v>898</v>
      </c>
      <c r="D92" s="156" t="s">
        <v>898</v>
      </c>
      <c r="E92" t="s">
        <v>8</v>
      </c>
    </row>
    <row r="93" spans="1:5">
      <c r="A93" s="156">
        <v>92</v>
      </c>
      <c r="B93" s="156" t="s">
        <v>61</v>
      </c>
      <c r="C93" s="156" t="s">
        <v>898</v>
      </c>
      <c r="D93" s="156" t="s">
        <v>898</v>
      </c>
      <c r="E93" t="s">
        <v>8</v>
      </c>
    </row>
    <row r="94" spans="1:5">
      <c r="A94" s="156">
        <v>93</v>
      </c>
      <c r="B94" s="113" t="s">
        <v>128</v>
      </c>
      <c r="C94" s="113" t="s">
        <v>64</v>
      </c>
      <c r="D94" s="113" t="s">
        <v>65</v>
      </c>
      <c r="E94" s="113" t="s">
        <v>8</v>
      </c>
    </row>
    <row r="95" spans="1:5">
      <c r="A95" s="156">
        <v>94</v>
      </c>
      <c r="B95" s="114" t="s">
        <v>50</v>
      </c>
      <c r="C95" s="156" t="s">
        <v>899</v>
      </c>
      <c r="D95" s="156" t="s">
        <v>899</v>
      </c>
      <c r="E95" t="s">
        <v>8</v>
      </c>
    </row>
    <row r="96" spans="1:5">
      <c r="A96" s="156">
        <v>95</v>
      </c>
      <c r="B96" s="156" t="s">
        <v>51</v>
      </c>
      <c r="C96" s="156" t="s">
        <v>899</v>
      </c>
      <c r="D96" s="156" t="s">
        <v>899</v>
      </c>
      <c r="E96" t="s">
        <v>8</v>
      </c>
    </row>
    <row r="97" spans="1:5">
      <c r="A97" s="156">
        <v>96</v>
      </c>
      <c r="B97" s="156" t="s">
        <v>52</v>
      </c>
      <c r="C97" s="156" t="s">
        <v>899</v>
      </c>
      <c r="D97" s="156" t="s">
        <v>899</v>
      </c>
      <c r="E97" t="s">
        <v>8</v>
      </c>
    </row>
    <row r="98" spans="1:5">
      <c r="A98" s="156">
        <v>97</v>
      </c>
      <c r="B98" s="156" t="s">
        <v>53</v>
      </c>
      <c r="C98" s="156" t="s">
        <v>899</v>
      </c>
      <c r="D98" s="156" t="s">
        <v>899</v>
      </c>
      <c r="E98" t="s">
        <v>8</v>
      </c>
    </row>
    <row r="99" spans="1:5">
      <c r="A99" s="156">
        <v>98</v>
      </c>
      <c r="B99" s="156" t="s">
        <v>54</v>
      </c>
      <c r="C99" s="156" t="s">
        <v>899</v>
      </c>
      <c r="D99" s="156" t="s">
        <v>899</v>
      </c>
      <c r="E99" t="s">
        <v>8</v>
      </c>
    </row>
    <row r="100" spans="1:5">
      <c r="A100" s="156">
        <v>99</v>
      </c>
      <c r="B100" s="156" t="s">
        <v>55</v>
      </c>
      <c r="C100" s="156" t="s">
        <v>899</v>
      </c>
      <c r="D100" s="156" t="s">
        <v>899</v>
      </c>
      <c r="E100" t="s">
        <v>8</v>
      </c>
    </row>
    <row r="101" spans="1:5">
      <c r="A101" s="156">
        <v>100</v>
      </c>
      <c r="B101" s="156" t="s">
        <v>56</v>
      </c>
      <c r="C101" s="156" t="s">
        <v>899</v>
      </c>
      <c r="D101" s="156" t="s">
        <v>899</v>
      </c>
      <c r="E101" t="s">
        <v>8</v>
      </c>
    </row>
    <row r="102" spans="1:5">
      <c r="A102" s="156">
        <v>101</v>
      </c>
      <c r="B102" s="156" t="s">
        <v>57</v>
      </c>
      <c r="C102" s="156" t="s">
        <v>899</v>
      </c>
      <c r="D102" s="156" t="s">
        <v>899</v>
      </c>
      <c r="E102" t="s">
        <v>8</v>
      </c>
    </row>
    <row r="103" spans="1:5">
      <c r="A103" s="156">
        <v>102</v>
      </c>
      <c r="B103" s="156" t="s">
        <v>58</v>
      </c>
      <c r="C103" s="156" t="s">
        <v>899</v>
      </c>
      <c r="D103" s="156" t="s">
        <v>899</v>
      </c>
      <c r="E103" t="s">
        <v>8</v>
      </c>
    </row>
    <row r="104" spans="1:5">
      <c r="A104" s="156">
        <v>103</v>
      </c>
      <c r="B104" s="156" t="s">
        <v>59</v>
      </c>
      <c r="C104" s="156" t="s">
        <v>899</v>
      </c>
      <c r="D104" s="156" t="s">
        <v>899</v>
      </c>
      <c r="E104" t="s">
        <v>8</v>
      </c>
    </row>
    <row r="105" spans="1:5">
      <c r="A105" s="156">
        <v>104</v>
      </c>
      <c r="B105" s="156" t="s">
        <v>60</v>
      </c>
      <c r="C105" s="156" t="s">
        <v>899</v>
      </c>
      <c r="D105" s="156" t="s">
        <v>899</v>
      </c>
      <c r="E105" t="s">
        <v>8</v>
      </c>
    </row>
    <row r="106" spans="1:5">
      <c r="A106" s="156">
        <v>105</v>
      </c>
      <c r="B106" s="156" t="s">
        <v>61</v>
      </c>
      <c r="C106" s="156" t="s">
        <v>899</v>
      </c>
      <c r="D106" s="156" t="s">
        <v>899</v>
      </c>
      <c r="E106" t="s">
        <v>8</v>
      </c>
    </row>
    <row r="107" spans="1:5">
      <c r="A107" s="156">
        <v>106</v>
      </c>
      <c r="B107" s="113" t="s">
        <v>128</v>
      </c>
      <c r="C107" s="113" t="s">
        <v>62</v>
      </c>
      <c r="D107" s="113" t="s">
        <v>63</v>
      </c>
      <c r="E107" s="113" t="s">
        <v>9</v>
      </c>
    </row>
    <row r="108" spans="1:5">
      <c r="A108" s="156">
        <v>107</v>
      </c>
      <c r="B108" s="114" t="s">
        <v>50</v>
      </c>
      <c r="C108" s="156" t="s">
        <v>898</v>
      </c>
      <c r="D108" s="156" t="s">
        <v>898</v>
      </c>
      <c r="E108" t="s">
        <v>9</v>
      </c>
    </row>
    <row r="109" spans="1:5">
      <c r="A109" s="156">
        <v>108</v>
      </c>
      <c r="B109" s="156" t="s">
        <v>51</v>
      </c>
      <c r="C109" s="156" t="s">
        <v>898</v>
      </c>
      <c r="D109" s="156" t="s">
        <v>898</v>
      </c>
      <c r="E109" t="s">
        <v>9</v>
      </c>
    </row>
    <row r="110" spans="1:5">
      <c r="A110" s="156">
        <v>109</v>
      </c>
      <c r="B110" s="156" t="s">
        <v>52</v>
      </c>
      <c r="C110" s="156" t="s">
        <v>898</v>
      </c>
      <c r="D110" s="156" t="s">
        <v>898</v>
      </c>
      <c r="E110" t="s">
        <v>9</v>
      </c>
    </row>
    <row r="111" spans="1:5">
      <c r="A111" s="156">
        <v>110</v>
      </c>
      <c r="B111" s="156" t="s">
        <v>53</v>
      </c>
      <c r="C111" s="156" t="s">
        <v>898</v>
      </c>
      <c r="D111" s="156" t="s">
        <v>898</v>
      </c>
      <c r="E111" t="s">
        <v>9</v>
      </c>
    </row>
    <row r="112" spans="1:5">
      <c r="A112" s="156">
        <v>111</v>
      </c>
      <c r="B112" s="156" t="s">
        <v>54</v>
      </c>
      <c r="C112" s="156" t="s">
        <v>898</v>
      </c>
      <c r="D112" s="156" t="s">
        <v>898</v>
      </c>
      <c r="E112" t="s">
        <v>9</v>
      </c>
    </row>
    <row r="113" spans="1:5">
      <c r="A113" s="156">
        <v>112</v>
      </c>
      <c r="B113" s="156" t="s">
        <v>55</v>
      </c>
      <c r="C113" s="156" t="s">
        <v>898</v>
      </c>
      <c r="D113" s="156" t="s">
        <v>898</v>
      </c>
      <c r="E113" t="s">
        <v>9</v>
      </c>
    </row>
    <row r="114" spans="1:5">
      <c r="A114" s="156">
        <v>113</v>
      </c>
      <c r="B114" s="156" t="s">
        <v>56</v>
      </c>
      <c r="C114" s="156" t="s">
        <v>898</v>
      </c>
      <c r="D114" s="156" t="s">
        <v>898</v>
      </c>
      <c r="E114" t="s">
        <v>9</v>
      </c>
    </row>
    <row r="115" spans="1:5">
      <c r="A115" s="156">
        <v>114</v>
      </c>
      <c r="B115" s="156" t="s">
        <v>57</v>
      </c>
      <c r="C115" s="156" t="s">
        <v>898</v>
      </c>
      <c r="D115" s="156" t="s">
        <v>898</v>
      </c>
      <c r="E115" t="s">
        <v>9</v>
      </c>
    </row>
    <row r="116" spans="1:5">
      <c r="A116" s="156">
        <v>115</v>
      </c>
      <c r="B116" s="156" t="s">
        <v>58</v>
      </c>
      <c r="C116" s="156" t="s">
        <v>898</v>
      </c>
      <c r="D116" s="156" t="s">
        <v>898</v>
      </c>
      <c r="E116" t="s">
        <v>9</v>
      </c>
    </row>
    <row r="117" spans="1:5">
      <c r="A117" s="156">
        <v>116</v>
      </c>
      <c r="B117" s="156" t="s">
        <v>59</v>
      </c>
      <c r="C117" s="156" t="s">
        <v>898</v>
      </c>
      <c r="D117" s="156" t="s">
        <v>898</v>
      </c>
      <c r="E117" t="s">
        <v>9</v>
      </c>
    </row>
    <row r="118" spans="1:5">
      <c r="A118" s="156">
        <v>117</v>
      </c>
      <c r="B118" s="156" t="s">
        <v>60</v>
      </c>
      <c r="C118" s="156" t="s">
        <v>898</v>
      </c>
      <c r="D118" s="156" t="s">
        <v>898</v>
      </c>
      <c r="E118" t="s">
        <v>9</v>
      </c>
    </row>
    <row r="119" spans="1:5">
      <c r="A119" s="156">
        <v>118</v>
      </c>
      <c r="B119" s="156" t="s">
        <v>61</v>
      </c>
      <c r="C119" s="156" t="s">
        <v>898</v>
      </c>
      <c r="D119" s="156" t="s">
        <v>898</v>
      </c>
      <c r="E119" t="s">
        <v>9</v>
      </c>
    </row>
    <row r="120" spans="1:5">
      <c r="A120" s="156">
        <v>119</v>
      </c>
      <c r="B120" s="113" t="s">
        <v>128</v>
      </c>
      <c r="C120" s="113" t="s">
        <v>64</v>
      </c>
      <c r="D120" s="113" t="s">
        <v>65</v>
      </c>
      <c r="E120" s="113" t="s">
        <v>9</v>
      </c>
    </row>
    <row r="121" spans="1:5">
      <c r="A121" s="156">
        <v>120</v>
      </c>
      <c r="B121" s="114" t="s">
        <v>50</v>
      </c>
      <c r="C121" s="156" t="s">
        <v>899</v>
      </c>
      <c r="D121" s="156" t="s">
        <v>899</v>
      </c>
      <c r="E121" t="s">
        <v>9</v>
      </c>
    </row>
    <row r="122" spans="1:5">
      <c r="A122" s="156">
        <v>121</v>
      </c>
      <c r="B122" s="156" t="s">
        <v>51</v>
      </c>
      <c r="C122" s="156" t="s">
        <v>899</v>
      </c>
      <c r="D122" s="156" t="s">
        <v>899</v>
      </c>
      <c r="E122" t="s">
        <v>9</v>
      </c>
    </row>
    <row r="123" spans="1:5">
      <c r="A123" s="156">
        <v>122</v>
      </c>
      <c r="B123" s="156" t="s">
        <v>52</v>
      </c>
      <c r="C123" s="156" t="s">
        <v>899</v>
      </c>
      <c r="D123" s="156" t="s">
        <v>899</v>
      </c>
      <c r="E123" t="s">
        <v>9</v>
      </c>
    </row>
    <row r="124" spans="1:5">
      <c r="A124" s="156">
        <v>123</v>
      </c>
      <c r="B124" s="156" t="s">
        <v>53</v>
      </c>
      <c r="C124" s="156" t="s">
        <v>899</v>
      </c>
      <c r="D124" s="156" t="s">
        <v>899</v>
      </c>
      <c r="E124" t="s">
        <v>9</v>
      </c>
    </row>
    <row r="125" spans="1:5">
      <c r="A125" s="156">
        <v>124</v>
      </c>
      <c r="B125" s="156" t="s">
        <v>54</v>
      </c>
      <c r="C125" s="156" t="s">
        <v>899</v>
      </c>
      <c r="D125" s="156" t="s">
        <v>899</v>
      </c>
      <c r="E125" t="s">
        <v>9</v>
      </c>
    </row>
    <row r="126" spans="1:5">
      <c r="A126" s="156">
        <v>125</v>
      </c>
      <c r="B126" s="156" t="s">
        <v>55</v>
      </c>
      <c r="C126" s="156" t="s">
        <v>899</v>
      </c>
      <c r="D126" s="156" t="s">
        <v>899</v>
      </c>
      <c r="E126" t="s">
        <v>9</v>
      </c>
    </row>
    <row r="127" spans="1:5">
      <c r="A127" s="156">
        <v>126</v>
      </c>
      <c r="B127" s="156" t="s">
        <v>56</v>
      </c>
      <c r="C127" s="156" t="s">
        <v>899</v>
      </c>
      <c r="D127" s="156" t="s">
        <v>899</v>
      </c>
      <c r="E127" t="s">
        <v>9</v>
      </c>
    </row>
    <row r="128" spans="1:5">
      <c r="A128" s="156">
        <v>127</v>
      </c>
      <c r="B128" s="156" t="s">
        <v>57</v>
      </c>
      <c r="C128" s="156" t="s">
        <v>899</v>
      </c>
      <c r="D128" s="156" t="s">
        <v>899</v>
      </c>
      <c r="E128" t="s">
        <v>9</v>
      </c>
    </row>
    <row r="129" spans="1:5">
      <c r="A129" s="156">
        <v>128</v>
      </c>
      <c r="B129" s="156" t="s">
        <v>58</v>
      </c>
      <c r="C129" s="156" t="s">
        <v>899</v>
      </c>
      <c r="D129" s="156" t="s">
        <v>899</v>
      </c>
      <c r="E129" t="s">
        <v>9</v>
      </c>
    </row>
    <row r="130" spans="1:5">
      <c r="A130" s="156">
        <v>129</v>
      </c>
      <c r="B130" s="156" t="s">
        <v>59</v>
      </c>
      <c r="C130" s="156" t="s">
        <v>899</v>
      </c>
      <c r="D130" s="156" t="s">
        <v>899</v>
      </c>
      <c r="E130" t="s">
        <v>9</v>
      </c>
    </row>
    <row r="131" spans="1:5">
      <c r="A131" s="156">
        <v>130</v>
      </c>
      <c r="B131" s="156" t="s">
        <v>60</v>
      </c>
      <c r="C131" s="156" t="s">
        <v>899</v>
      </c>
      <c r="D131" s="156" t="s">
        <v>899</v>
      </c>
      <c r="E131" t="s">
        <v>9</v>
      </c>
    </row>
    <row r="132" spans="1:5">
      <c r="A132" s="156">
        <v>131</v>
      </c>
      <c r="B132" s="156" t="s">
        <v>61</v>
      </c>
      <c r="C132" s="156" t="s">
        <v>899</v>
      </c>
      <c r="D132" s="156" t="s">
        <v>899</v>
      </c>
      <c r="E132" t="s">
        <v>9</v>
      </c>
    </row>
    <row r="133" spans="1:5">
      <c r="A133" s="156">
        <v>132</v>
      </c>
      <c r="B133" s="113" t="s">
        <v>79</v>
      </c>
      <c r="C133" s="113" t="s">
        <v>127</v>
      </c>
      <c r="D133" s="113" t="s">
        <v>126</v>
      </c>
      <c r="E133" s="113" t="s">
        <v>3</v>
      </c>
    </row>
    <row r="134" spans="1:5">
      <c r="A134" s="156">
        <v>133</v>
      </c>
      <c r="B134" t="s">
        <v>16</v>
      </c>
      <c r="C134" t="s">
        <v>125</v>
      </c>
      <c r="D134" t="s">
        <v>124</v>
      </c>
      <c r="E134" t="s">
        <v>6</v>
      </c>
    </row>
    <row r="135" spans="1:5">
      <c r="A135" s="156">
        <v>134</v>
      </c>
      <c r="B135" t="s">
        <v>17</v>
      </c>
      <c r="C135" t="s">
        <v>123</v>
      </c>
      <c r="D135" t="s">
        <v>122</v>
      </c>
      <c r="E135" t="s">
        <v>6</v>
      </c>
    </row>
    <row r="136" spans="1:5">
      <c r="A136" s="156">
        <v>135</v>
      </c>
      <c r="B136" t="s">
        <v>18</v>
      </c>
      <c r="C136" t="s">
        <v>121</v>
      </c>
      <c r="D136" t="s">
        <v>120</v>
      </c>
      <c r="E136" t="s">
        <v>6</v>
      </c>
    </row>
    <row r="137" spans="1:5">
      <c r="A137" s="156">
        <v>136</v>
      </c>
      <c r="B137" t="s">
        <v>18</v>
      </c>
      <c r="C137" t="s">
        <v>121</v>
      </c>
      <c r="D137" t="s">
        <v>120</v>
      </c>
      <c r="E137" t="s">
        <v>6</v>
      </c>
    </row>
    <row r="138" spans="1:5">
      <c r="A138" s="156">
        <v>137</v>
      </c>
      <c r="B138" t="s">
        <v>119</v>
      </c>
      <c r="C138" t="s">
        <v>121</v>
      </c>
      <c r="D138" t="s">
        <v>120</v>
      </c>
      <c r="E138" t="s">
        <v>6</v>
      </c>
    </row>
    <row r="139" spans="1:5">
      <c r="A139" s="156">
        <v>138</v>
      </c>
      <c r="B139" t="s">
        <v>119</v>
      </c>
      <c r="C139" t="s">
        <v>118</v>
      </c>
      <c r="D139" t="s">
        <v>117</v>
      </c>
      <c r="E139" t="s">
        <v>6</v>
      </c>
    </row>
    <row r="140" spans="1:5">
      <c r="A140" s="156">
        <v>139</v>
      </c>
      <c r="B140" t="s">
        <v>116</v>
      </c>
      <c r="C140" t="s">
        <v>115</v>
      </c>
      <c r="D140" t="s">
        <v>114</v>
      </c>
      <c r="E140" t="s">
        <v>6</v>
      </c>
    </row>
    <row r="141" spans="1:5">
      <c r="A141" s="156">
        <v>140</v>
      </c>
      <c r="B141" t="s">
        <v>113</v>
      </c>
      <c r="C141" t="s">
        <v>112</v>
      </c>
      <c r="D141" t="s">
        <v>111</v>
      </c>
      <c r="E141" t="s">
        <v>6</v>
      </c>
    </row>
    <row r="142" spans="1:5">
      <c r="A142" s="156">
        <v>141</v>
      </c>
      <c r="B142" t="s">
        <v>110</v>
      </c>
      <c r="C142" t="s">
        <v>109</v>
      </c>
      <c r="D142" t="s">
        <v>108</v>
      </c>
      <c r="E142" t="s">
        <v>6</v>
      </c>
    </row>
    <row r="143" spans="1:5">
      <c r="A143" s="156">
        <v>142</v>
      </c>
      <c r="B143" t="s">
        <v>107</v>
      </c>
      <c r="C143" t="s">
        <v>106</v>
      </c>
      <c r="D143" t="s">
        <v>105</v>
      </c>
      <c r="E143" t="s">
        <v>6</v>
      </c>
    </row>
    <row r="144" spans="1:5">
      <c r="A144" s="156">
        <v>143</v>
      </c>
      <c r="B144" t="s">
        <v>104</v>
      </c>
      <c r="C144" t="s">
        <v>103</v>
      </c>
      <c r="D144" t="s">
        <v>102</v>
      </c>
      <c r="E144" t="s">
        <v>6</v>
      </c>
    </row>
    <row r="145" spans="1:5">
      <c r="A145" s="156">
        <v>144</v>
      </c>
      <c r="B145" t="s">
        <v>101</v>
      </c>
      <c r="C145" t="s">
        <v>100</v>
      </c>
      <c r="D145" t="s">
        <v>99</v>
      </c>
      <c r="E145" t="s">
        <v>6</v>
      </c>
    </row>
    <row r="146" spans="1:5">
      <c r="A146" s="156">
        <v>145</v>
      </c>
      <c r="B146" s="113" t="s">
        <v>79</v>
      </c>
      <c r="C146" s="113" t="s">
        <v>127</v>
      </c>
      <c r="D146" s="113" t="s">
        <v>126</v>
      </c>
      <c r="E146" s="113" t="s">
        <v>3</v>
      </c>
    </row>
    <row r="147" spans="1:5">
      <c r="A147" s="156">
        <v>146</v>
      </c>
      <c r="B147" t="s">
        <v>16</v>
      </c>
      <c r="C147" t="s">
        <v>125</v>
      </c>
      <c r="D147" t="s">
        <v>124</v>
      </c>
      <c r="E147" t="s">
        <v>7</v>
      </c>
    </row>
    <row r="148" spans="1:5">
      <c r="A148" s="156">
        <v>147</v>
      </c>
      <c r="B148" t="s">
        <v>17</v>
      </c>
      <c r="C148" t="s">
        <v>123</v>
      </c>
      <c r="D148" t="s">
        <v>122</v>
      </c>
      <c r="E148" t="s">
        <v>7</v>
      </c>
    </row>
    <row r="149" spans="1:5">
      <c r="A149" s="156">
        <v>148</v>
      </c>
      <c r="B149" t="s">
        <v>18</v>
      </c>
      <c r="C149" t="s">
        <v>121</v>
      </c>
      <c r="D149" t="s">
        <v>120</v>
      </c>
      <c r="E149" t="s">
        <v>7</v>
      </c>
    </row>
    <row r="150" spans="1:5">
      <c r="A150" s="156">
        <v>149</v>
      </c>
      <c r="B150" t="s">
        <v>119</v>
      </c>
      <c r="C150" t="s">
        <v>118</v>
      </c>
      <c r="D150" t="s">
        <v>117</v>
      </c>
      <c r="E150" t="s">
        <v>7</v>
      </c>
    </row>
    <row r="151" spans="1:5">
      <c r="A151" s="156">
        <v>150</v>
      </c>
      <c r="B151" t="s">
        <v>116</v>
      </c>
      <c r="C151" t="s">
        <v>115</v>
      </c>
      <c r="D151" t="s">
        <v>114</v>
      </c>
      <c r="E151" t="s">
        <v>7</v>
      </c>
    </row>
    <row r="152" spans="1:5">
      <c r="A152" s="156">
        <v>151</v>
      </c>
      <c r="B152" t="s">
        <v>113</v>
      </c>
      <c r="C152" t="s">
        <v>112</v>
      </c>
      <c r="D152" t="s">
        <v>111</v>
      </c>
      <c r="E152" t="s">
        <v>7</v>
      </c>
    </row>
    <row r="153" spans="1:5">
      <c r="A153" s="156">
        <v>152</v>
      </c>
      <c r="B153" t="s">
        <v>110</v>
      </c>
      <c r="C153" t="s">
        <v>109</v>
      </c>
      <c r="D153" t="s">
        <v>108</v>
      </c>
      <c r="E153" t="s">
        <v>7</v>
      </c>
    </row>
    <row r="154" spans="1:5">
      <c r="A154" s="156">
        <v>153</v>
      </c>
      <c r="B154" t="s">
        <v>107</v>
      </c>
      <c r="C154" t="s">
        <v>106</v>
      </c>
      <c r="D154" t="s">
        <v>105</v>
      </c>
      <c r="E154" t="s">
        <v>7</v>
      </c>
    </row>
    <row r="155" spans="1:5">
      <c r="A155" s="156">
        <v>154</v>
      </c>
      <c r="B155" t="s">
        <v>104</v>
      </c>
      <c r="C155" t="s">
        <v>103</v>
      </c>
      <c r="D155" t="s">
        <v>102</v>
      </c>
      <c r="E155" t="s">
        <v>7</v>
      </c>
    </row>
    <row r="156" spans="1:5">
      <c r="A156" s="156">
        <v>155</v>
      </c>
      <c r="B156" t="s">
        <v>101</v>
      </c>
      <c r="C156" t="s">
        <v>100</v>
      </c>
      <c r="D156" t="s">
        <v>99</v>
      </c>
      <c r="E156" t="s">
        <v>7</v>
      </c>
    </row>
    <row r="157" spans="1:5">
      <c r="A157" s="156">
        <v>156</v>
      </c>
      <c r="B157" s="113" t="s">
        <v>79</v>
      </c>
      <c r="C157" s="113" t="s">
        <v>127</v>
      </c>
      <c r="D157" s="113" t="s">
        <v>126</v>
      </c>
      <c r="E157" s="113" t="s">
        <v>3</v>
      </c>
    </row>
    <row r="158" spans="1:5">
      <c r="A158" s="156">
        <v>157</v>
      </c>
      <c r="B158" t="s">
        <v>16</v>
      </c>
      <c r="C158" t="s">
        <v>125</v>
      </c>
      <c r="D158" t="s">
        <v>124</v>
      </c>
      <c r="E158" t="s">
        <v>8</v>
      </c>
    </row>
    <row r="159" spans="1:5">
      <c r="A159" s="156">
        <v>158</v>
      </c>
      <c r="B159" t="s">
        <v>17</v>
      </c>
      <c r="C159" t="s">
        <v>123</v>
      </c>
      <c r="D159" t="s">
        <v>122</v>
      </c>
      <c r="E159" t="s">
        <v>8</v>
      </c>
    </row>
    <row r="160" spans="1:5">
      <c r="A160" s="156">
        <v>159</v>
      </c>
      <c r="B160" t="s">
        <v>18</v>
      </c>
      <c r="C160" t="s">
        <v>121</v>
      </c>
      <c r="D160" t="s">
        <v>120</v>
      </c>
      <c r="E160" t="s">
        <v>8</v>
      </c>
    </row>
    <row r="161" spans="1:5">
      <c r="A161" s="156">
        <v>160</v>
      </c>
      <c r="B161" t="s">
        <v>119</v>
      </c>
      <c r="C161" t="s">
        <v>118</v>
      </c>
      <c r="D161" t="s">
        <v>117</v>
      </c>
      <c r="E161" t="s">
        <v>8</v>
      </c>
    </row>
    <row r="162" spans="1:5">
      <c r="A162" s="156">
        <v>161</v>
      </c>
      <c r="B162" t="s">
        <v>116</v>
      </c>
      <c r="C162" t="s">
        <v>115</v>
      </c>
      <c r="D162" t="s">
        <v>114</v>
      </c>
      <c r="E162" t="s">
        <v>8</v>
      </c>
    </row>
    <row r="163" spans="1:5">
      <c r="A163" s="156">
        <v>162</v>
      </c>
      <c r="B163" t="s">
        <v>113</v>
      </c>
      <c r="C163" t="s">
        <v>112</v>
      </c>
      <c r="D163" t="s">
        <v>111</v>
      </c>
      <c r="E163" t="s">
        <v>8</v>
      </c>
    </row>
    <row r="164" spans="1:5">
      <c r="A164" s="156">
        <v>163</v>
      </c>
      <c r="B164" t="s">
        <v>110</v>
      </c>
      <c r="C164" t="s">
        <v>109</v>
      </c>
      <c r="D164" t="s">
        <v>108</v>
      </c>
      <c r="E164" t="s">
        <v>8</v>
      </c>
    </row>
    <row r="165" spans="1:5">
      <c r="A165" s="156">
        <v>164</v>
      </c>
      <c r="B165" t="s">
        <v>107</v>
      </c>
      <c r="C165" t="s">
        <v>106</v>
      </c>
      <c r="D165" t="s">
        <v>105</v>
      </c>
      <c r="E165" t="s">
        <v>8</v>
      </c>
    </row>
    <row r="166" spans="1:5">
      <c r="A166" s="156">
        <v>165</v>
      </c>
      <c r="B166" t="s">
        <v>104</v>
      </c>
      <c r="C166" t="s">
        <v>103</v>
      </c>
      <c r="D166" t="s">
        <v>102</v>
      </c>
      <c r="E166" t="s">
        <v>8</v>
      </c>
    </row>
    <row r="167" spans="1:5">
      <c r="A167" s="156">
        <v>166</v>
      </c>
      <c r="B167" t="s">
        <v>101</v>
      </c>
      <c r="C167" t="s">
        <v>100</v>
      </c>
      <c r="D167" t="s">
        <v>99</v>
      </c>
      <c r="E167" t="s">
        <v>8</v>
      </c>
    </row>
    <row r="168" spans="1:5">
      <c r="A168" s="156">
        <v>167</v>
      </c>
      <c r="B168" s="113" t="s">
        <v>79</v>
      </c>
      <c r="C168" s="113" t="s">
        <v>127</v>
      </c>
      <c r="D168" s="113" t="s">
        <v>126</v>
      </c>
      <c r="E168" s="113" t="s">
        <v>3</v>
      </c>
    </row>
    <row r="169" spans="1:5">
      <c r="A169" s="156">
        <v>168</v>
      </c>
      <c r="B169" t="s">
        <v>16</v>
      </c>
      <c r="C169" t="s">
        <v>125</v>
      </c>
      <c r="D169" t="s">
        <v>124</v>
      </c>
      <c r="E169" t="s">
        <v>9</v>
      </c>
    </row>
    <row r="170" spans="1:5">
      <c r="A170" s="156">
        <v>169</v>
      </c>
      <c r="B170" t="s">
        <v>17</v>
      </c>
      <c r="C170" t="s">
        <v>123</v>
      </c>
      <c r="D170" t="s">
        <v>122</v>
      </c>
      <c r="E170" t="s">
        <v>9</v>
      </c>
    </row>
    <row r="171" spans="1:5">
      <c r="A171" s="156">
        <v>170</v>
      </c>
      <c r="B171" t="s">
        <v>18</v>
      </c>
      <c r="C171" t="s">
        <v>121</v>
      </c>
      <c r="D171" t="s">
        <v>120</v>
      </c>
      <c r="E171" t="s">
        <v>9</v>
      </c>
    </row>
    <row r="172" spans="1:5">
      <c r="A172" s="156">
        <v>171</v>
      </c>
      <c r="B172" t="s">
        <v>119</v>
      </c>
      <c r="C172" t="s">
        <v>118</v>
      </c>
      <c r="D172" t="s">
        <v>117</v>
      </c>
      <c r="E172" t="s">
        <v>9</v>
      </c>
    </row>
    <row r="173" spans="1:5">
      <c r="A173" s="156">
        <v>172</v>
      </c>
      <c r="B173" t="s">
        <v>116</v>
      </c>
      <c r="C173" t="s">
        <v>115</v>
      </c>
      <c r="D173" t="s">
        <v>114</v>
      </c>
      <c r="E173" t="s">
        <v>9</v>
      </c>
    </row>
    <row r="174" spans="1:5">
      <c r="A174" s="156">
        <v>173</v>
      </c>
      <c r="B174" t="s">
        <v>113</v>
      </c>
      <c r="C174" t="s">
        <v>112</v>
      </c>
      <c r="D174" t="s">
        <v>111</v>
      </c>
      <c r="E174" t="s">
        <v>9</v>
      </c>
    </row>
    <row r="175" spans="1:5">
      <c r="A175" s="156">
        <v>174</v>
      </c>
      <c r="B175" t="s">
        <v>110</v>
      </c>
      <c r="C175" t="s">
        <v>109</v>
      </c>
      <c r="D175" t="s">
        <v>108</v>
      </c>
      <c r="E175" t="s">
        <v>9</v>
      </c>
    </row>
    <row r="176" spans="1:5">
      <c r="A176" s="156">
        <v>175</v>
      </c>
      <c r="B176" t="s">
        <v>107</v>
      </c>
      <c r="C176" t="s">
        <v>106</v>
      </c>
      <c r="D176" t="s">
        <v>105</v>
      </c>
      <c r="E176" t="s">
        <v>9</v>
      </c>
    </row>
    <row r="177" spans="1:5">
      <c r="A177" s="156">
        <v>176</v>
      </c>
      <c r="B177" t="s">
        <v>107</v>
      </c>
      <c r="C177" t="s">
        <v>106</v>
      </c>
      <c r="D177" t="s">
        <v>105</v>
      </c>
      <c r="E177" t="s">
        <v>9</v>
      </c>
    </row>
    <row r="178" spans="1:5">
      <c r="A178" s="156">
        <v>177</v>
      </c>
      <c r="B178" t="s">
        <v>104</v>
      </c>
      <c r="C178" t="s">
        <v>103</v>
      </c>
      <c r="D178" t="s">
        <v>102</v>
      </c>
      <c r="E178" t="s">
        <v>9</v>
      </c>
    </row>
    <row r="179" spans="1:5">
      <c r="A179" s="156">
        <v>178</v>
      </c>
      <c r="B179" t="s">
        <v>104</v>
      </c>
      <c r="C179" t="s">
        <v>103</v>
      </c>
      <c r="D179" t="s">
        <v>102</v>
      </c>
      <c r="E179" t="s">
        <v>9</v>
      </c>
    </row>
    <row r="180" spans="1:5">
      <c r="A180" s="156">
        <v>179</v>
      </c>
      <c r="B180" t="s">
        <v>101</v>
      </c>
      <c r="C180" t="s">
        <v>100</v>
      </c>
      <c r="D180" t="s">
        <v>99</v>
      </c>
      <c r="E180" t="s">
        <v>9</v>
      </c>
    </row>
  </sheetData>
  <phoneticPr fontId="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46"/>
  <sheetViews>
    <sheetView workbookViewId="0">
      <selection activeCell="A2" sqref="A2"/>
    </sheetView>
  </sheetViews>
  <sheetFormatPr defaultRowHeight="13.5"/>
  <cols>
    <col min="1" max="1" width="3" bestFit="1" customWidth="1"/>
    <col min="2" max="2" width="13.875" bestFit="1" customWidth="1"/>
    <col min="3" max="3" width="11.75" bestFit="1" customWidth="1"/>
    <col min="4" max="4" width="14.625" bestFit="1" customWidth="1"/>
    <col min="5" max="5" width="32.875" bestFit="1" customWidth="1"/>
    <col min="6" max="6" width="34.125" bestFit="1" customWidth="1"/>
    <col min="7" max="7" width="30" bestFit="1" customWidth="1"/>
    <col min="8" max="8" width="34.125" bestFit="1" customWidth="1"/>
    <col min="9" max="9" width="35.25" bestFit="1" customWidth="1"/>
    <col min="10" max="10" width="31.125" bestFit="1" customWidth="1"/>
    <col min="11" max="11" width="31" bestFit="1" customWidth="1"/>
    <col min="12" max="12" width="31.25" bestFit="1" customWidth="1"/>
    <col min="13" max="13" width="22" bestFit="1" customWidth="1"/>
    <col min="14" max="14" width="23.125" bestFit="1" customWidth="1"/>
  </cols>
  <sheetData>
    <row r="1" spans="1:14">
      <c r="A1" t="s">
        <v>141</v>
      </c>
      <c r="B1" t="s">
        <v>140</v>
      </c>
      <c r="C1" t="s">
        <v>139</v>
      </c>
      <c r="D1" t="s">
        <v>138</v>
      </c>
      <c r="E1" t="s">
        <v>137</v>
      </c>
      <c r="F1" t="s">
        <v>142</v>
      </c>
      <c r="G1" t="s">
        <v>143</v>
      </c>
      <c r="H1" t="s">
        <v>144</v>
      </c>
      <c r="I1" t="s">
        <v>145</v>
      </c>
      <c r="J1" t="s">
        <v>146</v>
      </c>
      <c r="K1" t="s">
        <v>147</v>
      </c>
      <c r="L1" t="s">
        <v>148</v>
      </c>
      <c r="M1" t="s">
        <v>149</v>
      </c>
      <c r="N1" t="s">
        <v>150</v>
      </c>
    </row>
    <row r="2" spans="1:14">
      <c r="A2" s="113">
        <v>1</v>
      </c>
      <c r="B2" s="113" t="s">
        <v>152</v>
      </c>
      <c r="C2" s="113" t="s">
        <v>93</v>
      </c>
      <c r="D2" s="113" t="s">
        <v>153</v>
      </c>
      <c r="E2" s="113" t="s">
        <v>154</v>
      </c>
      <c r="F2" s="113" t="s">
        <v>155</v>
      </c>
      <c r="G2" s="113" t="s">
        <v>156</v>
      </c>
      <c r="H2" s="113" t="s">
        <v>157</v>
      </c>
      <c r="I2" s="113" t="s">
        <v>158</v>
      </c>
      <c r="J2" s="113" t="s">
        <v>159</v>
      </c>
      <c r="K2" s="113" t="s">
        <v>160</v>
      </c>
      <c r="L2" s="113" t="s">
        <v>161</v>
      </c>
      <c r="M2" s="113" t="s">
        <v>162</v>
      </c>
      <c r="N2" s="113" t="s">
        <v>163</v>
      </c>
    </row>
    <row r="3" spans="1:14">
      <c r="A3">
        <v>2</v>
      </c>
      <c r="B3" t="s">
        <v>6</v>
      </c>
      <c r="C3" t="s">
        <v>164</v>
      </c>
      <c r="D3" t="s">
        <v>165</v>
      </c>
      <c r="E3" t="s">
        <v>166</v>
      </c>
      <c r="F3" t="s">
        <v>167</v>
      </c>
      <c r="G3" t="s">
        <v>168</v>
      </c>
      <c r="H3" t="s">
        <v>169</v>
      </c>
      <c r="I3" t="s">
        <v>170</v>
      </c>
      <c r="J3" t="s">
        <v>171</v>
      </c>
      <c r="K3" t="s">
        <v>172</v>
      </c>
      <c r="L3" t="s">
        <v>173</v>
      </c>
      <c r="M3" t="s">
        <v>174</v>
      </c>
      <c r="N3" t="s">
        <v>175</v>
      </c>
    </row>
    <row r="4" spans="1:14">
      <c r="A4">
        <v>3</v>
      </c>
      <c r="B4" t="s">
        <v>6</v>
      </c>
      <c r="C4" t="s">
        <v>176</v>
      </c>
      <c r="D4" t="s">
        <v>177</v>
      </c>
      <c r="E4" t="s">
        <v>178</v>
      </c>
      <c r="F4" t="s">
        <v>179</v>
      </c>
      <c r="G4" t="s">
        <v>180</v>
      </c>
      <c r="H4" t="s">
        <v>181</v>
      </c>
      <c r="I4" t="s">
        <v>182</v>
      </c>
      <c r="J4" t="s">
        <v>183</v>
      </c>
      <c r="K4" t="s">
        <v>184</v>
      </c>
      <c r="L4" t="s">
        <v>185</v>
      </c>
      <c r="M4" t="s">
        <v>186</v>
      </c>
      <c r="N4" t="s">
        <v>187</v>
      </c>
    </row>
    <row r="5" spans="1:14">
      <c r="A5">
        <v>4</v>
      </c>
      <c r="B5" s="23" t="s">
        <v>6</v>
      </c>
      <c r="C5" t="s">
        <v>188</v>
      </c>
      <c r="D5" t="s">
        <v>189</v>
      </c>
      <c r="E5" t="s">
        <v>190</v>
      </c>
      <c r="F5" t="s">
        <v>191</v>
      </c>
      <c r="G5" t="s">
        <v>192</v>
      </c>
      <c r="H5" t="s">
        <v>193</v>
      </c>
      <c r="I5" t="s">
        <v>194</v>
      </c>
      <c r="J5" t="s">
        <v>195</v>
      </c>
      <c r="K5" t="s">
        <v>196</v>
      </c>
      <c r="L5" t="s">
        <v>197</v>
      </c>
      <c r="M5" t="s">
        <v>198</v>
      </c>
      <c r="N5" t="s">
        <v>199</v>
      </c>
    </row>
    <row r="6" spans="1:14">
      <c r="A6">
        <v>5</v>
      </c>
      <c r="B6" s="23" t="s">
        <v>6</v>
      </c>
      <c r="C6" t="s">
        <v>200</v>
      </c>
      <c r="D6" t="s">
        <v>201</v>
      </c>
      <c r="E6" t="s">
        <v>202</v>
      </c>
      <c r="F6" t="s">
        <v>203</v>
      </c>
      <c r="G6" t="s">
        <v>204</v>
      </c>
      <c r="H6" t="s">
        <v>205</v>
      </c>
      <c r="I6" t="s">
        <v>206</v>
      </c>
      <c r="J6" t="s">
        <v>207</v>
      </c>
      <c r="K6" t="s">
        <v>208</v>
      </c>
      <c r="L6" t="s">
        <v>209</v>
      </c>
      <c r="M6" t="s">
        <v>210</v>
      </c>
      <c r="N6" t="s">
        <v>211</v>
      </c>
    </row>
    <row r="7" spans="1:14">
      <c r="A7">
        <v>6</v>
      </c>
      <c r="B7" s="23" t="s">
        <v>6</v>
      </c>
      <c r="C7" t="s">
        <v>212</v>
      </c>
      <c r="D7" t="s">
        <v>213</v>
      </c>
      <c r="E7" t="s">
        <v>214</v>
      </c>
      <c r="F7" t="s">
        <v>215</v>
      </c>
      <c r="G7" t="s">
        <v>216</v>
      </c>
      <c r="H7" t="s">
        <v>217</v>
      </c>
      <c r="I7" t="s">
        <v>218</v>
      </c>
      <c r="J7" t="s">
        <v>219</v>
      </c>
      <c r="K7" t="s">
        <v>220</v>
      </c>
      <c r="L7" t="s">
        <v>221</v>
      </c>
      <c r="M7" t="s">
        <v>222</v>
      </c>
      <c r="N7" t="s">
        <v>223</v>
      </c>
    </row>
    <row r="8" spans="1:14">
      <c r="A8">
        <v>7</v>
      </c>
      <c r="B8" s="23" t="s">
        <v>6</v>
      </c>
      <c r="C8" t="s">
        <v>224</v>
      </c>
      <c r="D8" t="s">
        <v>225</v>
      </c>
      <c r="E8" t="s">
        <v>226</v>
      </c>
      <c r="F8" t="s">
        <v>227</v>
      </c>
      <c r="G8" t="s">
        <v>228</v>
      </c>
      <c r="H8" t="s">
        <v>229</v>
      </c>
      <c r="I8" t="s">
        <v>230</v>
      </c>
      <c r="J8" t="s">
        <v>231</v>
      </c>
      <c r="K8" t="s">
        <v>232</v>
      </c>
      <c r="L8" t="s">
        <v>233</v>
      </c>
      <c r="M8" t="s">
        <v>234</v>
      </c>
      <c r="N8" t="s">
        <v>235</v>
      </c>
    </row>
    <row r="9" spans="1:14">
      <c r="A9">
        <v>8</v>
      </c>
      <c r="B9" s="23" t="s">
        <v>6</v>
      </c>
      <c r="C9" t="s">
        <v>236</v>
      </c>
      <c r="D9" t="s">
        <v>237</v>
      </c>
      <c r="E9" t="s">
        <v>238</v>
      </c>
      <c r="F9" t="s">
        <v>239</v>
      </c>
      <c r="G9" t="s">
        <v>240</v>
      </c>
      <c r="H9" t="s">
        <v>241</v>
      </c>
      <c r="I9" t="s">
        <v>242</v>
      </c>
      <c r="J9" t="s">
        <v>243</v>
      </c>
      <c r="K9" t="s">
        <v>244</v>
      </c>
      <c r="L9" t="s">
        <v>245</v>
      </c>
      <c r="M9" t="s">
        <v>246</v>
      </c>
      <c r="N9" t="s">
        <v>247</v>
      </c>
    </row>
    <row r="10" spans="1:14">
      <c r="A10">
        <v>9</v>
      </c>
      <c r="B10" s="23" t="s">
        <v>6</v>
      </c>
      <c r="C10" t="s">
        <v>248</v>
      </c>
      <c r="D10" t="s">
        <v>249</v>
      </c>
      <c r="E10" t="s">
        <v>250</v>
      </c>
      <c r="F10" t="s">
        <v>251</v>
      </c>
      <c r="G10" t="s">
        <v>252</v>
      </c>
      <c r="H10" t="s">
        <v>253</v>
      </c>
      <c r="I10" t="s">
        <v>254</v>
      </c>
      <c r="J10" t="s">
        <v>255</v>
      </c>
      <c r="K10" t="s">
        <v>256</v>
      </c>
      <c r="L10" t="s">
        <v>257</v>
      </c>
      <c r="M10" t="s">
        <v>258</v>
      </c>
      <c r="N10" t="s">
        <v>259</v>
      </c>
    </row>
    <row r="11" spans="1:14">
      <c r="A11">
        <v>10</v>
      </c>
      <c r="B11" s="23" t="s">
        <v>6</v>
      </c>
      <c r="C11" t="s">
        <v>260</v>
      </c>
      <c r="D11" t="s">
        <v>261</v>
      </c>
      <c r="E11" t="s">
        <v>262</v>
      </c>
      <c r="F11" t="s">
        <v>263</v>
      </c>
      <c r="G11" t="s">
        <v>264</v>
      </c>
      <c r="H11" t="s">
        <v>265</v>
      </c>
      <c r="I11" t="s">
        <v>266</v>
      </c>
      <c r="J11" t="s">
        <v>267</v>
      </c>
      <c r="K11" t="s">
        <v>268</v>
      </c>
      <c r="L11" t="s">
        <v>269</v>
      </c>
      <c r="M11" t="s">
        <v>270</v>
      </c>
      <c r="N11" t="s">
        <v>271</v>
      </c>
    </row>
    <row r="12" spans="1:14">
      <c r="A12">
        <v>11</v>
      </c>
      <c r="B12" s="23" t="s">
        <v>6</v>
      </c>
      <c r="C12" t="s">
        <v>272</v>
      </c>
      <c r="D12" t="s">
        <v>273</v>
      </c>
      <c r="E12" t="s">
        <v>274</v>
      </c>
      <c r="F12" t="s">
        <v>275</v>
      </c>
      <c r="G12" t="s">
        <v>276</v>
      </c>
      <c r="H12" t="s">
        <v>277</v>
      </c>
      <c r="I12" t="s">
        <v>278</v>
      </c>
      <c r="J12" t="s">
        <v>279</v>
      </c>
      <c r="K12" t="s">
        <v>280</v>
      </c>
      <c r="L12" t="s">
        <v>281</v>
      </c>
      <c r="M12" t="s">
        <v>282</v>
      </c>
      <c r="N12" t="s">
        <v>283</v>
      </c>
    </row>
    <row r="13" spans="1:14">
      <c r="A13">
        <v>12</v>
      </c>
      <c r="B13" s="23" t="s">
        <v>6</v>
      </c>
      <c r="C13" t="s">
        <v>284</v>
      </c>
      <c r="D13" t="s">
        <v>285</v>
      </c>
      <c r="E13" t="s">
        <v>286</v>
      </c>
      <c r="F13" t="s">
        <v>287</v>
      </c>
      <c r="G13" t="s">
        <v>288</v>
      </c>
      <c r="H13" t="s">
        <v>289</v>
      </c>
      <c r="I13" t="s">
        <v>290</v>
      </c>
      <c r="J13" t="s">
        <v>291</v>
      </c>
      <c r="K13" t="s">
        <v>292</v>
      </c>
      <c r="L13" t="s">
        <v>293</v>
      </c>
      <c r="M13" t="s">
        <v>294</v>
      </c>
      <c r="N13" t="s">
        <v>295</v>
      </c>
    </row>
    <row r="14" spans="1:14">
      <c r="A14">
        <v>13</v>
      </c>
      <c r="B14" t="s">
        <v>7</v>
      </c>
      <c r="C14" t="s">
        <v>164</v>
      </c>
      <c r="D14" t="s">
        <v>165</v>
      </c>
      <c r="E14" t="s">
        <v>166</v>
      </c>
      <c r="F14" t="s">
        <v>167</v>
      </c>
      <c r="G14" t="s">
        <v>168</v>
      </c>
      <c r="H14" t="s">
        <v>169</v>
      </c>
      <c r="I14" t="s">
        <v>170</v>
      </c>
      <c r="J14" t="s">
        <v>171</v>
      </c>
      <c r="K14" t="s">
        <v>172</v>
      </c>
      <c r="L14" t="s">
        <v>173</v>
      </c>
      <c r="M14" t="s">
        <v>174</v>
      </c>
      <c r="N14" t="s">
        <v>175</v>
      </c>
    </row>
    <row r="15" spans="1:14">
      <c r="A15">
        <v>14</v>
      </c>
      <c r="B15" t="s">
        <v>7</v>
      </c>
      <c r="C15" t="s">
        <v>176</v>
      </c>
      <c r="D15" t="s">
        <v>177</v>
      </c>
      <c r="E15" t="s">
        <v>178</v>
      </c>
      <c r="F15" t="s">
        <v>179</v>
      </c>
      <c r="G15" t="s">
        <v>180</v>
      </c>
      <c r="H15" t="s">
        <v>181</v>
      </c>
      <c r="I15" t="s">
        <v>182</v>
      </c>
      <c r="J15" t="s">
        <v>183</v>
      </c>
      <c r="K15" t="s">
        <v>184</v>
      </c>
      <c r="L15" t="s">
        <v>185</v>
      </c>
      <c r="M15" t="s">
        <v>186</v>
      </c>
      <c r="N15" t="s">
        <v>187</v>
      </c>
    </row>
    <row r="16" spans="1:14">
      <c r="A16">
        <v>15</v>
      </c>
      <c r="B16" s="23" t="s">
        <v>7</v>
      </c>
      <c r="C16" t="s">
        <v>188</v>
      </c>
      <c r="D16" t="s">
        <v>189</v>
      </c>
      <c r="E16" t="s">
        <v>190</v>
      </c>
      <c r="F16" t="s">
        <v>191</v>
      </c>
      <c r="G16" t="s">
        <v>192</v>
      </c>
      <c r="H16" t="s">
        <v>193</v>
      </c>
      <c r="I16" t="s">
        <v>194</v>
      </c>
      <c r="J16" t="s">
        <v>195</v>
      </c>
      <c r="K16" t="s">
        <v>196</v>
      </c>
      <c r="L16" t="s">
        <v>197</v>
      </c>
      <c r="M16" t="s">
        <v>198</v>
      </c>
      <c r="N16" t="s">
        <v>199</v>
      </c>
    </row>
    <row r="17" spans="1:14">
      <c r="A17">
        <v>16</v>
      </c>
      <c r="B17" s="23" t="s">
        <v>7</v>
      </c>
      <c r="C17" t="s">
        <v>200</v>
      </c>
      <c r="D17" t="s">
        <v>201</v>
      </c>
      <c r="E17" t="s">
        <v>296</v>
      </c>
      <c r="F17" t="s">
        <v>297</v>
      </c>
      <c r="G17" t="s">
        <v>298</v>
      </c>
      <c r="H17" t="s">
        <v>299</v>
      </c>
      <c r="I17" t="s">
        <v>300</v>
      </c>
      <c r="J17" t="s">
        <v>301</v>
      </c>
      <c r="K17" t="s">
        <v>302</v>
      </c>
      <c r="L17" t="s">
        <v>303</v>
      </c>
      <c r="M17" t="s">
        <v>304</v>
      </c>
      <c r="N17" t="s">
        <v>305</v>
      </c>
    </row>
    <row r="18" spans="1:14">
      <c r="A18">
        <v>17</v>
      </c>
      <c r="B18" s="23" t="s">
        <v>7</v>
      </c>
      <c r="C18" t="s">
        <v>212</v>
      </c>
      <c r="D18" t="s">
        <v>213</v>
      </c>
      <c r="E18" t="s">
        <v>306</v>
      </c>
      <c r="F18" t="s">
        <v>307</v>
      </c>
      <c r="G18" t="s">
        <v>308</v>
      </c>
      <c r="H18" t="s">
        <v>309</v>
      </c>
      <c r="I18" t="s">
        <v>310</v>
      </c>
      <c r="J18" t="s">
        <v>311</v>
      </c>
      <c r="K18" t="s">
        <v>312</v>
      </c>
      <c r="L18" t="s">
        <v>313</v>
      </c>
      <c r="M18" t="s">
        <v>314</v>
      </c>
      <c r="N18" t="s">
        <v>315</v>
      </c>
    </row>
    <row r="19" spans="1:14">
      <c r="A19">
        <v>18</v>
      </c>
      <c r="B19" s="23" t="s">
        <v>7</v>
      </c>
      <c r="C19" t="s">
        <v>224</v>
      </c>
      <c r="D19" t="s">
        <v>225</v>
      </c>
      <c r="E19" t="s">
        <v>316</v>
      </c>
      <c r="F19" t="s">
        <v>317</v>
      </c>
      <c r="G19" t="s">
        <v>318</v>
      </c>
      <c r="H19" t="s">
        <v>319</v>
      </c>
      <c r="I19" t="s">
        <v>320</v>
      </c>
      <c r="J19" t="s">
        <v>321</v>
      </c>
      <c r="K19" t="s">
        <v>322</v>
      </c>
      <c r="L19" t="s">
        <v>323</v>
      </c>
      <c r="M19" t="s">
        <v>324</v>
      </c>
      <c r="N19" t="s">
        <v>325</v>
      </c>
    </row>
    <row r="20" spans="1:14">
      <c r="A20">
        <v>19</v>
      </c>
      <c r="B20" s="23" t="s">
        <v>7</v>
      </c>
      <c r="C20" t="s">
        <v>236</v>
      </c>
      <c r="D20" t="s">
        <v>237</v>
      </c>
      <c r="E20" t="s">
        <v>326</v>
      </c>
      <c r="F20" t="s">
        <v>327</v>
      </c>
      <c r="G20" t="s">
        <v>328</v>
      </c>
      <c r="H20" t="s">
        <v>329</v>
      </c>
      <c r="I20" t="s">
        <v>330</v>
      </c>
      <c r="J20" t="s">
        <v>331</v>
      </c>
      <c r="K20" t="s">
        <v>332</v>
      </c>
      <c r="L20" t="s">
        <v>333</v>
      </c>
      <c r="M20" t="s">
        <v>334</v>
      </c>
      <c r="N20" t="s">
        <v>335</v>
      </c>
    </row>
    <row r="21" spans="1:14">
      <c r="A21">
        <v>20</v>
      </c>
      <c r="B21" s="23" t="s">
        <v>7</v>
      </c>
      <c r="C21" t="s">
        <v>248</v>
      </c>
      <c r="D21" t="s">
        <v>249</v>
      </c>
      <c r="E21" t="s">
        <v>336</v>
      </c>
      <c r="F21" t="s">
        <v>337</v>
      </c>
      <c r="G21" t="s">
        <v>338</v>
      </c>
      <c r="H21" t="s">
        <v>339</v>
      </c>
      <c r="I21" t="s">
        <v>340</v>
      </c>
      <c r="J21" t="s">
        <v>341</v>
      </c>
      <c r="K21" t="s">
        <v>342</v>
      </c>
      <c r="L21" t="s">
        <v>343</v>
      </c>
      <c r="M21" t="s">
        <v>344</v>
      </c>
      <c r="N21" t="s">
        <v>345</v>
      </c>
    </row>
    <row r="22" spans="1:14">
      <c r="A22">
        <v>21</v>
      </c>
      <c r="B22" s="23" t="s">
        <v>7</v>
      </c>
      <c r="C22" t="s">
        <v>260</v>
      </c>
      <c r="D22" t="s">
        <v>261</v>
      </c>
      <c r="E22" t="s">
        <v>346</v>
      </c>
      <c r="F22" t="s">
        <v>347</v>
      </c>
      <c r="G22" t="s">
        <v>348</v>
      </c>
      <c r="H22" t="s">
        <v>349</v>
      </c>
      <c r="I22" t="s">
        <v>350</v>
      </c>
      <c r="J22" t="s">
        <v>351</v>
      </c>
      <c r="K22" t="s">
        <v>352</v>
      </c>
      <c r="L22" t="s">
        <v>353</v>
      </c>
      <c r="M22" t="s">
        <v>354</v>
      </c>
      <c r="N22" t="s">
        <v>355</v>
      </c>
    </row>
    <row r="23" spans="1:14">
      <c r="A23">
        <v>22</v>
      </c>
      <c r="B23" s="23" t="s">
        <v>7</v>
      </c>
      <c r="C23" t="s">
        <v>272</v>
      </c>
      <c r="D23" t="s">
        <v>273</v>
      </c>
      <c r="E23" t="s">
        <v>356</v>
      </c>
      <c r="F23" t="s">
        <v>357</v>
      </c>
      <c r="G23" t="s">
        <v>358</v>
      </c>
      <c r="H23" t="s">
        <v>359</v>
      </c>
      <c r="I23" t="s">
        <v>360</v>
      </c>
      <c r="J23" t="s">
        <v>361</v>
      </c>
      <c r="K23" t="s">
        <v>362</v>
      </c>
      <c r="L23" t="s">
        <v>363</v>
      </c>
      <c r="M23" t="s">
        <v>364</v>
      </c>
      <c r="N23" t="s">
        <v>365</v>
      </c>
    </row>
    <row r="24" spans="1:14">
      <c r="A24">
        <v>23</v>
      </c>
      <c r="B24" s="23" t="s">
        <v>7</v>
      </c>
      <c r="C24" t="s">
        <v>284</v>
      </c>
      <c r="D24" t="s">
        <v>285</v>
      </c>
      <c r="E24" t="s">
        <v>366</v>
      </c>
      <c r="F24" t="s">
        <v>367</v>
      </c>
      <c r="G24" t="s">
        <v>368</v>
      </c>
      <c r="H24" t="s">
        <v>369</v>
      </c>
      <c r="I24" t="s">
        <v>370</v>
      </c>
      <c r="J24" t="s">
        <v>371</v>
      </c>
      <c r="K24" t="s">
        <v>372</v>
      </c>
      <c r="L24" t="s">
        <v>373</v>
      </c>
      <c r="M24" t="s">
        <v>374</v>
      </c>
      <c r="N24" t="s">
        <v>375</v>
      </c>
    </row>
    <row r="25" spans="1:14">
      <c r="A25">
        <v>24</v>
      </c>
      <c r="B25" t="s">
        <v>8</v>
      </c>
      <c r="C25" t="s">
        <v>164</v>
      </c>
      <c r="D25" t="s">
        <v>165</v>
      </c>
      <c r="E25" t="s">
        <v>166</v>
      </c>
      <c r="F25" t="s">
        <v>167</v>
      </c>
      <c r="G25" t="s">
        <v>168</v>
      </c>
      <c r="H25" t="s">
        <v>169</v>
      </c>
      <c r="I25" t="s">
        <v>170</v>
      </c>
      <c r="J25" t="s">
        <v>171</v>
      </c>
      <c r="K25" t="s">
        <v>172</v>
      </c>
      <c r="L25" t="s">
        <v>173</v>
      </c>
      <c r="M25" t="s">
        <v>174</v>
      </c>
      <c r="N25" t="s">
        <v>175</v>
      </c>
    </row>
    <row r="26" spans="1:14">
      <c r="A26">
        <v>25</v>
      </c>
      <c r="B26" t="s">
        <v>8</v>
      </c>
      <c r="C26" t="s">
        <v>176</v>
      </c>
      <c r="D26" t="s">
        <v>177</v>
      </c>
      <c r="E26" t="s">
        <v>178</v>
      </c>
      <c r="F26" t="s">
        <v>179</v>
      </c>
      <c r="G26" t="s">
        <v>180</v>
      </c>
      <c r="H26" t="s">
        <v>181</v>
      </c>
      <c r="I26" t="s">
        <v>182</v>
      </c>
      <c r="J26" t="s">
        <v>183</v>
      </c>
      <c r="K26" t="s">
        <v>184</v>
      </c>
      <c r="L26" t="s">
        <v>185</v>
      </c>
      <c r="M26" t="s">
        <v>186</v>
      </c>
      <c r="N26" t="s">
        <v>187</v>
      </c>
    </row>
    <row r="27" spans="1:14">
      <c r="A27">
        <v>26</v>
      </c>
      <c r="B27" s="23" t="s">
        <v>8</v>
      </c>
      <c r="C27" t="s">
        <v>188</v>
      </c>
      <c r="D27" t="s">
        <v>189</v>
      </c>
      <c r="E27" t="s">
        <v>190</v>
      </c>
      <c r="F27" t="s">
        <v>191</v>
      </c>
      <c r="G27" t="s">
        <v>192</v>
      </c>
      <c r="H27" t="s">
        <v>193</v>
      </c>
      <c r="I27" t="s">
        <v>194</v>
      </c>
      <c r="J27" t="s">
        <v>195</v>
      </c>
      <c r="K27" t="s">
        <v>196</v>
      </c>
      <c r="L27" t="s">
        <v>197</v>
      </c>
      <c r="M27" t="s">
        <v>198</v>
      </c>
      <c r="N27" t="s">
        <v>199</v>
      </c>
    </row>
    <row r="28" spans="1:14">
      <c r="A28">
        <v>27</v>
      </c>
      <c r="B28" s="23" t="s">
        <v>8</v>
      </c>
      <c r="C28" t="s">
        <v>200</v>
      </c>
      <c r="D28" t="s">
        <v>201</v>
      </c>
      <c r="E28" t="s">
        <v>376</v>
      </c>
      <c r="F28" t="s">
        <v>377</v>
      </c>
      <c r="G28" t="s">
        <v>378</v>
      </c>
      <c r="H28" t="s">
        <v>379</v>
      </c>
      <c r="I28" t="s">
        <v>380</v>
      </c>
      <c r="J28" t="s">
        <v>381</v>
      </c>
      <c r="K28" t="s">
        <v>382</v>
      </c>
      <c r="L28" t="s">
        <v>383</v>
      </c>
      <c r="M28" t="s">
        <v>384</v>
      </c>
      <c r="N28" t="s">
        <v>385</v>
      </c>
    </row>
    <row r="29" spans="1:14">
      <c r="A29">
        <v>28</v>
      </c>
      <c r="B29" s="23" t="s">
        <v>8</v>
      </c>
      <c r="C29" t="s">
        <v>212</v>
      </c>
      <c r="D29" t="s">
        <v>213</v>
      </c>
      <c r="E29" t="s">
        <v>386</v>
      </c>
      <c r="F29" t="s">
        <v>387</v>
      </c>
      <c r="G29" t="s">
        <v>388</v>
      </c>
      <c r="H29" t="s">
        <v>389</v>
      </c>
      <c r="I29" t="s">
        <v>390</v>
      </c>
      <c r="J29" t="s">
        <v>391</v>
      </c>
      <c r="K29" t="s">
        <v>392</v>
      </c>
      <c r="L29" t="s">
        <v>393</v>
      </c>
      <c r="M29" t="s">
        <v>394</v>
      </c>
      <c r="N29" t="s">
        <v>395</v>
      </c>
    </row>
    <row r="30" spans="1:14">
      <c r="A30">
        <v>29</v>
      </c>
      <c r="B30" s="23" t="s">
        <v>8</v>
      </c>
      <c r="C30" t="s">
        <v>224</v>
      </c>
      <c r="D30" t="s">
        <v>225</v>
      </c>
      <c r="E30" t="s">
        <v>396</v>
      </c>
      <c r="F30" t="s">
        <v>397</v>
      </c>
      <c r="G30" t="s">
        <v>398</v>
      </c>
      <c r="H30" t="s">
        <v>399</v>
      </c>
      <c r="I30" t="s">
        <v>400</v>
      </c>
      <c r="J30" t="s">
        <v>401</v>
      </c>
      <c r="K30" t="s">
        <v>402</v>
      </c>
      <c r="L30" t="s">
        <v>403</v>
      </c>
      <c r="M30" t="s">
        <v>404</v>
      </c>
      <c r="N30" t="s">
        <v>405</v>
      </c>
    </row>
    <row r="31" spans="1:14">
      <c r="A31">
        <v>30</v>
      </c>
      <c r="B31" s="23" t="s">
        <v>8</v>
      </c>
      <c r="C31" t="s">
        <v>236</v>
      </c>
      <c r="D31" t="s">
        <v>237</v>
      </c>
      <c r="E31" t="s">
        <v>406</v>
      </c>
      <c r="F31" t="s">
        <v>407</v>
      </c>
      <c r="G31" t="s">
        <v>408</v>
      </c>
      <c r="H31" t="s">
        <v>409</v>
      </c>
      <c r="I31" t="s">
        <v>410</v>
      </c>
      <c r="J31" t="s">
        <v>411</v>
      </c>
      <c r="K31" t="s">
        <v>412</v>
      </c>
      <c r="L31" t="s">
        <v>413</v>
      </c>
      <c r="M31" t="s">
        <v>414</v>
      </c>
      <c r="N31" t="s">
        <v>415</v>
      </c>
    </row>
    <row r="32" spans="1:14">
      <c r="A32">
        <v>31</v>
      </c>
      <c r="B32" s="23" t="s">
        <v>8</v>
      </c>
      <c r="C32" t="s">
        <v>248</v>
      </c>
      <c r="D32" t="s">
        <v>249</v>
      </c>
      <c r="E32" t="s">
        <v>416</v>
      </c>
      <c r="F32" t="s">
        <v>417</v>
      </c>
      <c r="G32" t="s">
        <v>418</v>
      </c>
      <c r="H32" t="s">
        <v>419</v>
      </c>
      <c r="I32" t="s">
        <v>420</v>
      </c>
      <c r="J32" t="s">
        <v>421</v>
      </c>
      <c r="K32" t="s">
        <v>422</v>
      </c>
      <c r="L32" t="s">
        <v>423</v>
      </c>
      <c r="M32" t="s">
        <v>424</v>
      </c>
      <c r="N32" t="s">
        <v>425</v>
      </c>
    </row>
    <row r="33" spans="1:14">
      <c r="A33">
        <v>32</v>
      </c>
      <c r="B33" s="23" t="s">
        <v>8</v>
      </c>
      <c r="C33" t="s">
        <v>260</v>
      </c>
      <c r="D33" t="s">
        <v>261</v>
      </c>
      <c r="E33" t="s">
        <v>426</v>
      </c>
      <c r="F33" t="s">
        <v>427</v>
      </c>
      <c r="G33" t="s">
        <v>428</v>
      </c>
      <c r="H33" t="s">
        <v>429</v>
      </c>
      <c r="I33" t="s">
        <v>430</v>
      </c>
      <c r="J33" t="s">
        <v>431</v>
      </c>
      <c r="K33" t="s">
        <v>432</v>
      </c>
      <c r="L33" t="s">
        <v>433</v>
      </c>
      <c r="M33" t="s">
        <v>434</v>
      </c>
      <c r="N33" t="s">
        <v>435</v>
      </c>
    </row>
    <row r="34" spans="1:14">
      <c r="A34">
        <v>33</v>
      </c>
      <c r="B34" s="23" t="s">
        <v>8</v>
      </c>
      <c r="C34" t="s">
        <v>272</v>
      </c>
      <c r="D34" t="s">
        <v>273</v>
      </c>
      <c r="E34" t="s">
        <v>436</v>
      </c>
      <c r="F34" t="s">
        <v>437</v>
      </c>
      <c r="G34" t="s">
        <v>438</v>
      </c>
      <c r="H34" t="s">
        <v>439</v>
      </c>
      <c r="I34" t="s">
        <v>440</v>
      </c>
      <c r="J34" t="s">
        <v>441</v>
      </c>
      <c r="K34" t="s">
        <v>442</v>
      </c>
      <c r="L34" t="s">
        <v>443</v>
      </c>
      <c r="M34" t="s">
        <v>444</v>
      </c>
      <c r="N34" t="s">
        <v>445</v>
      </c>
    </row>
    <row r="35" spans="1:14">
      <c r="A35">
        <v>34</v>
      </c>
      <c r="B35" s="23" t="s">
        <v>8</v>
      </c>
      <c r="C35" t="s">
        <v>284</v>
      </c>
      <c r="D35" t="s">
        <v>285</v>
      </c>
      <c r="E35" t="s">
        <v>446</v>
      </c>
      <c r="F35" t="s">
        <v>447</v>
      </c>
      <c r="G35" t="s">
        <v>448</v>
      </c>
      <c r="H35" t="s">
        <v>449</v>
      </c>
      <c r="I35" t="s">
        <v>450</v>
      </c>
      <c r="J35" t="s">
        <v>451</v>
      </c>
      <c r="K35" t="s">
        <v>452</v>
      </c>
      <c r="L35" t="s">
        <v>453</v>
      </c>
      <c r="M35" t="s">
        <v>454</v>
      </c>
      <c r="N35" t="s">
        <v>455</v>
      </c>
    </row>
    <row r="36" spans="1:14">
      <c r="A36">
        <v>35</v>
      </c>
      <c r="B36" s="23" t="s">
        <v>9</v>
      </c>
      <c r="C36" t="s">
        <v>164</v>
      </c>
      <c r="D36" t="s">
        <v>165</v>
      </c>
      <c r="E36" t="s">
        <v>166</v>
      </c>
      <c r="F36" t="s">
        <v>167</v>
      </c>
      <c r="G36" t="s">
        <v>168</v>
      </c>
      <c r="H36" t="s">
        <v>169</v>
      </c>
      <c r="I36" t="s">
        <v>170</v>
      </c>
      <c r="J36" t="s">
        <v>171</v>
      </c>
      <c r="K36" t="s">
        <v>172</v>
      </c>
      <c r="L36" t="s">
        <v>173</v>
      </c>
      <c r="M36" t="s">
        <v>174</v>
      </c>
      <c r="N36" t="s">
        <v>175</v>
      </c>
    </row>
    <row r="37" spans="1:14">
      <c r="A37">
        <v>36</v>
      </c>
      <c r="B37" s="23" t="s">
        <v>9</v>
      </c>
      <c r="C37" t="s">
        <v>176</v>
      </c>
      <c r="D37" t="s">
        <v>177</v>
      </c>
      <c r="E37" t="s">
        <v>178</v>
      </c>
      <c r="F37" t="s">
        <v>179</v>
      </c>
      <c r="G37" t="s">
        <v>180</v>
      </c>
      <c r="H37" t="s">
        <v>181</v>
      </c>
      <c r="I37" t="s">
        <v>182</v>
      </c>
      <c r="J37" t="s">
        <v>183</v>
      </c>
      <c r="K37" t="s">
        <v>184</v>
      </c>
      <c r="L37" t="s">
        <v>185</v>
      </c>
      <c r="M37" t="s">
        <v>186</v>
      </c>
      <c r="N37" t="s">
        <v>187</v>
      </c>
    </row>
    <row r="38" spans="1:14">
      <c r="A38">
        <v>37</v>
      </c>
      <c r="B38" s="23" t="s">
        <v>9</v>
      </c>
      <c r="C38" t="s">
        <v>188</v>
      </c>
      <c r="D38" t="s">
        <v>189</v>
      </c>
      <c r="E38" t="s">
        <v>190</v>
      </c>
      <c r="F38" t="s">
        <v>191</v>
      </c>
      <c r="G38" t="s">
        <v>192</v>
      </c>
      <c r="H38" t="s">
        <v>193</v>
      </c>
      <c r="I38" t="s">
        <v>194</v>
      </c>
      <c r="J38" t="s">
        <v>195</v>
      </c>
      <c r="K38" t="s">
        <v>196</v>
      </c>
      <c r="L38" t="s">
        <v>197</v>
      </c>
      <c r="M38" t="s">
        <v>198</v>
      </c>
      <c r="N38" t="s">
        <v>199</v>
      </c>
    </row>
    <row r="39" spans="1:14">
      <c r="A39">
        <v>38</v>
      </c>
      <c r="B39" s="23" t="s">
        <v>9</v>
      </c>
      <c r="C39" t="s">
        <v>200</v>
      </c>
      <c r="D39" t="s">
        <v>201</v>
      </c>
      <c r="E39" t="s">
        <v>456</v>
      </c>
      <c r="F39" t="s">
        <v>457</v>
      </c>
      <c r="G39" t="s">
        <v>458</v>
      </c>
      <c r="H39" t="s">
        <v>459</v>
      </c>
      <c r="I39" t="s">
        <v>460</v>
      </c>
      <c r="J39" t="s">
        <v>461</v>
      </c>
      <c r="K39" t="s">
        <v>462</v>
      </c>
      <c r="L39" t="s">
        <v>463</v>
      </c>
      <c r="M39" t="s">
        <v>464</v>
      </c>
      <c r="N39" t="s">
        <v>465</v>
      </c>
    </row>
    <row r="40" spans="1:14">
      <c r="A40">
        <v>39</v>
      </c>
      <c r="B40" s="23" t="s">
        <v>9</v>
      </c>
      <c r="C40" t="s">
        <v>212</v>
      </c>
      <c r="D40" t="s">
        <v>213</v>
      </c>
      <c r="E40" t="s">
        <v>466</v>
      </c>
      <c r="F40" t="s">
        <v>467</v>
      </c>
      <c r="G40" t="s">
        <v>468</v>
      </c>
      <c r="H40" t="s">
        <v>469</v>
      </c>
      <c r="I40" t="s">
        <v>470</v>
      </c>
      <c r="J40" t="s">
        <v>471</v>
      </c>
      <c r="K40" t="s">
        <v>472</v>
      </c>
      <c r="L40" t="s">
        <v>473</v>
      </c>
      <c r="M40" t="s">
        <v>474</v>
      </c>
      <c r="N40" t="s">
        <v>475</v>
      </c>
    </row>
    <row r="41" spans="1:14">
      <c r="A41">
        <v>40</v>
      </c>
      <c r="B41" s="23" t="s">
        <v>9</v>
      </c>
      <c r="C41" t="s">
        <v>224</v>
      </c>
      <c r="D41" t="s">
        <v>225</v>
      </c>
      <c r="E41" t="s">
        <v>476</v>
      </c>
      <c r="F41" t="s">
        <v>477</v>
      </c>
      <c r="G41" t="s">
        <v>478</v>
      </c>
      <c r="H41" t="s">
        <v>479</v>
      </c>
      <c r="I41" t="s">
        <v>480</v>
      </c>
      <c r="J41" t="s">
        <v>481</v>
      </c>
      <c r="K41" t="s">
        <v>482</v>
      </c>
      <c r="L41" t="s">
        <v>483</v>
      </c>
      <c r="M41" t="s">
        <v>484</v>
      </c>
      <c r="N41" t="s">
        <v>485</v>
      </c>
    </row>
    <row r="42" spans="1:14">
      <c r="A42">
        <v>41</v>
      </c>
      <c r="B42" s="23" t="s">
        <v>9</v>
      </c>
      <c r="C42" t="s">
        <v>236</v>
      </c>
      <c r="D42" t="s">
        <v>237</v>
      </c>
      <c r="E42" t="s">
        <v>486</v>
      </c>
      <c r="F42" t="s">
        <v>487</v>
      </c>
      <c r="G42" t="s">
        <v>488</v>
      </c>
      <c r="H42" t="s">
        <v>489</v>
      </c>
      <c r="I42" t="s">
        <v>490</v>
      </c>
      <c r="J42" t="s">
        <v>491</v>
      </c>
      <c r="K42" t="s">
        <v>492</v>
      </c>
      <c r="L42" t="s">
        <v>493</v>
      </c>
      <c r="M42" t="s">
        <v>494</v>
      </c>
      <c r="N42" t="s">
        <v>495</v>
      </c>
    </row>
    <row r="43" spans="1:14">
      <c r="A43">
        <v>42</v>
      </c>
      <c r="B43" s="23" t="s">
        <v>9</v>
      </c>
      <c r="C43" t="s">
        <v>248</v>
      </c>
      <c r="D43" t="s">
        <v>249</v>
      </c>
      <c r="E43" t="s">
        <v>496</v>
      </c>
      <c r="F43" t="s">
        <v>497</v>
      </c>
      <c r="G43" t="s">
        <v>498</v>
      </c>
      <c r="H43" t="s">
        <v>499</v>
      </c>
      <c r="I43" t="s">
        <v>500</v>
      </c>
      <c r="J43" t="s">
        <v>501</v>
      </c>
      <c r="K43" t="s">
        <v>502</v>
      </c>
      <c r="L43" t="s">
        <v>503</v>
      </c>
      <c r="M43" t="s">
        <v>504</v>
      </c>
      <c r="N43" t="s">
        <v>505</v>
      </c>
    </row>
    <row r="44" spans="1:14">
      <c r="A44">
        <v>43</v>
      </c>
      <c r="B44" s="23" t="s">
        <v>9</v>
      </c>
      <c r="C44" t="s">
        <v>260</v>
      </c>
      <c r="D44" t="s">
        <v>261</v>
      </c>
      <c r="E44" t="s">
        <v>506</v>
      </c>
      <c r="F44" t="s">
        <v>507</v>
      </c>
      <c r="G44" t="s">
        <v>508</v>
      </c>
      <c r="H44" t="s">
        <v>509</v>
      </c>
      <c r="I44" t="s">
        <v>510</v>
      </c>
      <c r="J44" t="s">
        <v>511</v>
      </c>
      <c r="K44" t="s">
        <v>512</v>
      </c>
      <c r="L44" t="s">
        <v>513</v>
      </c>
      <c r="M44" t="s">
        <v>514</v>
      </c>
      <c r="N44" t="s">
        <v>515</v>
      </c>
    </row>
    <row r="45" spans="1:14">
      <c r="A45">
        <v>44</v>
      </c>
      <c r="B45" s="23" t="s">
        <v>9</v>
      </c>
      <c r="C45" t="s">
        <v>272</v>
      </c>
      <c r="D45" t="s">
        <v>273</v>
      </c>
      <c r="E45" t="s">
        <v>516</v>
      </c>
      <c r="F45" t="s">
        <v>517</v>
      </c>
      <c r="G45" t="s">
        <v>518</v>
      </c>
      <c r="H45" t="s">
        <v>519</v>
      </c>
      <c r="I45" t="s">
        <v>520</v>
      </c>
      <c r="J45" t="s">
        <v>521</v>
      </c>
      <c r="K45" t="s">
        <v>522</v>
      </c>
      <c r="L45" t="s">
        <v>523</v>
      </c>
      <c r="M45" t="s">
        <v>524</v>
      </c>
      <c r="N45" t="s">
        <v>525</v>
      </c>
    </row>
    <row r="46" spans="1:14">
      <c r="A46">
        <v>45</v>
      </c>
      <c r="B46" s="23" t="s">
        <v>9</v>
      </c>
      <c r="C46" t="s">
        <v>284</v>
      </c>
      <c r="D46" t="s">
        <v>285</v>
      </c>
      <c r="E46" t="s">
        <v>526</v>
      </c>
      <c r="F46" t="s">
        <v>527</v>
      </c>
      <c r="G46" t="s">
        <v>528</v>
      </c>
      <c r="H46" t="s">
        <v>529</v>
      </c>
      <c r="I46" t="s">
        <v>530</v>
      </c>
      <c r="J46" t="s">
        <v>531</v>
      </c>
      <c r="K46" t="s">
        <v>532</v>
      </c>
      <c r="L46" t="s">
        <v>533</v>
      </c>
      <c r="M46" t="s">
        <v>534</v>
      </c>
      <c r="N46" t="s">
        <v>535</v>
      </c>
    </row>
  </sheetData>
  <phoneticPr fontId="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O12"/>
  <sheetViews>
    <sheetView workbookViewId="0">
      <selection activeCell="D2" sqref="D2:E12"/>
    </sheetView>
  </sheetViews>
  <sheetFormatPr defaultRowHeight="13.5"/>
  <cols>
    <col min="1" max="1" width="3" bestFit="1" customWidth="1"/>
    <col min="2" max="2" width="19.125" bestFit="1" customWidth="1"/>
    <col min="3" max="3" width="10.375" bestFit="1" customWidth="1"/>
    <col min="4" max="4" width="16" bestFit="1" customWidth="1"/>
    <col min="5" max="5" width="19.125" bestFit="1" customWidth="1"/>
    <col min="6" max="6" width="18.375" bestFit="1" customWidth="1"/>
    <col min="7" max="7" width="50.875" bestFit="1" customWidth="1"/>
    <col min="8" max="8" width="8" bestFit="1" customWidth="1"/>
    <col min="9" max="9" width="27.375" bestFit="1" customWidth="1"/>
    <col min="10" max="10" width="6.375" bestFit="1" customWidth="1"/>
    <col min="11" max="11" width="5.625" bestFit="1" customWidth="1"/>
    <col min="12" max="12" width="6.625" bestFit="1" customWidth="1"/>
    <col min="13" max="13" width="5.875" bestFit="1" customWidth="1"/>
    <col min="14" max="14" width="29.75" bestFit="1" customWidth="1"/>
    <col min="15" max="15" width="28.375" bestFit="1" customWidth="1"/>
    <col min="16" max="17" width="20.625" bestFit="1" customWidth="1"/>
    <col min="18" max="18" width="40.25" bestFit="1" customWidth="1"/>
    <col min="19" max="19" width="21.125" bestFit="1" customWidth="1"/>
    <col min="20" max="20" width="41.375" bestFit="1" customWidth="1"/>
    <col min="21" max="21" width="21.125" bestFit="1" customWidth="1"/>
    <col min="22" max="22" width="41.375" bestFit="1" customWidth="1"/>
    <col min="23" max="24" width="19.625" bestFit="1" customWidth="1"/>
    <col min="25" max="25" width="37.25" bestFit="1" customWidth="1"/>
    <col min="26" max="26" width="21.875" bestFit="1" customWidth="1"/>
    <col min="27" max="27" width="22.25" bestFit="1" customWidth="1"/>
    <col min="28" max="28" width="40.25" bestFit="1" customWidth="1"/>
    <col min="29" max="29" width="39.125" bestFit="1" customWidth="1"/>
    <col min="30" max="32" width="17" bestFit="1" customWidth="1"/>
    <col min="33" max="41" width="4.875" bestFit="1" customWidth="1"/>
  </cols>
  <sheetData>
    <row r="1" spans="1:41">
      <c r="A1" t="s">
        <v>141</v>
      </c>
      <c r="B1" t="s">
        <v>140</v>
      </c>
      <c r="C1" t="s">
        <v>139</v>
      </c>
      <c r="D1" t="s">
        <v>138</v>
      </c>
      <c r="E1" t="s">
        <v>137</v>
      </c>
      <c r="F1" t="s">
        <v>142</v>
      </c>
      <c r="G1" t="s">
        <v>143</v>
      </c>
      <c r="H1" t="s">
        <v>144</v>
      </c>
      <c r="I1" t="s">
        <v>145</v>
      </c>
      <c r="J1" t="s">
        <v>146</v>
      </c>
      <c r="K1" t="s">
        <v>147</v>
      </c>
      <c r="L1" t="s">
        <v>148</v>
      </c>
      <c r="M1" t="s">
        <v>149</v>
      </c>
      <c r="N1" t="s">
        <v>150</v>
      </c>
      <c r="O1" t="s">
        <v>151</v>
      </c>
      <c r="P1" t="s">
        <v>544</v>
      </c>
      <c r="Q1" t="s">
        <v>545</v>
      </c>
      <c r="R1" t="s">
        <v>546</v>
      </c>
      <c r="S1" t="s">
        <v>547</v>
      </c>
      <c r="T1" t="s">
        <v>548</v>
      </c>
      <c r="U1" t="s">
        <v>549</v>
      </c>
      <c r="V1" t="s">
        <v>550</v>
      </c>
      <c r="W1" t="s">
        <v>551</v>
      </c>
      <c r="X1" t="s">
        <v>552</v>
      </c>
      <c r="Y1" t="s">
        <v>553</v>
      </c>
      <c r="Z1" t="s">
        <v>554</v>
      </c>
      <c r="AA1" t="s">
        <v>555</v>
      </c>
      <c r="AB1" t="s">
        <v>556</v>
      </c>
      <c r="AC1" t="s">
        <v>557</v>
      </c>
      <c r="AD1" t="s">
        <v>558</v>
      </c>
      <c r="AE1" t="s">
        <v>559</v>
      </c>
      <c r="AF1" t="s">
        <v>560</v>
      </c>
      <c r="AG1" t="s">
        <v>561</v>
      </c>
      <c r="AH1" t="s">
        <v>562</v>
      </c>
      <c r="AI1" t="s">
        <v>563</v>
      </c>
      <c r="AJ1" t="s">
        <v>564</v>
      </c>
      <c r="AK1" t="s">
        <v>565</v>
      </c>
      <c r="AL1" t="s">
        <v>566</v>
      </c>
      <c r="AM1" t="s">
        <v>567</v>
      </c>
      <c r="AN1" t="s">
        <v>568</v>
      </c>
      <c r="AO1" t="s">
        <v>569</v>
      </c>
    </row>
    <row r="2" spans="1:41">
      <c r="A2">
        <v>1</v>
      </c>
      <c r="B2" t="s">
        <v>570</v>
      </c>
      <c r="C2" t="s">
        <v>49</v>
      </c>
      <c r="D2" t="s">
        <v>571</v>
      </c>
      <c r="E2" t="s">
        <v>572</v>
      </c>
      <c r="F2" t="s">
        <v>573</v>
      </c>
      <c r="G2" t="s">
        <v>574</v>
      </c>
      <c r="H2" t="s">
        <v>575</v>
      </c>
      <c r="I2" t="s">
        <v>576</v>
      </c>
      <c r="J2" t="s">
        <v>12</v>
      </c>
      <c r="K2" t="s">
        <v>13</v>
      </c>
      <c r="L2" t="s">
        <v>14</v>
      </c>
      <c r="M2" t="s">
        <v>15</v>
      </c>
      <c r="N2" t="s">
        <v>577</v>
      </c>
      <c r="O2" t="s">
        <v>160</v>
      </c>
      <c r="P2" t="s">
        <v>578</v>
      </c>
      <c r="Q2" t="s">
        <v>579</v>
      </c>
      <c r="R2" t="s">
        <v>157</v>
      </c>
      <c r="S2" t="s">
        <v>580</v>
      </c>
      <c r="T2" t="s">
        <v>581</v>
      </c>
      <c r="U2" t="s">
        <v>582</v>
      </c>
      <c r="V2" t="s">
        <v>158</v>
      </c>
      <c r="W2" t="s">
        <v>583</v>
      </c>
      <c r="X2" t="s">
        <v>584</v>
      </c>
      <c r="Y2" t="s">
        <v>159</v>
      </c>
      <c r="Z2" t="s">
        <v>585</v>
      </c>
      <c r="AA2" t="s">
        <v>586</v>
      </c>
      <c r="AB2" t="s">
        <v>587</v>
      </c>
      <c r="AC2" t="s">
        <v>588</v>
      </c>
      <c r="AD2" t="s">
        <v>589</v>
      </c>
      <c r="AE2" t="s">
        <v>590</v>
      </c>
      <c r="AF2" t="s">
        <v>591</v>
      </c>
      <c r="AG2" t="s">
        <v>592</v>
      </c>
      <c r="AH2" t="s">
        <v>593</v>
      </c>
      <c r="AI2" t="s">
        <v>594</v>
      </c>
      <c r="AJ2" t="s">
        <v>595</v>
      </c>
      <c r="AK2" t="s">
        <v>596</v>
      </c>
      <c r="AL2" t="s">
        <v>597</v>
      </c>
      <c r="AM2" t="s">
        <v>598</v>
      </c>
      <c r="AN2" t="s">
        <v>599</v>
      </c>
      <c r="AO2" t="s">
        <v>600</v>
      </c>
    </row>
    <row r="3" spans="1:41">
      <c r="A3">
        <v>2</v>
      </c>
      <c r="B3" t="s">
        <v>601</v>
      </c>
      <c r="C3" t="s">
        <v>602</v>
      </c>
      <c r="D3" t="s">
        <v>603</v>
      </c>
      <c r="E3" t="s">
        <v>603</v>
      </c>
      <c r="F3" t="s">
        <v>603</v>
      </c>
      <c r="G3" t="s">
        <v>604</v>
      </c>
      <c r="H3" t="s">
        <v>605</v>
      </c>
      <c r="I3" t="s">
        <v>606</v>
      </c>
      <c r="J3" t="s">
        <v>607</v>
      </c>
      <c r="K3" t="s">
        <v>608</v>
      </c>
      <c r="L3" t="s">
        <v>609</v>
      </c>
      <c r="M3" t="s">
        <v>610</v>
      </c>
      <c r="N3" t="s">
        <v>611</v>
      </c>
      <c r="O3" t="s">
        <v>612</v>
      </c>
      <c r="P3" t="s">
        <v>613</v>
      </c>
      <c r="Q3" t="s">
        <v>614</v>
      </c>
      <c r="R3" t="s">
        <v>615</v>
      </c>
      <c r="S3" t="s">
        <v>616</v>
      </c>
      <c r="T3" t="s">
        <v>617</v>
      </c>
      <c r="U3" t="s">
        <v>618</v>
      </c>
      <c r="V3" t="s">
        <v>619</v>
      </c>
      <c r="W3" t="s">
        <v>620</v>
      </c>
      <c r="X3" t="s">
        <v>621</v>
      </c>
      <c r="Y3" t="s">
        <v>622</v>
      </c>
      <c r="Z3" t="s">
        <v>623</v>
      </c>
      <c r="AA3" t="s">
        <v>624</v>
      </c>
      <c r="AB3" t="s">
        <v>625</v>
      </c>
      <c r="AC3" t="s">
        <v>626</v>
      </c>
      <c r="AD3" t="s">
        <v>627</v>
      </c>
      <c r="AE3" t="s">
        <v>628</v>
      </c>
      <c r="AF3" t="s">
        <v>629</v>
      </c>
      <c r="AG3">
        <v>1</v>
      </c>
      <c r="AH3">
        <v>0</v>
      </c>
      <c r="AI3">
        <v>1</v>
      </c>
      <c r="AJ3">
        <v>1</v>
      </c>
      <c r="AK3">
        <v>0</v>
      </c>
      <c r="AL3">
        <v>1</v>
      </c>
      <c r="AM3">
        <v>1</v>
      </c>
      <c r="AN3">
        <v>1</v>
      </c>
      <c r="AO3">
        <v>0</v>
      </c>
    </row>
    <row r="4" spans="1:41">
      <c r="A4">
        <v>3</v>
      </c>
      <c r="B4" t="s">
        <v>630</v>
      </c>
      <c r="C4" t="s">
        <v>631</v>
      </c>
      <c r="D4" t="s">
        <v>632</v>
      </c>
      <c r="E4" t="s">
        <v>632</v>
      </c>
      <c r="F4" t="s">
        <v>632</v>
      </c>
      <c r="G4" t="s">
        <v>633</v>
      </c>
      <c r="H4" t="s">
        <v>634</v>
      </c>
      <c r="I4" t="s">
        <v>635</v>
      </c>
      <c r="J4" t="s">
        <v>636</v>
      </c>
      <c r="K4" t="s">
        <v>637</v>
      </c>
      <c r="L4" t="s">
        <v>638</v>
      </c>
      <c r="M4" t="s">
        <v>639</v>
      </c>
      <c r="N4" t="s">
        <v>640</v>
      </c>
      <c r="O4" t="s">
        <v>641</v>
      </c>
      <c r="P4" t="s">
        <v>642</v>
      </c>
      <c r="Q4" t="s">
        <v>643</v>
      </c>
      <c r="R4" t="s">
        <v>644</v>
      </c>
      <c r="S4" t="s">
        <v>645</v>
      </c>
      <c r="T4" t="s">
        <v>646</v>
      </c>
      <c r="U4" t="s">
        <v>647</v>
      </c>
      <c r="V4" t="s">
        <v>648</v>
      </c>
      <c r="W4" t="s">
        <v>649</v>
      </c>
      <c r="X4" t="s">
        <v>650</v>
      </c>
      <c r="Y4" t="s">
        <v>651</v>
      </c>
      <c r="Z4" t="s">
        <v>652</v>
      </c>
      <c r="AA4" t="s">
        <v>653</v>
      </c>
      <c r="AB4" t="s">
        <v>654</v>
      </c>
      <c r="AC4" t="s">
        <v>655</v>
      </c>
      <c r="AD4" t="s">
        <v>656</v>
      </c>
      <c r="AE4" t="s">
        <v>657</v>
      </c>
      <c r="AF4" t="s">
        <v>658</v>
      </c>
      <c r="AG4">
        <v>1</v>
      </c>
      <c r="AH4">
        <v>1</v>
      </c>
      <c r="AI4">
        <v>0</v>
      </c>
      <c r="AJ4">
        <v>0</v>
      </c>
      <c r="AK4">
        <v>0</v>
      </c>
      <c r="AL4">
        <v>0</v>
      </c>
      <c r="AM4">
        <v>1</v>
      </c>
      <c r="AN4">
        <v>0</v>
      </c>
      <c r="AO4">
        <v>1</v>
      </c>
    </row>
    <row r="5" spans="1:41">
      <c r="A5">
        <v>4</v>
      </c>
      <c r="B5" t="s">
        <v>659</v>
      </c>
      <c r="C5" t="s">
        <v>660</v>
      </c>
      <c r="D5" t="s">
        <v>661</v>
      </c>
      <c r="E5" t="s">
        <v>661</v>
      </c>
      <c r="F5" t="s">
        <v>661</v>
      </c>
      <c r="G5" t="s">
        <v>662</v>
      </c>
      <c r="H5" t="s">
        <v>663</v>
      </c>
      <c r="I5" t="s">
        <v>664</v>
      </c>
      <c r="J5" t="s">
        <v>665</v>
      </c>
      <c r="K5" t="s">
        <v>666</v>
      </c>
      <c r="L5" t="s">
        <v>667</v>
      </c>
      <c r="M5" t="s">
        <v>668</v>
      </c>
      <c r="N5" t="s">
        <v>669</v>
      </c>
      <c r="O5" t="s">
        <v>670</v>
      </c>
      <c r="P5" t="s">
        <v>671</v>
      </c>
      <c r="Q5" t="s">
        <v>672</v>
      </c>
      <c r="R5" t="s">
        <v>673</v>
      </c>
      <c r="S5" t="s">
        <v>674</v>
      </c>
      <c r="T5" t="s">
        <v>675</v>
      </c>
      <c r="U5" t="s">
        <v>676</v>
      </c>
      <c r="V5" t="s">
        <v>677</v>
      </c>
      <c r="W5" t="s">
        <v>678</v>
      </c>
      <c r="X5" t="s">
        <v>679</v>
      </c>
      <c r="Y5" t="s">
        <v>680</v>
      </c>
      <c r="Z5" t="s">
        <v>681</v>
      </c>
      <c r="AA5" t="s">
        <v>682</v>
      </c>
      <c r="AB5" t="s">
        <v>683</v>
      </c>
      <c r="AC5" t="s">
        <v>684</v>
      </c>
      <c r="AD5" t="s">
        <v>685</v>
      </c>
      <c r="AE5" t="s">
        <v>686</v>
      </c>
      <c r="AF5" t="s">
        <v>687</v>
      </c>
      <c r="AG5">
        <v>1</v>
      </c>
      <c r="AH5">
        <v>0</v>
      </c>
      <c r="AI5">
        <v>0</v>
      </c>
      <c r="AJ5">
        <v>1</v>
      </c>
      <c r="AK5">
        <v>0</v>
      </c>
      <c r="AL5">
        <v>0</v>
      </c>
      <c r="AM5">
        <v>0</v>
      </c>
      <c r="AN5">
        <v>1</v>
      </c>
      <c r="AO5">
        <v>0</v>
      </c>
    </row>
    <row r="6" spans="1:41">
      <c r="A6">
        <v>5</v>
      </c>
      <c r="B6" t="s">
        <v>688</v>
      </c>
      <c r="C6" t="s">
        <v>689</v>
      </c>
      <c r="D6" t="s">
        <v>690</v>
      </c>
      <c r="E6" t="s">
        <v>690</v>
      </c>
      <c r="F6" t="s">
        <v>690</v>
      </c>
      <c r="G6" t="s">
        <v>691</v>
      </c>
      <c r="H6" t="s">
        <v>692</v>
      </c>
      <c r="I6" t="s">
        <v>693</v>
      </c>
      <c r="J6" t="s">
        <v>694</v>
      </c>
      <c r="K6" t="s">
        <v>695</v>
      </c>
      <c r="L6" t="s">
        <v>696</v>
      </c>
      <c r="M6" t="s">
        <v>697</v>
      </c>
      <c r="N6" t="s">
        <v>698</v>
      </c>
      <c r="O6" t="s">
        <v>699</v>
      </c>
      <c r="P6" t="s">
        <v>700</v>
      </c>
      <c r="Q6" t="s">
        <v>701</v>
      </c>
      <c r="R6" t="s">
        <v>702</v>
      </c>
      <c r="S6" t="s">
        <v>703</v>
      </c>
      <c r="T6" t="s">
        <v>704</v>
      </c>
      <c r="U6" t="s">
        <v>705</v>
      </c>
      <c r="V6" t="s">
        <v>706</v>
      </c>
      <c r="W6" t="s">
        <v>707</v>
      </c>
      <c r="X6" t="s">
        <v>708</v>
      </c>
      <c r="Y6" t="s">
        <v>709</v>
      </c>
      <c r="Z6" t="s">
        <v>710</v>
      </c>
      <c r="AA6" t="s">
        <v>711</v>
      </c>
      <c r="AB6" t="s">
        <v>712</v>
      </c>
      <c r="AC6" t="s">
        <v>713</v>
      </c>
      <c r="AD6" t="s">
        <v>714</v>
      </c>
      <c r="AE6" t="s">
        <v>715</v>
      </c>
      <c r="AF6" t="s">
        <v>716</v>
      </c>
      <c r="AG6">
        <v>1</v>
      </c>
      <c r="AH6">
        <v>1</v>
      </c>
      <c r="AI6">
        <v>0</v>
      </c>
      <c r="AJ6">
        <v>0</v>
      </c>
      <c r="AK6">
        <v>1</v>
      </c>
      <c r="AL6">
        <v>0</v>
      </c>
      <c r="AM6">
        <v>0</v>
      </c>
      <c r="AN6">
        <v>0</v>
      </c>
      <c r="AO6">
        <v>1</v>
      </c>
    </row>
    <row r="7" spans="1:41">
      <c r="A7">
        <v>6</v>
      </c>
      <c r="B7" t="s">
        <v>717</v>
      </c>
      <c r="C7" t="s">
        <v>718</v>
      </c>
      <c r="D7" t="s">
        <v>719</v>
      </c>
      <c r="E7" t="s">
        <v>719</v>
      </c>
      <c r="F7" t="s">
        <v>719</v>
      </c>
      <c r="G7" t="s">
        <v>720</v>
      </c>
      <c r="H7" t="s">
        <v>721</v>
      </c>
      <c r="I7" t="s">
        <v>722</v>
      </c>
      <c r="J7" t="s">
        <v>723</v>
      </c>
      <c r="K7" t="s">
        <v>724</v>
      </c>
      <c r="L7" t="s">
        <v>725</v>
      </c>
      <c r="M7" t="s">
        <v>726</v>
      </c>
      <c r="N7" t="s">
        <v>727</v>
      </c>
      <c r="O7" t="s">
        <v>728</v>
      </c>
      <c r="P7" t="s">
        <v>729</v>
      </c>
      <c r="Q7" t="s">
        <v>730</v>
      </c>
      <c r="R7" t="s">
        <v>731</v>
      </c>
      <c r="S7" t="s">
        <v>732</v>
      </c>
      <c r="T7" t="s">
        <v>733</v>
      </c>
      <c r="U7" t="s">
        <v>734</v>
      </c>
      <c r="V7" t="s">
        <v>735</v>
      </c>
      <c r="W7" t="s">
        <v>736</v>
      </c>
      <c r="X7" t="s">
        <v>737</v>
      </c>
      <c r="Y7" t="s">
        <v>738</v>
      </c>
      <c r="Z7" t="s">
        <v>739</v>
      </c>
      <c r="AA7" t="s">
        <v>740</v>
      </c>
      <c r="AB7" t="s">
        <v>741</v>
      </c>
      <c r="AC7" t="s">
        <v>742</v>
      </c>
      <c r="AD7" t="s">
        <v>743</v>
      </c>
      <c r="AE7" t="s">
        <v>744</v>
      </c>
      <c r="AF7" t="s">
        <v>745</v>
      </c>
      <c r="AG7">
        <v>1</v>
      </c>
      <c r="AH7">
        <v>0</v>
      </c>
      <c r="AI7">
        <v>1</v>
      </c>
      <c r="AJ7">
        <v>1</v>
      </c>
      <c r="AK7">
        <v>0</v>
      </c>
      <c r="AL7">
        <v>1</v>
      </c>
      <c r="AM7">
        <v>1</v>
      </c>
      <c r="AN7">
        <v>1</v>
      </c>
      <c r="AO7">
        <v>0</v>
      </c>
    </row>
    <row r="8" spans="1:41">
      <c r="A8">
        <v>7</v>
      </c>
      <c r="B8" t="s">
        <v>746</v>
      </c>
      <c r="C8" t="s">
        <v>747</v>
      </c>
      <c r="D8" t="s">
        <v>748</v>
      </c>
      <c r="E8" t="s">
        <v>748</v>
      </c>
      <c r="F8" t="s">
        <v>748</v>
      </c>
      <c r="G8" t="s">
        <v>749</v>
      </c>
      <c r="H8" t="s">
        <v>750</v>
      </c>
      <c r="I8" t="s">
        <v>751</v>
      </c>
      <c r="J8" t="s">
        <v>752</v>
      </c>
      <c r="K8" t="s">
        <v>753</v>
      </c>
      <c r="L8" t="s">
        <v>754</v>
      </c>
      <c r="M8" t="s">
        <v>755</v>
      </c>
      <c r="N8" t="s">
        <v>756</v>
      </c>
      <c r="O8" t="s">
        <v>757</v>
      </c>
      <c r="P8" t="s">
        <v>758</v>
      </c>
      <c r="Q8" t="s">
        <v>759</v>
      </c>
      <c r="R8" t="s">
        <v>760</v>
      </c>
      <c r="S8" t="s">
        <v>761</v>
      </c>
      <c r="T8" t="s">
        <v>762</v>
      </c>
      <c r="U8" t="s">
        <v>763</v>
      </c>
      <c r="V8" t="s">
        <v>764</v>
      </c>
      <c r="W8" t="s">
        <v>765</v>
      </c>
      <c r="X8" t="s">
        <v>766</v>
      </c>
      <c r="Y8" t="s">
        <v>767</v>
      </c>
      <c r="Z8" t="s">
        <v>768</v>
      </c>
      <c r="AA8" t="s">
        <v>769</v>
      </c>
      <c r="AB8" t="s">
        <v>770</v>
      </c>
      <c r="AC8" t="s">
        <v>771</v>
      </c>
      <c r="AD8" t="s">
        <v>772</v>
      </c>
      <c r="AE8" t="s">
        <v>773</v>
      </c>
      <c r="AF8" t="s">
        <v>774</v>
      </c>
      <c r="AG8">
        <v>1</v>
      </c>
      <c r="AH8">
        <v>1</v>
      </c>
      <c r="AI8">
        <v>0</v>
      </c>
      <c r="AJ8">
        <v>0</v>
      </c>
      <c r="AK8">
        <v>1</v>
      </c>
      <c r="AL8">
        <v>0</v>
      </c>
      <c r="AM8">
        <v>0</v>
      </c>
      <c r="AN8">
        <v>0</v>
      </c>
      <c r="AO8">
        <v>1</v>
      </c>
    </row>
    <row r="9" spans="1:41">
      <c r="A9">
        <v>8</v>
      </c>
      <c r="B9" t="s">
        <v>775</v>
      </c>
      <c r="C9" t="s">
        <v>776</v>
      </c>
      <c r="D9" t="s">
        <v>777</v>
      </c>
      <c r="E9" t="s">
        <v>777</v>
      </c>
      <c r="F9" t="s">
        <v>777</v>
      </c>
      <c r="G9" t="s">
        <v>778</v>
      </c>
      <c r="H9" t="s">
        <v>779</v>
      </c>
      <c r="I9" t="s">
        <v>780</v>
      </c>
      <c r="J9" t="s">
        <v>781</v>
      </c>
      <c r="K9" t="s">
        <v>782</v>
      </c>
      <c r="L9" t="s">
        <v>783</v>
      </c>
      <c r="M9" t="s">
        <v>784</v>
      </c>
      <c r="N9" t="s">
        <v>785</v>
      </c>
      <c r="O9" t="s">
        <v>786</v>
      </c>
      <c r="P9" t="s">
        <v>787</v>
      </c>
      <c r="Q9" t="s">
        <v>788</v>
      </c>
      <c r="R9" t="s">
        <v>789</v>
      </c>
      <c r="S9" t="s">
        <v>790</v>
      </c>
      <c r="T9" t="s">
        <v>791</v>
      </c>
      <c r="U9" t="s">
        <v>792</v>
      </c>
      <c r="V9" t="s">
        <v>793</v>
      </c>
      <c r="W9" t="s">
        <v>794</v>
      </c>
      <c r="X9" t="s">
        <v>795</v>
      </c>
      <c r="Y9" t="s">
        <v>796</v>
      </c>
      <c r="Z9" t="s">
        <v>797</v>
      </c>
      <c r="AA9" t="s">
        <v>798</v>
      </c>
      <c r="AB9" t="s">
        <v>799</v>
      </c>
      <c r="AC9" t="s">
        <v>800</v>
      </c>
      <c r="AD9" t="s">
        <v>801</v>
      </c>
      <c r="AE9" t="s">
        <v>802</v>
      </c>
      <c r="AF9" t="s">
        <v>803</v>
      </c>
      <c r="AG9">
        <v>1</v>
      </c>
      <c r="AH9">
        <v>0</v>
      </c>
      <c r="AI9">
        <v>1</v>
      </c>
      <c r="AJ9">
        <v>0</v>
      </c>
      <c r="AK9">
        <v>0</v>
      </c>
      <c r="AL9">
        <v>1</v>
      </c>
      <c r="AM9">
        <v>1</v>
      </c>
      <c r="AN9">
        <v>0</v>
      </c>
      <c r="AO9">
        <v>0</v>
      </c>
    </row>
    <row r="10" spans="1:41">
      <c r="A10">
        <v>9</v>
      </c>
      <c r="B10" t="s">
        <v>804</v>
      </c>
      <c r="C10" t="s">
        <v>805</v>
      </c>
      <c r="D10" t="s">
        <v>806</v>
      </c>
      <c r="E10" t="s">
        <v>806</v>
      </c>
      <c r="F10" t="s">
        <v>806</v>
      </c>
      <c r="G10" t="s">
        <v>807</v>
      </c>
      <c r="H10" t="s">
        <v>808</v>
      </c>
      <c r="I10" t="s">
        <v>809</v>
      </c>
      <c r="J10" t="s">
        <v>810</v>
      </c>
      <c r="K10" t="s">
        <v>811</v>
      </c>
      <c r="L10" t="s">
        <v>812</v>
      </c>
      <c r="M10" t="s">
        <v>813</v>
      </c>
      <c r="N10" t="s">
        <v>814</v>
      </c>
      <c r="O10" t="s">
        <v>815</v>
      </c>
      <c r="P10" t="s">
        <v>816</v>
      </c>
      <c r="Q10" t="s">
        <v>817</v>
      </c>
      <c r="R10" t="s">
        <v>818</v>
      </c>
      <c r="S10" t="s">
        <v>819</v>
      </c>
      <c r="T10" t="s">
        <v>820</v>
      </c>
      <c r="U10" t="s">
        <v>821</v>
      </c>
      <c r="V10" t="s">
        <v>822</v>
      </c>
      <c r="W10" t="s">
        <v>823</v>
      </c>
      <c r="X10" t="s">
        <v>824</v>
      </c>
      <c r="Y10" t="s">
        <v>825</v>
      </c>
      <c r="Z10" t="s">
        <v>826</v>
      </c>
      <c r="AA10" t="s">
        <v>827</v>
      </c>
      <c r="AB10" t="s">
        <v>828</v>
      </c>
      <c r="AC10" t="s">
        <v>829</v>
      </c>
      <c r="AD10" t="s">
        <v>830</v>
      </c>
      <c r="AE10" t="s">
        <v>831</v>
      </c>
      <c r="AF10" t="s">
        <v>832</v>
      </c>
      <c r="AG10">
        <v>1</v>
      </c>
      <c r="AH10">
        <v>1</v>
      </c>
      <c r="AI10">
        <v>1</v>
      </c>
      <c r="AJ10">
        <v>0</v>
      </c>
      <c r="AK10">
        <v>1</v>
      </c>
      <c r="AL10">
        <v>1</v>
      </c>
      <c r="AM10">
        <v>1</v>
      </c>
      <c r="AN10">
        <v>0</v>
      </c>
      <c r="AO10">
        <v>0</v>
      </c>
    </row>
    <row r="11" spans="1:41">
      <c r="A11">
        <v>10</v>
      </c>
      <c r="B11" t="s">
        <v>833</v>
      </c>
      <c r="C11" t="s">
        <v>834</v>
      </c>
      <c r="D11" t="s">
        <v>835</v>
      </c>
      <c r="E11" t="s">
        <v>835</v>
      </c>
      <c r="F11" t="s">
        <v>835</v>
      </c>
      <c r="G11" t="s">
        <v>836</v>
      </c>
      <c r="H11" t="s">
        <v>837</v>
      </c>
      <c r="I11" t="s">
        <v>838</v>
      </c>
      <c r="J11" t="s">
        <v>839</v>
      </c>
      <c r="K11" t="s">
        <v>840</v>
      </c>
      <c r="L11" t="s">
        <v>841</v>
      </c>
      <c r="M11" t="s">
        <v>842</v>
      </c>
      <c r="N11" t="s">
        <v>843</v>
      </c>
      <c r="O11" t="s">
        <v>844</v>
      </c>
      <c r="P11" t="s">
        <v>845</v>
      </c>
      <c r="Q11" t="s">
        <v>846</v>
      </c>
      <c r="R11" t="s">
        <v>847</v>
      </c>
      <c r="S11" t="s">
        <v>848</v>
      </c>
      <c r="T11" t="s">
        <v>849</v>
      </c>
      <c r="U11" t="s">
        <v>850</v>
      </c>
      <c r="V11" t="s">
        <v>851</v>
      </c>
      <c r="W11" t="s">
        <v>852</v>
      </c>
      <c r="X11" t="s">
        <v>853</v>
      </c>
      <c r="Y11" t="s">
        <v>854</v>
      </c>
      <c r="Z11" t="s">
        <v>855</v>
      </c>
      <c r="AA11" t="s">
        <v>856</v>
      </c>
      <c r="AB11" t="s">
        <v>857</v>
      </c>
      <c r="AC11" t="s">
        <v>858</v>
      </c>
      <c r="AD11" t="s">
        <v>859</v>
      </c>
      <c r="AE11" t="s">
        <v>860</v>
      </c>
      <c r="AF11" t="s">
        <v>861</v>
      </c>
      <c r="AG11">
        <v>1</v>
      </c>
      <c r="AH11">
        <v>0</v>
      </c>
      <c r="AI11">
        <v>0</v>
      </c>
      <c r="AJ11">
        <v>1</v>
      </c>
      <c r="AK11">
        <v>0</v>
      </c>
      <c r="AL11">
        <v>0</v>
      </c>
      <c r="AM11">
        <v>0</v>
      </c>
      <c r="AN11">
        <v>1</v>
      </c>
      <c r="AO11">
        <v>0</v>
      </c>
    </row>
    <row r="12" spans="1:41">
      <c r="A12">
        <v>11</v>
      </c>
      <c r="B12" t="s">
        <v>862</v>
      </c>
      <c r="C12" t="s">
        <v>863</v>
      </c>
      <c r="D12" t="s">
        <v>864</v>
      </c>
      <c r="E12" t="s">
        <v>864</v>
      </c>
      <c r="F12" t="s">
        <v>864</v>
      </c>
      <c r="G12" t="s">
        <v>865</v>
      </c>
      <c r="H12" t="s">
        <v>866</v>
      </c>
      <c r="I12" t="s">
        <v>867</v>
      </c>
      <c r="J12" t="s">
        <v>868</v>
      </c>
      <c r="K12" t="s">
        <v>869</v>
      </c>
      <c r="L12" t="s">
        <v>870</v>
      </c>
      <c r="M12" t="s">
        <v>871</v>
      </c>
      <c r="N12" t="s">
        <v>872</v>
      </c>
      <c r="O12" t="s">
        <v>873</v>
      </c>
      <c r="P12" t="s">
        <v>874</v>
      </c>
      <c r="Q12" t="s">
        <v>875</v>
      </c>
      <c r="R12" t="s">
        <v>876</v>
      </c>
      <c r="S12" t="s">
        <v>877</v>
      </c>
      <c r="T12" t="s">
        <v>878</v>
      </c>
      <c r="U12" t="s">
        <v>879</v>
      </c>
      <c r="V12" t="s">
        <v>880</v>
      </c>
      <c r="W12" t="s">
        <v>881</v>
      </c>
      <c r="X12" t="s">
        <v>882</v>
      </c>
      <c r="Y12" t="s">
        <v>883</v>
      </c>
      <c r="Z12" t="s">
        <v>884</v>
      </c>
      <c r="AA12" t="s">
        <v>885</v>
      </c>
      <c r="AB12" t="s">
        <v>886</v>
      </c>
      <c r="AC12" t="s">
        <v>887</v>
      </c>
      <c r="AD12" t="s">
        <v>888</v>
      </c>
      <c r="AE12" t="s">
        <v>889</v>
      </c>
      <c r="AF12" t="s">
        <v>890</v>
      </c>
      <c r="AG12">
        <v>1</v>
      </c>
      <c r="AH12">
        <v>0</v>
      </c>
      <c r="AI12">
        <v>1</v>
      </c>
      <c r="AJ12">
        <v>0</v>
      </c>
      <c r="AK12">
        <v>0</v>
      </c>
      <c r="AL12">
        <v>1</v>
      </c>
      <c r="AM12">
        <v>1</v>
      </c>
      <c r="AN12">
        <v>0</v>
      </c>
      <c r="AO12">
        <v>0</v>
      </c>
    </row>
  </sheetData>
  <phoneticPr fontId="4"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L125"/>
  <sheetViews>
    <sheetView showGridLines="0" zoomScale="90" zoomScaleNormal="90" zoomScaleSheetLayoutView="70" workbookViewId="0"/>
  </sheetViews>
  <sheetFormatPr defaultRowHeight="12"/>
  <cols>
    <col min="1" max="1" width="1.75" style="1" customWidth="1"/>
    <col min="2" max="2" width="1.625" style="180" customWidth="1"/>
    <col min="3" max="3" width="156.625" style="1" customWidth="1"/>
    <col min="4" max="4" width="1.625" style="1" customWidth="1"/>
    <col min="5" max="5" width="1.75" style="32" customWidth="1"/>
    <col min="6" max="7" width="9" style="3" customWidth="1"/>
    <col min="8" max="8" width="10" style="3" customWidth="1"/>
    <col min="9" max="16384" width="9" style="1"/>
  </cols>
  <sheetData>
    <row r="1" spans="2:12" ht="3.95" customHeight="1">
      <c r="E1" s="49"/>
      <c r="I1" s="32"/>
      <c r="J1" s="32"/>
      <c r="K1" s="32"/>
      <c r="L1" s="32"/>
    </row>
    <row r="2" spans="2:12" ht="15" customHeight="1">
      <c r="B2" s="288"/>
      <c r="C2" s="98"/>
      <c r="D2" s="100"/>
      <c r="E2" s="49"/>
      <c r="I2" s="32"/>
      <c r="J2" s="32"/>
      <c r="K2" s="32"/>
      <c r="L2" s="32"/>
    </row>
    <row r="3" spans="2:12" ht="15" customHeight="1">
      <c r="B3" s="101"/>
      <c r="C3" s="101"/>
      <c r="D3" s="102"/>
      <c r="E3" s="49"/>
      <c r="I3" s="32"/>
      <c r="J3" s="32"/>
      <c r="K3" s="32"/>
      <c r="L3" s="32"/>
    </row>
    <row r="4" spans="2:12" ht="15" customHeight="1">
      <c r="B4" s="289"/>
      <c r="C4" s="337" t="s">
        <v>95</v>
      </c>
      <c r="D4" s="104"/>
      <c r="E4" s="49"/>
      <c r="I4" s="32"/>
      <c r="J4" s="32"/>
      <c r="K4" s="32"/>
      <c r="L4" s="32"/>
    </row>
    <row r="5" spans="2:12" ht="15" customHeight="1">
      <c r="B5" s="289"/>
      <c r="C5" s="337"/>
      <c r="D5" s="104"/>
      <c r="E5" s="49"/>
      <c r="I5" s="32"/>
      <c r="J5" s="32"/>
      <c r="K5" s="32"/>
      <c r="L5" s="32"/>
    </row>
    <row r="6" spans="2:12" ht="15" customHeight="1">
      <c r="B6" s="290"/>
      <c r="C6" s="105"/>
      <c r="D6" s="106"/>
      <c r="E6" s="49"/>
      <c r="I6" s="32"/>
      <c r="J6" s="32"/>
      <c r="K6" s="32"/>
      <c r="L6" s="32"/>
    </row>
    <row r="7" spans="2:12" ht="6" customHeight="1">
      <c r="B7" s="181"/>
      <c r="C7" s="5"/>
      <c r="D7" s="46"/>
      <c r="I7" s="32"/>
      <c r="J7" s="32"/>
      <c r="K7" s="32"/>
      <c r="L7" s="32"/>
    </row>
    <row r="8" spans="2:12" ht="14.1" customHeight="1">
      <c r="B8" s="181"/>
      <c r="C8" s="188" t="s">
        <v>96</v>
      </c>
      <c r="D8" s="191"/>
      <c r="I8" s="32"/>
      <c r="J8" s="32"/>
      <c r="K8" s="32"/>
      <c r="L8" s="32"/>
    </row>
    <row r="9" spans="2:12" ht="14.1" customHeight="1">
      <c r="B9" s="181"/>
      <c r="C9" s="377" t="s">
        <v>915</v>
      </c>
      <c r="D9" s="378"/>
      <c r="I9" s="32"/>
      <c r="J9" s="32"/>
      <c r="K9" s="32"/>
      <c r="L9" s="32"/>
    </row>
    <row r="10" spans="2:12" ht="15" customHeight="1">
      <c r="B10" s="181"/>
      <c r="C10" s="377" t="s">
        <v>910</v>
      </c>
      <c r="D10" s="378"/>
      <c r="I10" s="32"/>
      <c r="J10" s="32"/>
      <c r="K10" s="32"/>
      <c r="L10" s="32"/>
    </row>
    <row r="11" spans="2:12" ht="14.1" customHeight="1">
      <c r="B11" s="181"/>
      <c r="C11" s="377" t="s">
        <v>934</v>
      </c>
      <c r="D11" s="378"/>
      <c r="I11" s="32"/>
      <c r="J11" s="32"/>
      <c r="K11" s="32"/>
      <c r="L11" s="32"/>
    </row>
    <row r="12" spans="2:12" ht="14.1" customHeight="1">
      <c r="B12" s="181"/>
      <c r="C12" s="377" t="s">
        <v>911</v>
      </c>
      <c r="D12" s="378"/>
      <c r="I12" s="32"/>
      <c r="J12" s="32"/>
      <c r="K12" s="32"/>
      <c r="L12" s="32"/>
    </row>
    <row r="13" spans="2:12" ht="14.1" customHeight="1">
      <c r="B13" s="181"/>
      <c r="C13" s="377" t="s">
        <v>905</v>
      </c>
      <c r="D13" s="378"/>
      <c r="I13" s="32"/>
      <c r="J13" s="32"/>
      <c r="K13" s="32"/>
      <c r="L13" s="32"/>
    </row>
    <row r="14" spans="2:12" ht="14.1" customHeight="1">
      <c r="B14" s="181"/>
      <c r="C14" s="377" t="s">
        <v>906</v>
      </c>
      <c r="D14" s="378"/>
      <c r="I14" s="32"/>
      <c r="J14" s="32"/>
      <c r="K14" s="32"/>
      <c r="L14" s="32"/>
    </row>
    <row r="15" spans="2:12" ht="14.1" customHeight="1">
      <c r="B15" s="181"/>
      <c r="C15" s="377" t="s">
        <v>912</v>
      </c>
      <c r="D15" s="378"/>
      <c r="I15" s="32"/>
      <c r="J15" s="32"/>
      <c r="K15" s="32"/>
      <c r="L15" s="32"/>
    </row>
    <row r="16" spans="2:12" ht="14.1" customHeight="1">
      <c r="B16" s="181"/>
      <c r="C16" s="285" t="s">
        <v>925</v>
      </c>
      <c r="D16" s="286"/>
      <c r="I16" s="32"/>
      <c r="J16" s="32"/>
      <c r="K16" s="32"/>
      <c r="L16" s="32"/>
    </row>
    <row r="17" spans="2:12" ht="14.1" customHeight="1">
      <c r="B17" s="181"/>
      <c r="C17" s="285" t="s">
        <v>926</v>
      </c>
      <c r="D17" s="286"/>
      <c r="I17" s="32"/>
      <c r="J17" s="32"/>
      <c r="K17" s="32"/>
      <c r="L17" s="32"/>
    </row>
    <row r="18" spans="2:12" ht="14.1" customHeight="1">
      <c r="B18" s="181"/>
      <c r="C18" s="285" t="s">
        <v>927</v>
      </c>
      <c r="D18" s="286"/>
      <c r="I18" s="32"/>
      <c r="J18" s="32"/>
      <c r="K18" s="32"/>
      <c r="L18" s="32"/>
    </row>
    <row r="19" spans="2:12" ht="27.95" customHeight="1">
      <c r="B19" s="181"/>
      <c r="C19" s="287" t="s">
        <v>928</v>
      </c>
      <c r="D19" s="286"/>
      <c r="I19" s="32"/>
      <c r="J19" s="32"/>
      <c r="K19" s="32"/>
      <c r="L19" s="32"/>
    </row>
    <row r="20" spans="2:12" ht="14.1" customHeight="1">
      <c r="B20" s="181"/>
      <c r="C20" s="192"/>
      <c r="D20" s="191"/>
      <c r="I20" s="32"/>
      <c r="J20" s="32"/>
      <c r="K20" s="32"/>
      <c r="L20" s="32"/>
    </row>
    <row r="21" spans="2:12" ht="14.1" customHeight="1">
      <c r="B21" s="182"/>
      <c r="C21" s="188" t="s">
        <v>907</v>
      </c>
      <c r="D21" s="191"/>
      <c r="I21" s="32"/>
      <c r="J21" s="32"/>
      <c r="K21" s="32"/>
      <c r="L21" s="32"/>
    </row>
    <row r="22" spans="2:12" ht="14.1" customHeight="1">
      <c r="B22" s="181"/>
      <c r="C22" s="377" t="s">
        <v>916</v>
      </c>
      <c r="D22" s="378"/>
      <c r="I22" s="32"/>
      <c r="J22" s="32"/>
      <c r="K22" s="32"/>
      <c r="L22" s="32"/>
    </row>
    <row r="23" spans="2:12" ht="14.1" customHeight="1">
      <c r="B23" s="181"/>
      <c r="C23" s="377" t="s">
        <v>917</v>
      </c>
      <c r="D23" s="378"/>
      <c r="I23" s="32"/>
      <c r="J23" s="32"/>
      <c r="K23" s="32"/>
      <c r="L23" s="32"/>
    </row>
    <row r="24" spans="2:12" ht="14.1" customHeight="1">
      <c r="B24" s="181"/>
      <c r="C24" s="377" t="s">
        <v>913</v>
      </c>
      <c r="D24" s="378"/>
      <c r="I24" s="32"/>
      <c r="J24" s="32"/>
      <c r="K24" s="32"/>
      <c r="L24" s="32"/>
    </row>
    <row r="25" spans="2:12" ht="14.1" customHeight="1">
      <c r="B25" s="181"/>
      <c r="C25" s="377" t="s">
        <v>914</v>
      </c>
      <c r="D25" s="378"/>
      <c r="I25" s="32"/>
      <c r="J25" s="32"/>
      <c r="K25" s="32"/>
      <c r="L25" s="32"/>
    </row>
    <row r="26" spans="2:12" ht="14.1" customHeight="1">
      <c r="B26" s="181"/>
      <c r="C26" s="377" t="s">
        <v>918</v>
      </c>
      <c r="D26" s="378"/>
      <c r="I26" s="32"/>
      <c r="J26" s="32"/>
      <c r="K26" s="32"/>
      <c r="L26" s="32"/>
    </row>
    <row r="27" spans="2:12" ht="14.1" customHeight="1">
      <c r="B27" s="181"/>
      <c r="C27" s="377" t="s">
        <v>932</v>
      </c>
      <c r="D27" s="378"/>
      <c r="I27" s="32"/>
      <c r="J27" s="32"/>
      <c r="K27" s="32"/>
      <c r="L27" s="32"/>
    </row>
    <row r="28" spans="2:12" ht="14.1" customHeight="1">
      <c r="B28" s="181"/>
      <c r="C28" s="189"/>
      <c r="D28" s="190"/>
      <c r="I28" s="32"/>
      <c r="J28" s="32"/>
      <c r="K28" s="32"/>
      <c r="L28" s="32"/>
    </row>
    <row r="29" spans="2:12" ht="14.1" customHeight="1">
      <c r="B29" s="181"/>
      <c r="C29" s="188" t="s">
        <v>97</v>
      </c>
      <c r="D29" s="191"/>
      <c r="I29" s="32"/>
      <c r="J29" s="32"/>
      <c r="K29" s="32"/>
      <c r="L29" s="32"/>
    </row>
    <row r="30" spans="2:12" ht="105.75" customHeight="1">
      <c r="B30" s="181"/>
      <c r="C30" s="375" t="s">
        <v>937</v>
      </c>
      <c r="D30" s="376"/>
      <c r="I30" s="32"/>
      <c r="J30" s="32"/>
      <c r="K30" s="32"/>
      <c r="L30" s="32"/>
    </row>
    <row r="31" spans="2:12" ht="15" customHeight="1">
      <c r="B31" s="181"/>
      <c r="C31" s="377" t="s">
        <v>933</v>
      </c>
      <c r="D31" s="378"/>
      <c r="I31" s="32"/>
      <c r="J31" s="32"/>
      <c r="K31" s="32"/>
      <c r="L31" s="32"/>
    </row>
    <row r="32" spans="2:12" ht="15" customHeight="1">
      <c r="B32" s="181"/>
      <c r="C32" s="330" t="s">
        <v>908</v>
      </c>
      <c r="D32" s="331"/>
      <c r="I32" s="32"/>
      <c r="J32" s="32"/>
      <c r="K32" s="32"/>
      <c r="L32" s="32"/>
    </row>
    <row r="33" spans="1:12" ht="14.1" customHeight="1">
      <c r="B33" s="181"/>
      <c r="C33" s="377" t="s">
        <v>919</v>
      </c>
      <c r="D33" s="378"/>
      <c r="I33" s="32"/>
      <c r="J33" s="32"/>
      <c r="K33" s="32"/>
      <c r="L33" s="32"/>
    </row>
    <row r="34" spans="1:12" ht="14.1" customHeight="1">
      <c r="B34" s="181"/>
      <c r="C34" s="377" t="s">
        <v>909</v>
      </c>
      <c r="D34" s="378"/>
      <c r="I34" s="32"/>
      <c r="J34" s="32"/>
      <c r="K34" s="32"/>
      <c r="L34" s="32"/>
    </row>
    <row r="35" spans="1:12" ht="30.75" customHeight="1">
      <c r="B35" s="181"/>
      <c r="C35" s="375" t="s">
        <v>938</v>
      </c>
      <c r="D35" s="376"/>
      <c r="I35" s="32"/>
      <c r="J35" s="32"/>
      <c r="K35" s="32"/>
      <c r="L35" s="32"/>
    </row>
    <row r="36" spans="1:12" ht="14.1" customHeight="1">
      <c r="B36" s="181"/>
      <c r="C36" s="193"/>
      <c r="D36" s="194"/>
      <c r="I36" s="32"/>
      <c r="J36" s="32"/>
      <c r="K36" s="32"/>
      <c r="L36" s="32"/>
    </row>
    <row r="37" spans="1:12" ht="14.1" customHeight="1">
      <c r="B37" s="183"/>
      <c r="C37" s="324"/>
      <c r="D37" s="184"/>
      <c r="I37" s="32"/>
      <c r="J37" s="32"/>
      <c r="K37" s="32"/>
      <c r="L37" s="32"/>
    </row>
    <row r="38" spans="1:12" s="3" customFormat="1" ht="14.1" customHeight="1">
      <c r="A38" s="1"/>
      <c r="B38" s="180"/>
      <c r="C38" s="299" t="s">
        <v>931</v>
      </c>
      <c r="D38" s="107"/>
      <c r="E38" s="32"/>
      <c r="I38" s="1"/>
      <c r="J38" s="1"/>
      <c r="K38" s="1"/>
      <c r="L38" s="1"/>
    </row>
    <row r="39" spans="1:12" s="3" customFormat="1">
      <c r="A39" s="1"/>
      <c r="B39" s="180"/>
      <c r="C39" s="1"/>
      <c r="D39" s="107"/>
      <c r="E39" s="32"/>
      <c r="I39" s="1"/>
      <c r="J39" s="1"/>
      <c r="K39" s="1"/>
      <c r="L39" s="1"/>
    </row>
    <row r="42" spans="1:12" s="3" customFormat="1">
      <c r="A42" s="1"/>
      <c r="B42" s="180"/>
      <c r="C42" s="1"/>
      <c r="D42" s="1"/>
      <c r="E42" s="32"/>
      <c r="I42" s="1"/>
      <c r="J42" s="1"/>
      <c r="K42" s="1"/>
      <c r="L42" s="1"/>
    </row>
    <row r="54" spans="1:12" s="2" customFormat="1">
      <c r="A54" s="1"/>
      <c r="B54" s="180"/>
      <c r="C54" s="7"/>
      <c r="D54" s="1"/>
      <c r="E54" s="32"/>
      <c r="F54" s="3"/>
      <c r="G54" s="3"/>
      <c r="H54" s="3"/>
      <c r="I54" s="1"/>
      <c r="J54" s="1"/>
      <c r="K54" s="1"/>
      <c r="L54" s="1"/>
    </row>
    <row r="61" spans="1:12">
      <c r="H61" s="63"/>
      <c r="I61" s="108"/>
      <c r="J61" s="109"/>
    </row>
    <row r="62" spans="1:12">
      <c r="H62" s="63"/>
      <c r="I62" s="108"/>
      <c r="J62" s="109"/>
    </row>
    <row r="63" spans="1:12">
      <c r="C63" s="5"/>
      <c r="H63" s="63"/>
      <c r="I63" s="108"/>
      <c r="J63" s="109"/>
    </row>
    <row r="64" spans="1:12">
      <c r="C64" s="5"/>
      <c r="H64" s="63"/>
      <c r="I64" s="108"/>
      <c r="J64" s="109"/>
    </row>
    <row r="65" spans="3:10">
      <c r="C65" s="5"/>
      <c r="H65" s="63"/>
      <c r="I65" s="108"/>
      <c r="J65" s="109"/>
    </row>
    <row r="66" spans="3:10">
      <c r="C66" s="5"/>
      <c r="H66" s="63"/>
      <c r="I66" s="108"/>
      <c r="J66" s="109"/>
    </row>
    <row r="67" spans="3:10">
      <c r="C67" s="5"/>
      <c r="H67" s="63"/>
      <c r="I67" s="108"/>
      <c r="J67" s="109"/>
    </row>
    <row r="68" spans="3:10">
      <c r="C68" s="5"/>
      <c r="H68" s="63"/>
      <c r="I68" s="108"/>
      <c r="J68" s="109"/>
    </row>
    <row r="69" spans="3:10">
      <c r="C69" s="5"/>
      <c r="H69" s="63"/>
      <c r="I69" s="108"/>
      <c r="J69" s="109"/>
    </row>
    <row r="70" spans="3:10">
      <c r="C70" s="5"/>
      <c r="H70" s="63"/>
      <c r="I70" s="108"/>
      <c r="J70" s="109"/>
    </row>
    <row r="71" spans="3:10">
      <c r="C71" s="5"/>
      <c r="H71" s="63"/>
      <c r="I71" s="108"/>
      <c r="J71" s="109"/>
    </row>
    <row r="72" spans="3:10">
      <c r="C72" s="5"/>
      <c r="H72" s="63"/>
      <c r="I72" s="108"/>
      <c r="J72" s="109"/>
    </row>
    <row r="73" spans="3:10">
      <c r="C73" s="5"/>
      <c r="H73" s="63"/>
      <c r="I73" s="108"/>
      <c r="J73" s="109"/>
    </row>
    <row r="74" spans="3:10">
      <c r="C74" s="5"/>
      <c r="H74" s="63"/>
      <c r="I74" s="108"/>
      <c r="J74" s="109"/>
    </row>
    <row r="75" spans="3:10">
      <c r="C75" s="5"/>
      <c r="H75" s="63"/>
      <c r="I75" s="108"/>
      <c r="J75" s="109"/>
    </row>
    <row r="76" spans="3:10">
      <c r="C76" s="5"/>
      <c r="H76" s="63"/>
      <c r="I76" s="108"/>
      <c r="J76" s="109"/>
    </row>
    <row r="77" spans="3:10">
      <c r="C77" s="5"/>
      <c r="H77" s="63"/>
      <c r="I77" s="108"/>
      <c r="J77" s="109"/>
    </row>
    <row r="78" spans="3:10">
      <c r="C78" s="5"/>
      <c r="H78" s="63"/>
      <c r="I78" s="108"/>
      <c r="J78" s="109"/>
    </row>
    <row r="79" spans="3:10">
      <c r="C79" s="5"/>
      <c r="H79" s="63"/>
      <c r="I79" s="108"/>
      <c r="J79" s="109"/>
    </row>
    <row r="80" spans="3:10">
      <c r="C80" s="5"/>
      <c r="H80" s="63"/>
      <c r="I80" s="108"/>
      <c r="J80" s="109"/>
    </row>
    <row r="81" spans="1:10">
      <c r="C81" s="5"/>
      <c r="H81" s="63"/>
      <c r="I81" s="108"/>
      <c r="J81" s="109"/>
    </row>
    <row r="82" spans="1:10">
      <c r="C82" s="5"/>
      <c r="H82" s="63"/>
      <c r="I82" s="108"/>
      <c r="J82" s="109"/>
    </row>
    <row r="83" spans="1:10">
      <c r="C83" s="5"/>
      <c r="H83" s="63"/>
      <c r="I83" s="108"/>
      <c r="J83" s="109"/>
    </row>
    <row r="84" spans="1:10">
      <c r="C84" s="5"/>
      <c r="H84" s="63"/>
      <c r="I84" s="108"/>
      <c r="J84" s="109"/>
    </row>
    <row r="85" spans="1:10">
      <c r="C85" s="5"/>
      <c r="H85" s="63"/>
      <c r="I85" s="108"/>
      <c r="J85" s="109"/>
    </row>
    <row r="86" spans="1:10">
      <c r="H86" s="63"/>
      <c r="I86" s="108"/>
      <c r="J86" s="109"/>
    </row>
    <row r="87" spans="1:10">
      <c r="H87" s="63"/>
      <c r="I87" s="108"/>
      <c r="J87" s="109"/>
    </row>
    <row r="88" spans="1:10">
      <c r="A88" s="180"/>
      <c r="C88" s="185"/>
      <c r="D88" s="180"/>
      <c r="H88" s="63"/>
      <c r="I88" s="108"/>
      <c r="J88" s="109"/>
    </row>
    <row r="89" spans="1:10">
      <c r="A89" s="180"/>
      <c r="C89" s="185"/>
      <c r="D89" s="180"/>
    </row>
    <row r="90" spans="1:10">
      <c r="A90" s="180"/>
      <c r="C90" s="186"/>
      <c r="D90" s="180"/>
    </row>
    <row r="91" spans="1:10">
      <c r="A91" s="180"/>
      <c r="C91" s="186"/>
      <c r="D91" s="180"/>
    </row>
    <row r="92" spans="1:10">
      <c r="A92" s="180"/>
      <c r="C92" s="186"/>
      <c r="D92" s="180"/>
    </row>
    <row r="93" spans="1:10">
      <c r="A93" s="180"/>
      <c r="C93" s="186"/>
      <c r="D93" s="180"/>
    </row>
    <row r="94" spans="1:10">
      <c r="A94" s="180"/>
      <c r="C94" s="186"/>
      <c r="D94" s="180"/>
    </row>
    <row r="95" spans="1:10">
      <c r="A95" s="180"/>
      <c r="C95" s="186"/>
      <c r="D95" s="180"/>
    </row>
    <row r="96" spans="1:10">
      <c r="A96" s="180"/>
      <c r="C96" s="186"/>
      <c r="D96" s="180"/>
    </row>
    <row r="97" spans="1:4">
      <c r="A97" s="180"/>
      <c r="C97" s="186"/>
      <c r="D97" s="180"/>
    </row>
    <row r="98" spans="1:4">
      <c r="A98" s="180"/>
      <c r="C98" s="186"/>
      <c r="D98" s="180"/>
    </row>
    <row r="99" spans="1:4">
      <c r="A99" s="180"/>
      <c r="C99" s="186"/>
      <c r="D99" s="180"/>
    </row>
    <row r="100" spans="1:4">
      <c r="A100" s="180"/>
      <c r="C100" s="186"/>
      <c r="D100" s="180"/>
    </row>
    <row r="101" spans="1:4">
      <c r="A101" s="180"/>
      <c r="C101" s="180"/>
      <c r="D101" s="180"/>
    </row>
    <row r="102" spans="1:4">
      <c r="A102" s="180"/>
      <c r="C102" s="185"/>
      <c r="D102" s="180"/>
    </row>
    <row r="103" spans="1:4">
      <c r="A103" s="180"/>
      <c r="C103" s="185"/>
      <c r="D103" s="180"/>
    </row>
    <row r="104" spans="1:4">
      <c r="A104" s="180"/>
      <c r="C104" s="187"/>
      <c r="D104" s="180"/>
    </row>
    <row r="105" spans="1:4">
      <c r="A105" s="180"/>
      <c r="C105" s="187"/>
      <c r="D105" s="180"/>
    </row>
    <row r="106" spans="1:4">
      <c r="A106" s="180"/>
      <c r="C106" s="187"/>
      <c r="D106" s="180"/>
    </row>
    <row r="107" spans="1:4">
      <c r="A107" s="180"/>
      <c r="C107" s="187"/>
      <c r="D107" s="180"/>
    </row>
    <row r="108" spans="1:4">
      <c r="A108" s="180"/>
      <c r="C108" s="187"/>
      <c r="D108" s="180"/>
    </row>
    <row r="109" spans="1:4">
      <c r="A109" s="180"/>
      <c r="C109" s="187"/>
      <c r="D109" s="180"/>
    </row>
    <row r="110" spans="1:4">
      <c r="A110" s="180"/>
      <c r="C110" s="187"/>
      <c r="D110" s="180"/>
    </row>
    <row r="111" spans="1:4">
      <c r="A111" s="180"/>
      <c r="C111" s="187"/>
      <c r="D111" s="180"/>
    </row>
    <row r="112" spans="1:4">
      <c r="A112" s="180"/>
      <c r="C112" s="187"/>
      <c r="D112" s="180"/>
    </row>
    <row r="113" spans="1:4">
      <c r="A113" s="180"/>
      <c r="C113" s="187"/>
      <c r="D113" s="180"/>
    </row>
    <row r="114" spans="1:4">
      <c r="A114" s="180"/>
      <c r="C114" s="187"/>
      <c r="D114" s="180"/>
    </row>
    <row r="115" spans="1:4">
      <c r="A115" s="180"/>
      <c r="C115" s="187"/>
      <c r="D115" s="180"/>
    </row>
    <row r="116" spans="1:4">
      <c r="A116" s="180"/>
      <c r="C116" s="180"/>
      <c r="D116" s="180"/>
    </row>
    <row r="117" spans="1:4">
      <c r="A117" s="180"/>
      <c r="C117" s="180"/>
      <c r="D117" s="180"/>
    </row>
    <row r="118" spans="1:4">
      <c r="A118" s="180"/>
      <c r="C118" s="180"/>
      <c r="D118" s="180"/>
    </row>
    <row r="119" spans="1:4">
      <c r="A119" s="180"/>
      <c r="C119" s="180"/>
      <c r="D119" s="180"/>
    </row>
    <row r="120" spans="1:4">
      <c r="A120" s="180"/>
      <c r="C120" s="180"/>
      <c r="D120" s="180"/>
    </row>
    <row r="121" spans="1:4">
      <c r="A121" s="180"/>
      <c r="C121" s="180"/>
      <c r="D121" s="180"/>
    </row>
    <row r="122" spans="1:4">
      <c r="A122" s="180"/>
      <c r="C122" s="180"/>
      <c r="D122" s="180"/>
    </row>
    <row r="123" spans="1:4">
      <c r="A123" s="180"/>
      <c r="C123" s="180"/>
      <c r="D123" s="180"/>
    </row>
    <row r="124" spans="1:4">
      <c r="A124" s="180"/>
      <c r="C124" s="180"/>
      <c r="D124" s="180"/>
    </row>
    <row r="125" spans="1:4">
      <c r="A125" s="180"/>
      <c r="C125" s="180"/>
      <c r="D125" s="180"/>
    </row>
  </sheetData>
  <sheetProtection password="AE27" sheet="1" objects="1" scenarios="1"/>
  <mergeCells count="19">
    <mergeCell ref="C13:D13"/>
    <mergeCell ref="C4:C5"/>
    <mergeCell ref="C9:D9"/>
    <mergeCell ref="C10:D10"/>
    <mergeCell ref="C11:D11"/>
    <mergeCell ref="C12:D12"/>
    <mergeCell ref="C35:D35"/>
    <mergeCell ref="C14:D14"/>
    <mergeCell ref="C15:D15"/>
    <mergeCell ref="C22:D22"/>
    <mergeCell ref="C23:D23"/>
    <mergeCell ref="C24:D24"/>
    <mergeCell ref="C25:D25"/>
    <mergeCell ref="C27:D27"/>
    <mergeCell ref="C33:D33"/>
    <mergeCell ref="C34:D34"/>
    <mergeCell ref="C26:D26"/>
    <mergeCell ref="C30:D30"/>
    <mergeCell ref="C31:D31"/>
  </mergeCells>
  <phoneticPr fontId="4" type="noConversion"/>
  <printOptions horizontalCentered="1"/>
  <pageMargins left="0.2" right="0.2" top="0.25" bottom="0.25" header="0.05" footer="0.05"/>
  <pageSetup scale="48"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6F4B5979D94744E86D6A5BC3299194E" ma:contentTypeVersion="4" ma:contentTypeDescription="Create a new document." ma:contentTypeScope="" ma:versionID="3f396290c760fdd2119acd025f1f55dd">
  <xsd:schema xmlns:xsd="http://www.w3.org/2001/XMLSchema" xmlns:xs="http://www.w3.org/2001/XMLSchema" xmlns:p="http://schemas.microsoft.com/office/2006/metadata/properties" xmlns:ns2="7ff1a7c9-d7df-4be8-bc28-0a0e94fbf901" targetNamespace="http://schemas.microsoft.com/office/2006/metadata/properties" ma:root="true" ma:fieldsID="4acbae7d595cd73ea83a8d6df5b1f708" ns2:_="">
    <xsd:import namespace="7ff1a7c9-d7df-4be8-bc28-0a0e94fbf901"/>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f1a7c9-d7df-4be8-bc28-0a0e94fbf90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11D737C-974E-4A9D-B41E-86408D68FF21}">
  <ds:schemaRefs>
    <ds:schemaRef ds:uri="http://schemas.microsoft.com/sharepoint/v3/contenttype/forms"/>
  </ds:schemaRefs>
</ds:datastoreItem>
</file>

<file path=customXml/itemProps2.xml><?xml version="1.0" encoding="utf-8"?>
<ds:datastoreItem xmlns:ds="http://schemas.openxmlformats.org/officeDocument/2006/customXml" ds:itemID="{73D4D3E0-12A6-4248-8E39-F44C10932FB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f1a7c9-d7df-4be8-bc28-0a0e94fbf90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F8BFBE6-781C-4890-81DB-78F41EC9447F}">
  <ds:schemaRefs>
    <ds:schemaRef ds:uri="http://schemas.microsoft.com/office/2006/metadata/properties"/>
    <ds:schemaRef ds:uri="http://schemas.microsoft.com/office/infopath/2007/PartnerControls"/>
    <ds:schemaRef ds:uri="http://schemas.microsoft.com/office/2006/documentManagement/types"/>
    <ds:schemaRef ds:uri="http://purl.org/dc/dcmitype/"/>
    <ds:schemaRef ds:uri="http://purl.org/dc/elements/1.1/"/>
    <ds:schemaRef ds:uri="7ff1a7c9-d7df-4be8-bc28-0a0e94fbf901"/>
    <ds:schemaRef ds:uri="http://schemas.openxmlformats.org/package/2006/metadata/core-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Dashboard</vt:lpstr>
      <vt:lpstr>Physician Details</vt:lpstr>
      <vt:lpstr>DashboardData1</vt:lpstr>
      <vt:lpstr>DashboardData2</vt:lpstr>
      <vt:lpstr>Control Sheet</vt:lpstr>
      <vt:lpstr>PhysicianData</vt:lpstr>
      <vt:lpstr>Instructions_Business Rules</vt:lpstr>
      <vt:lpstr>Dashboard!Print_Area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Nisha</dc:creator>
  <cp:lastModifiedBy>Hannah Zheng</cp:lastModifiedBy>
  <cp:lastPrinted>2017-01-18T11:07:48Z</cp:lastPrinted>
  <dcterms:created xsi:type="dcterms:W3CDTF">2016-10-10T17:56:34Z</dcterms:created>
  <dcterms:modified xsi:type="dcterms:W3CDTF">2018-06-08T08:59:19Z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0x01010036F4B5979D94744E86D6A5BC3299194E</vt:lpwstr>
  </property>
</Properties>
</file>